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E:\excel project\"/>
    </mc:Choice>
  </mc:AlternateContent>
  <xr:revisionPtr revIDLastSave="0" documentId="8_{19E71752-A57E-4242-8AAC-D12E5D4F1F0A}" xr6:coauthVersionLast="47" xr6:coauthVersionMax="47" xr10:uidLastSave="{00000000-0000-0000-0000-000000000000}"/>
  <bookViews>
    <workbookView xWindow="-156" yWindow="204" windowWidth="23040" windowHeight="12240" xr2:uid="{7EE009DC-D5AD-412B-813C-13C697B68807}"/>
  </bookViews>
  <sheets>
    <sheet name="Sheet2" sheetId="1" r:id="rId1"/>
  </sheets>
  <definedNames>
    <definedName name="Slicer_Category">#N/A</definedName>
    <definedName name="Slicer_Month">#N/A</definedName>
    <definedName name="Slicer_Year">#N/A</definedName>
  </definedNames>
  <calcPr calcId="191029"/>
  <pivotCaches>
    <pivotCache cacheId="0" r:id="rId2"/>
    <pivotCache cacheId="1"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53" i="1" l="1"/>
  <c r="X52" i="1"/>
  <c r="X51" i="1"/>
  <c r="X50" i="1"/>
  <c r="X49" i="1"/>
  <c r="X48" i="1"/>
  <c r="X47" i="1"/>
  <c r="X46" i="1"/>
  <c r="X45" i="1"/>
  <c r="X44" i="1"/>
  <c r="X43" i="1"/>
  <c r="X42" i="1"/>
  <c r="X41" i="1"/>
  <c r="X40" i="1"/>
  <c r="X39" i="1"/>
  <c r="X38" i="1"/>
  <c r="X37" i="1"/>
  <c r="X36" i="1"/>
  <c r="X35" i="1"/>
  <c r="X34" i="1"/>
  <c r="X33" i="1"/>
  <c r="X32" i="1"/>
  <c r="X31" i="1"/>
  <c r="X30" i="1"/>
  <c r="X29" i="1"/>
  <c r="X28" i="1"/>
  <c r="X27" i="1"/>
  <c r="X26" i="1"/>
  <c r="X25" i="1"/>
  <c r="X24" i="1"/>
  <c r="X23" i="1"/>
  <c r="X22" i="1"/>
  <c r="X21" i="1"/>
  <c r="L21" i="1"/>
  <c r="X20" i="1"/>
  <c r="L20" i="1"/>
  <c r="X19" i="1"/>
  <c r="L19" i="1"/>
  <c r="X18" i="1"/>
  <c r="L18" i="1"/>
  <c r="X17" i="1"/>
  <c r="L17" i="1"/>
  <c r="X16" i="1"/>
  <c r="L16" i="1"/>
  <c r="X15" i="1"/>
  <c r="L15" i="1"/>
  <c r="X14" i="1"/>
  <c r="L14" i="1"/>
  <c r="X13" i="1"/>
  <c r="L13" i="1"/>
  <c r="X12" i="1"/>
  <c r="L12" i="1"/>
  <c r="X11" i="1"/>
  <c r="L11" i="1"/>
  <c r="X10" i="1"/>
  <c r="L10" i="1"/>
  <c r="X9" i="1"/>
  <c r="L9" i="1"/>
  <c r="X8" i="1"/>
  <c r="L8" i="1"/>
  <c r="X7" i="1"/>
  <c r="L7" i="1"/>
  <c r="X6" i="1"/>
  <c r="L6" i="1"/>
  <c r="X5" i="1"/>
  <c r="L5" i="1"/>
  <c r="X4" i="1"/>
  <c r="Y40" i="1"/>
  <c r="Y13" i="1"/>
  <c r="Y52" i="1"/>
  <c r="A15" i="1"/>
  <c r="Y28" i="1"/>
  <c r="M16" i="1"/>
  <c r="Y4" i="1"/>
  <c r="A16" i="1"/>
  <c r="Y34" i="1"/>
  <c r="M19" i="1"/>
  <c r="Y7" i="1"/>
  <c r="Y22" i="1"/>
  <c r="Y46" i="1"/>
  <c r="Y10" i="1"/>
  <c r="Y53" i="1"/>
  <c r="Y41" i="1"/>
  <c r="Y29" i="1"/>
  <c r="Y19" i="1"/>
  <c r="M5" i="1"/>
  <c r="Y23" i="1"/>
  <c r="Y21" i="1"/>
  <c r="M15" i="1"/>
  <c r="Y31" i="1"/>
  <c r="Y42" i="1"/>
  <c r="M13" i="1"/>
  <c r="M7" i="1"/>
  <c r="Y27" i="1"/>
  <c r="Y12" i="1"/>
  <c r="Y38" i="1"/>
  <c r="Y26" i="1"/>
  <c r="M12" i="1"/>
  <c r="M6" i="1"/>
  <c r="Y37" i="1"/>
  <c r="Y25" i="1"/>
  <c r="Y5" i="1"/>
  <c r="M11" i="1"/>
  <c r="Y16" i="1"/>
  <c r="M10" i="1"/>
  <c r="Y9" i="1"/>
  <c r="M9" i="1"/>
  <c r="Y8" i="1"/>
  <c r="M20" i="1"/>
  <c r="Y51" i="1"/>
  <c r="Y39" i="1"/>
  <c r="Y18" i="1"/>
  <c r="Y6" i="1"/>
  <c r="M18" i="1"/>
  <c r="Y49" i="1"/>
  <c r="Y17" i="1"/>
  <c r="Y36" i="1"/>
  <c r="Y47" i="1"/>
  <c r="Y33" i="1"/>
  <c r="Y44" i="1"/>
  <c r="Y14" i="1"/>
  <c r="M14" i="1"/>
  <c r="Y50" i="1"/>
  <c r="Y11" i="1"/>
  <c r="M17" i="1"/>
  <c r="Y35" i="1"/>
  <c r="Y15" i="1"/>
  <c r="Y32" i="1"/>
  <c r="Y43" i="1"/>
  <c r="M8" i="1"/>
  <c r="Y48" i="1"/>
  <c r="Y24" i="1"/>
  <c r="Y45" i="1"/>
  <c r="M21" i="1"/>
  <c r="Y20" i="1"/>
  <c r="Y30" i="1"/>
</calcChain>
</file>

<file path=xl/sharedStrings.xml><?xml version="1.0" encoding="utf-8"?>
<sst xmlns="http://schemas.openxmlformats.org/spreadsheetml/2006/main" count="2444" uniqueCount="888">
  <si>
    <t>Customer Name</t>
  </si>
  <si>
    <t>Year</t>
  </si>
  <si>
    <t>Darren Powers</t>
  </si>
  <si>
    <t>count  of customers by year</t>
  </si>
  <si>
    <t>Sum of Sales</t>
  </si>
  <si>
    <t>profit by years</t>
  </si>
  <si>
    <t>sales by sub category</t>
  </si>
  <si>
    <t>Phillina Ober</t>
  </si>
  <si>
    <t>Row Labels</t>
  </si>
  <si>
    <t>Count of Customer Name</t>
  </si>
  <si>
    <t>stare</t>
  </si>
  <si>
    <t>sales</t>
  </si>
  <si>
    <t>top 5 sales by costomers</t>
  </si>
  <si>
    <t>sales by month</t>
  </si>
  <si>
    <t>Sum of Profit</t>
  </si>
  <si>
    <t>Column Labels</t>
  </si>
  <si>
    <t>category</t>
  </si>
  <si>
    <t>Mick Brown</t>
  </si>
  <si>
    <t>sales by state</t>
  </si>
  <si>
    <t>Furniture</t>
  </si>
  <si>
    <t>Office Supplies</t>
  </si>
  <si>
    <t>Technology</t>
  </si>
  <si>
    <t>(blank)</t>
  </si>
  <si>
    <t>Grand Total</t>
  </si>
  <si>
    <t>Phones</t>
  </si>
  <si>
    <t>Lycoris Saunders</t>
  </si>
  <si>
    <t>Adrian Barton</t>
  </si>
  <si>
    <t>Jan</t>
  </si>
  <si>
    <t>Chairs</t>
  </si>
  <si>
    <t>Jack O'Briant</t>
  </si>
  <si>
    <t>Alabama</t>
  </si>
  <si>
    <t>Martinez</t>
  </si>
  <si>
    <t>Feb</t>
  </si>
  <si>
    <t>Storage</t>
  </si>
  <si>
    <t>Maria Etezadi</t>
  </si>
  <si>
    <t>Arizona</t>
  </si>
  <si>
    <t>Raymond Buch</t>
  </si>
  <si>
    <t>Mar</t>
  </si>
  <si>
    <t>Binders</t>
  </si>
  <si>
    <t>Vivek Sundaresam</t>
  </si>
  <si>
    <t>Arkansas</t>
  </si>
  <si>
    <t>Sanjit Chand</t>
  </si>
  <si>
    <t>Apr</t>
  </si>
  <si>
    <t>Tables</t>
  </si>
  <si>
    <t>Melanie Seite</t>
  </si>
  <si>
    <t>California</t>
  </si>
  <si>
    <t>Tamara Chand</t>
  </si>
  <si>
    <t>May</t>
  </si>
  <si>
    <t>Machines</t>
  </si>
  <si>
    <t>Anthony Jacobs</t>
  </si>
  <si>
    <t>Colorado</t>
  </si>
  <si>
    <t>Jun</t>
  </si>
  <si>
    <t>Accessories</t>
  </si>
  <si>
    <t>Seth Vernon</t>
  </si>
  <si>
    <t>Connecticut</t>
  </si>
  <si>
    <t>Jul</t>
  </si>
  <si>
    <t>Copiers</t>
  </si>
  <si>
    <t>Chris Selesnick</t>
  </si>
  <si>
    <t>Delaware</t>
  </si>
  <si>
    <t>Aug</t>
  </si>
  <si>
    <t>Bookcases</t>
  </si>
  <si>
    <t>Natalie DeCherney</t>
  </si>
  <si>
    <t>District of Columbia</t>
  </si>
  <si>
    <t>Sep</t>
  </si>
  <si>
    <t>Appliances</t>
  </si>
  <si>
    <t>Brian Dahlen</t>
  </si>
  <si>
    <t>Florida</t>
  </si>
  <si>
    <t>Oct</t>
  </si>
  <si>
    <t>Furnishings</t>
  </si>
  <si>
    <t>Michael Moore</t>
  </si>
  <si>
    <t>Georgia</t>
  </si>
  <si>
    <t>Nov</t>
  </si>
  <si>
    <t>Paper</t>
  </si>
  <si>
    <t>Brendan Sweed</t>
  </si>
  <si>
    <t>Idaho</t>
  </si>
  <si>
    <t>Dec</t>
  </si>
  <si>
    <t>Supplies</t>
  </si>
  <si>
    <t>Erica Hackney</t>
  </si>
  <si>
    <t>Illinois</t>
  </si>
  <si>
    <t>Art</t>
  </si>
  <si>
    <t>Delfina Latchford</t>
  </si>
  <si>
    <t>Indiana</t>
  </si>
  <si>
    <t>Envelopes</t>
  </si>
  <si>
    <t>David Wiener</t>
  </si>
  <si>
    <t>Iowa</t>
  </si>
  <si>
    <t>Labels</t>
  </si>
  <si>
    <t>Toby Swindell</t>
  </si>
  <si>
    <t>Kansas</t>
  </si>
  <si>
    <t>Fasteners</t>
  </si>
  <si>
    <t>Hunter Lopez</t>
  </si>
  <si>
    <t>Kentucky</t>
  </si>
  <si>
    <t>Mark Van Huff</t>
  </si>
  <si>
    <t>Louisiana</t>
  </si>
  <si>
    <t>Xylona Preis</t>
  </si>
  <si>
    <t>Maine</t>
  </si>
  <si>
    <t>Muhammed MacIntyre</t>
  </si>
  <si>
    <t>Maryland</t>
  </si>
  <si>
    <t>Tom Boeckenhauer</t>
  </si>
  <si>
    <t>Massachusetts</t>
  </si>
  <si>
    <t>Ionia McGrath</t>
  </si>
  <si>
    <t>Michigan</t>
  </si>
  <si>
    <t>Speros Goranitis</t>
  </si>
  <si>
    <t>Minnesota</t>
  </si>
  <si>
    <t>Shirley Daniels</t>
  </si>
  <si>
    <t>Mississippi</t>
  </si>
  <si>
    <t>Carol Adams</t>
  </si>
  <si>
    <t>Missouri</t>
  </si>
  <si>
    <t>Ed Jacobs</t>
  </si>
  <si>
    <t>Montana</t>
  </si>
  <si>
    <t>Jasper Cacioppo</t>
  </si>
  <si>
    <t>Nebraska</t>
  </si>
  <si>
    <t>Mike Vittorini</t>
  </si>
  <si>
    <t>Nevada</t>
  </si>
  <si>
    <t>Liz Carlisle</t>
  </si>
  <si>
    <t>New Hampshire</t>
  </si>
  <si>
    <t>Bradley Drucker</t>
  </si>
  <si>
    <t>New Jersey</t>
  </si>
  <si>
    <t>Cynthia Delaney</t>
  </si>
  <si>
    <t>New Mexico</t>
  </si>
  <si>
    <t>Eric Barreto</t>
  </si>
  <si>
    <t>New York</t>
  </si>
  <si>
    <t>Deborah Brumfield</t>
  </si>
  <si>
    <t>North Carolina</t>
  </si>
  <si>
    <t>Mark Haberlin</t>
  </si>
  <si>
    <t>North Dakota</t>
  </si>
  <si>
    <t>Neil Ducich</t>
  </si>
  <si>
    <t>Ohio</t>
  </si>
  <si>
    <t>Cyma Kinney</t>
  </si>
  <si>
    <t>Oklahoma</t>
  </si>
  <si>
    <t>Nathan Mautz</t>
  </si>
  <si>
    <t>Oregon</t>
  </si>
  <si>
    <t>Natalie Fritzler</t>
  </si>
  <si>
    <t>Pennsylvania</t>
  </si>
  <si>
    <t>Guy Armstrong</t>
  </si>
  <si>
    <t>Rhode Island</t>
  </si>
  <si>
    <t>South Carolina</t>
  </si>
  <si>
    <t>Shui Tom</t>
  </si>
  <si>
    <t>South Dakota</t>
  </si>
  <si>
    <t>Marina Lichtenstein</t>
  </si>
  <si>
    <t>Tennessee</t>
  </si>
  <si>
    <t>Barry FranzÃ¶sisch</t>
  </si>
  <si>
    <t>Texas</t>
  </si>
  <si>
    <t>Michael Nguyen</t>
  </si>
  <si>
    <t>Utah</t>
  </si>
  <si>
    <t>Troy Blackwell</t>
  </si>
  <si>
    <t>Vermont</t>
  </si>
  <si>
    <t>Aaron Bergman</t>
  </si>
  <si>
    <t>Virginia</t>
  </si>
  <si>
    <t>Linda Cazamias</t>
  </si>
  <si>
    <t>Washington</t>
  </si>
  <si>
    <t>Steven Roelle</t>
  </si>
  <si>
    <t>West Virginia</t>
  </si>
  <si>
    <t>Tamara Manning</t>
  </si>
  <si>
    <t>Wisconsin</t>
  </si>
  <si>
    <t>Sue Ann Reed</t>
  </si>
  <si>
    <t>Wyoming</t>
  </si>
  <si>
    <t>Michael Grace</t>
  </si>
  <si>
    <t>Jennifer Halladay</t>
  </si>
  <si>
    <t>Joy Smith</t>
  </si>
  <si>
    <t>Dave Brooks</t>
  </si>
  <si>
    <t>Hallie Redmond</t>
  </si>
  <si>
    <t>Vicky Freymann</t>
  </si>
  <si>
    <t>Shahid Collister</t>
  </si>
  <si>
    <t>Giulietta Weimer</t>
  </si>
  <si>
    <t>Kristina Nunn</t>
  </si>
  <si>
    <t>Nicole Hansen</t>
  </si>
  <si>
    <t>Ashley Jarboe</t>
  </si>
  <si>
    <t>Anne Pryor</t>
  </si>
  <si>
    <t>Jill Stevenson</t>
  </si>
  <si>
    <t>Sam Craven</t>
  </si>
  <si>
    <t>Eva Jacobs</t>
  </si>
  <si>
    <t>Clay Ludtke</t>
  </si>
  <si>
    <t>Aimee Bixby</t>
  </si>
  <si>
    <t>Nora Pelletier</t>
  </si>
  <si>
    <t>Craig Molinari</t>
  </si>
  <si>
    <t>Scott Williamson</t>
  </si>
  <si>
    <t>Kean Thornton</t>
  </si>
  <si>
    <t>Chloris Kastensmidt</t>
  </si>
  <si>
    <t>Kelly Andreada</t>
  </si>
  <si>
    <t>Filia McAdams</t>
  </si>
  <si>
    <t>Richard Bierner</t>
  </si>
  <si>
    <t>Dean Katz</t>
  </si>
  <si>
    <t>Christine Kargatis</t>
  </si>
  <si>
    <t>Jason Fortune-</t>
  </si>
  <si>
    <t>Rick Bensley</t>
  </si>
  <si>
    <t>Neil FranzÃ¶sisch</t>
  </si>
  <si>
    <t>Alan Shonely</t>
  </si>
  <si>
    <t>Bradley Nguyen</t>
  </si>
  <si>
    <t>Christine Phan</t>
  </si>
  <si>
    <t>Annie Zypern</t>
  </si>
  <si>
    <t>Quincy Jones</t>
  </si>
  <si>
    <t>Sean Miller</t>
  </si>
  <si>
    <t>Eileen Kiefer</t>
  </si>
  <si>
    <t>Sample Company A</t>
  </si>
  <si>
    <t>Matt Connell</t>
  </si>
  <si>
    <t>Cassandra Brandow</t>
  </si>
  <si>
    <t>Thomas Seio</t>
  </si>
  <si>
    <t>Kristen Hastings</t>
  </si>
  <si>
    <t>Gary McGarr</t>
  </si>
  <si>
    <t>Craig Carroll</t>
  </si>
  <si>
    <t>Beth Fritzler</t>
  </si>
  <si>
    <t>Vivian Mathis</t>
  </si>
  <si>
    <t>Patrick O'Donnell</t>
  </si>
  <si>
    <t>Bruce Geld</t>
  </si>
  <si>
    <t>Carlos Daly</t>
  </si>
  <si>
    <t>Maurice Satty</t>
  </si>
  <si>
    <t>Christina Anderson</t>
  </si>
  <si>
    <t>Jonathan Doherty</t>
  </si>
  <si>
    <t>Damala Kotsonis</t>
  </si>
  <si>
    <t>Cindy Stewart</t>
  </si>
  <si>
    <t>Christina VanderZanden</t>
  </si>
  <si>
    <t>Daniel Raglin</t>
  </si>
  <si>
    <t>Mike Pelletier</t>
  </si>
  <si>
    <t>Mike Gockenbach</t>
  </si>
  <si>
    <t>Kunst Miller</t>
  </si>
  <si>
    <t>Dorris liebe</t>
  </si>
  <si>
    <t>Susan Gilcrest</t>
  </si>
  <si>
    <t>Mark Packer</t>
  </si>
  <si>
    <t>Nat Carroll</t>
  </si>
  <si>
    <t>Alex Avila</t>
  </si>
  <si>
    <t>Jas O'Carroll</t>
  </si>
  <si>
    <t>Dorothy Dickinson</t>
  </si>
  <si>
    <t>Karen Bern</t>
  </si>
  <si>
    <t>Trudy Glocke</t>
  </si>
  <si>
    <t>Katharine Harms</t>
  </si>
  <si>
    <t>Rob Dowd</t>
  </si>
  <si>
    <t>Anna HÃ¤berlin</t>
  </si>
  <si>
    <t>Katrina Edelman</t>
  </si>
  <si>
    <t>Paul Knutson</t>
  </si>
  <si>
    <t>Mary Zewe</t>
  </si>
  <si>
    <t>Ken Black</t>
  </si>
  <si>
    <t>Tracy Hopkins</t>
  </si>
  <si>
    <t>Greg Maxwell</t>
  </si>
  <si>
    <t>John Grady</t>
  </si>
  <si>
    <t>Ruben Dartt</t>
  </si>
  <si>
    <t>Roy Phan</t>
  </si>
  <si>
    <t>Guy Phonely</t>
  </si>
  <si>
    <t>Scott Cohen</t>
  </si>
  <si>
    <t>Andy Yotov</t>
  </si>
  <si>
    <t>Frank Hawley</t>
  </si>
  <si>
    <t>Pauline Johnson</t>
  </si>
  <si>
    <t>Roland Schwarz</t>
  </si>
  <si>
    <t>Valerie Mitchum</t>
  </si>
  <si>
    <t>Jim Mitchum</t>
  </si>
  <si>
    <t>Ruben Ausman</t>
  </si>
  <si>
    <t>Pauline Chand</t>
  </si>
  <si>
    <t>John Stevenson</t>
  </si>
  <si>
    <t>Jay Kimmel</t>
  </si>
  <si>
    <t>Sanjit Engle</t>
  </si>
  <si>
    <t>Gary Mitchum</t>
  </si>
  <si>
    <t>Michelle Moray</t>
  </si>
  <si>
    <t>Kean Nguyen</t>
  </si>
  <si>
    <t>Stewart Visinsky</t>
  </si>
  <si>
    <t>Edward Hooks</t>
  </si>
  <si>
    <t>Ben Ferrer</t>
  </si>
  <si>
    <t>Paul Stevenson</t>
  </si>
  <si>
    <t>Stephanie Phelps</t>
  </si>
  <si>
    <t>John Lee</t>
  </si>
  <si>
    <t>Nicole Fjeld</t>
  </si>
  <si>
    <t>Allen Goldenen</t>
  </si>
  <si>
    <t>Benjamin Patterson</t>
  </si>
  <si>
    <t>Allen Armold</t>
  </si>
  <si>
    <t>Dorothy Badders</t>
  </si>
  <si>
    <t>Aaron Hawkins</t>
  </si>
  <si>
    <t>Theresa Swint</t>
  </si>
  <si>
    <t>Laurel Beltran</t>
  </si>
  <si>
    <t>Dianna Arnett</t>
  </si>
  <si>
    <t>Lena Creighton</t>
  </si>
  <si>
    <t>Beth Thompson</t>
  </si>
  <si>
    <t>Aleksandra Gannaway</t>
  </si>
  <si>
    <t>Marc Harrigan</t>
  </si>
  <si>
    <t>Muhammed Yedwab</t>
  </si>
  <si>
    <t>George Bell</t>
  </si>
  <si>
    <t>Arianne Irving</t>
  </si>
  <si>
    <t>David Smith</t>
  </si>
  <si>
    <t>Lauren Leatherbury</t>
  </si>
  <si>
    <t>Harry Greene</t>
  </si>
  <si>
    <t>Laura Armstrong</t>
  </si>
  <si>
    <t>Katherine Hughes</t>
  </si>
  <si>
    <t>Justin MacKendrick</t>
  </si>
  <si>
    <t>Andrew Roberts</t>
  </si>
  <si>
    <t>Cari Schnelling</t>
  </si>
  <si>
    <t>Joni Sundaresam</t>
  </si>
  <si>
    <t>Nathan Cano</t>
  </si>
  <si>
    <t>Paul MacIntyre</t>
  </si>
  <si>
    <t>Andrew Allen</t>
  </si>
  <si>
    <t>Bill Shonely</t>
  </si>
  <si>
    <t>Peter Fuller</t>
  </si>
  <si>
    <t>Emily Burns</t>
  </si>
  <si>
    <t>Giulietta Dortch</t>
  </si>
  <si>
    <t>Harold Pawlan</t>
  </si>
  <si>
    <t>Steve Nguyen</t>
  </si>
  <si>
    <t>Carol Triggs</t>
  </si>
  <si>
    <t>Patrick Gardner</t>
  </si>
  <si>
    <t>Sean Braxton</t>
  </si>
  <si>
    <t>Art Foster</t>
  </si>
  <si>
    <t>Greg Matthias</t>
  </si>
  <si>
    <t>Paul Gonzalez</t>
  </si>
  <si>
    <t>Raymond Messe</t>
  </si>
  <si>
    <t>Brooke Gillingham</t>
  </si>
  <si>
    <t>Victoria Wilson</t>
  </si>
  <si>
    <t>Harold Dahlen</t>
  </si>
  <si>
    <t>Alejandro Grove</t>
  </si>
  <si>
    <t>Erica Hernandez</t>
  </si>
  <si>
    <t>Naresj Patel</t>
  </si>
  <si>
    <t>Anthony Johnson</t>
  </si>
  <si>
    <t>Pauline Webber</t>
  </si>
  <si>
    <t>Cindy Chapman</t>
  </si>
  <si>
    <t>Pete Armstrong</t>
  </si>
  <si>
    <t>Bruce Stewart</t>
  </si>
  <si>
    <t>Ted Trevino</t>
  </si>
  <si>
    <t>George Ashbrook</t>
  </si>
  <si>
    <t>John Huston</t>
  </si>
  <si>
    <t>Tamara Dahlen</t>
  </si>
  <si>
    <t>Randy Ferguson</t>
  </si>
  <si>
    <t>Matt Collister</t>
  </si>
  <si>
    <t>Mitch Willingham</t>
  </si>
  <si>
    <t>Bradley Talbott</t>
  </si>
  <si>
    <t>Frank Gastineau</t>
  </si>
  <si>
    <t>Evan Henry</t>
  </si>
  <si>
    <t>Greg Tran</t>
  </si>
  <si>
    <t>Resi PÃ¶lking</t>
  </si>
  <si>
    <t>Janet Lee</t>
  </si>
  <si>
    <t>Barry Weirich</t>
  </si>
  <si>
    <t>Herbert Flentye</t>
  </si>
  <si>
    <t>Dean percer</t>
  </si>
  <si>
    <t>Maya Herman</t>
  </si>
  <si>
    <t>Laurel Elliston</t>
  </si>
  <si>
    <t>Patrick Jones</t>
  </si>
  <si>
    <t>Magdelene Morse</t>
  </si>
  <si>
    <t>Ellis Ballard</t>
  </si>
  <si>
    <t>Shahid Shariari</t>
  </si>
  <si>
    <t>James Galang</t>
  </si>
  <si>
    <t>Laurel Workman</t>
  </si>
  <si>
    <t>Mark Cousins</t>
  </si>
  <si>
    <t>Jim Karlsson</t>
  </si>
  <si>
    <t>Dianna Wilson</t>
  </si>
  <si>
    <t>Corey Roper</t>
  </si>
  <si>
    <t>Liz Thompson</t>
  </si>
  <si>
    <t>Steven Cartwright</t>
  </si>
  <si>
    <t>Ross Baird</t>
  </si>
  <si>
    <t>Richard Eichhorn</t>
  </si>
  <si>
    <t>Bobby Trafton</t>
  </si>
  <si>
    <t>Bryan Mills</t>
  </si>
  <si>
    <t>Grant Thornton</t>
  </si>
  <si>
    <t>Sarah Bern</t>
  </si>
  <si>
    <t>Valerie Takahito</t>
  </si>
  <si>
    <t>Bart Pistole</t>
  </si>
  <si>
    <t>Nick Radford</t>
  </si>
  <si>
    <t>Carlos Soltero</t>
  </si>
  <si>
    <t>Rick Duston</t>
  </si>
  <si>
    <t>Brosina Hoffman</t>
  </si>
  <si>
    <t>Carl Weiss</t>
  </si>
  <si>
    <t>Chuck Magee</t>
  </si>
  <si>
    <t>Frank Olsen</t>
  </si>
  <si>
    <t>Heather Kirkland</t>
  </si>
  <si>
    <t>Sharelle Roach</t>
  </si>
  <si>
    <t>Kelly Lampkin</t>
  </si>
  <si>
    <t>Pamela Stobb</t>
  </si>
  <si>
    <t>Sonia Cooley</t>
  </si>
  <si>
    <t>Duane Benoit</t>
  </si>
  <si>
    <t>Gary Hwang</t>
  </si>
  <si>
    <t>Jennifer Ferguson</t>
  </si>
  <si>
    <t>Mick Crebagga</t>
  </si>
  <si>
    <t>Corey-Lock</t>
  </si>
  <si>
    <t>Natalie Webber</t>
  </si>
  <si>
    <t>Toby Braunhardt</t>
  </si>
  <si>
    <t>Joel Eaton</t>
  </si>
  <si>
    <t>Dianna Vittorini</t>
  </si>
  <si>
    <t>Anna Andreadi</t>
  </si>
  <si>
    <t>Brian Stugart</t>
  </si>
  <si>
    <t>Denise Leinenbach</t>
  </si>
  <si>
    <t>Liz Pelletier</t>
  </si>
  <si>
    <t>Noel Staavos</t>
  </si>
  <si>
    <t>Grace Kelly</t>
  </si>
  <si>
    <t>Liz MacKendrick</t>
  </si>
  <si>
    <t>Cynthia Arntzen</t>
  </si>
  <si>
    <t>Rob Williams</t>
  </si>
  <si>
    <t>Dan Lawera</t>
  </si>
  <si>
    <t>Helen Abelman</t>
  </si>
  <si>
    <t>Russell Applegate</t>
  </si>
  <si>
    <t>Anthony Rawles</t>
  </si>
  <si>
    <t>Michael Stewart</t>
  </si>
  <si>
    <t>Brian DeCherney</t>
  </si>
  <si>
    <t>Eric Hoffmann</t>
  </si>
  <si>
    <t>Maxwell Schwartz</t>
  </si>
  <si>
    <t>Michael Chen</t>
  </si>
  <si>
    <t>Dan Campbell</t>
  </si>
  <si>
    <t>Dennis Pardue</t>
  </si>
  <si>
    <t>Don Miller</t>
  </si>
  <si>
    <t>Emily Phan</t>
  </si>
  <si>
    <t>Becky Castell</t>
  </si>
  <si>
    <t>Michelle Huthwaite</t>
  </si>
  <si>
    <t>Ed Braxton</t>
  </si>
  <si>
    <t>Brian Moss</t>
  </si>
  <si>
    <t>Gary Hansen</t>
  </si>
  <si>
    <t>Darrin Sayre</t>
  </si>
  <si>
    <t>Mark Hamilton</t>
  </si>
  <si>
    <t>Jamie Kunitz</t>
  </si>
  <si>
    <t>Alyssa Crouse</t>
  </si>
  <si>
    <t>Max Engle</t>
  </si>
  <si>
    <t>Paul Van Hugh</t>
  </si>
  <si>
    <t>Arthur Wiediger</t>
  </si>
  <si>
    <t>Philip Brown</t>
  </si>
  <si>
    <t>Shirley Schmidt</t>
  </si>
  <si>
    <t>Barbara Fisher</t>
  </si>
  <si>
    <t>Adrian Hane</t>
  </si>
  <si>
    <t>Jack Lebron</t>
  </si>
  <si>
    <t>Christine Abelman</t>
  </si>
  <si>
    <t>Eugene Moren</t>
  </si>
  <si>
    <t>Katherine Murray</t>
  </si>
  <si>
    <t>Scot Wooten</t>
  </si>
  <si>
    <t>Charles Crestani</t>
  </si>
  <si>
    <t>Roger Demir</t>
  </si>
  <si>
    <t>Michelle Ellison</t>
  </si>
  <si>
    <t>Harry Marie</t>
  </si>
  <si>
    <t>Erin Mull</t>
  </si>
  <si>
    <t>Alejandro Ballentine</t>
  </si>
  <si>
    <t>John Lucas</t>
  </si>
  <si>
    <t>Arthur Gainer</t>
  </si>
  <si>
    <t>Nick Crebassa</t>
  </si>
  <si>
    <t>Ken Lonsdale</t>
  </si>
  <si>
    <t>Carl Ludwig</t>
  </si>
  <si>
    <t>Sheri Gordon</t>
  </si>
  <si>
    <t>Luke Foster</t>
  </si>
  <si>
    <t>Aaron Smayling</t>
  </si>
  <si>
    <t>Barry Blumstein</t>
  </si>
  <si>
    <t>Tom Stivers</t>
  </si>
  <si>
    <t>Ivan Liston</t>
  </si>
  <si>
    <t>Ann Steele</t>
  </si>
  <si>
    <t>Nick Zandusky</t>
  </si>
  <si>
    <t>Berenike Kampe</t>
  </si>
  <si>
    <t>Valerie Dominguez</t>
  </si>
  <si>
    <t>Chad Sievert</t>
  </si>
  <si>
    <t>Sonia Sunley</t>
  </si>
  <si>
    <t>Ricardo Sperren</t>
  </si>
  <si>
    <t>Gary Zandusky</t>
  </si>
  <si>
    <t>Roland Fjeld</t>
  </si>
  <si>
    <t>Trudy Brown</t>
  </si>
  <si>
    <t>Lena Radford</t>
  </si>
  <si>
    <t>Maria Bertelson</t>
  </si>
  <si>
    <t>Matt Abelman</t>
  </si>
  <si>
    <t>Vivek Gonzalez</t>
  </si>
  <si>
    <t>Andy Gerbode</t>
  </si>
  <si>
    <t>Emily Ducich</t>
  </si>
  <si>
    <t>Matthew Grinstein</t>
  </si>
  <si>
    <t>Joseph Holt</t>
  </si>
  <si>
    <t>Gene McClure</t>
  </si>
  <si>
    <t>Charles Sheldon</t>
  </si>
  <si>
    <t>Ben Wallace</t>
  </si>
  <si>
    <t>Duane Huffman</t>
  </si>
  <si>
    <t>Keith Herrera</t>
  </si>
  <si>
    <t>Christine Sundaresam</t>
  </si>
  <si>
    <t>Troy Staebel</t>
  </si>
  <si>
    <t>Don Jones</t>
  </si>
  <si>
    <t>Lena Hernandez</t>
  </si>
  <si>
    <t>Craig Reiter</t>
  </si>
  <si>
    <t>Deanra Eno</t>
  </si>
  <si>
    <t>Jeremy Pistek</t>
  </si>
  <si>
    <t>Rick Hansen</t>
  </si>
  <si>
    <t>Robert Barroso</t>
  </si>
  <si>
    <t>Arthur Prichep</t>
  </si>
  <si>
    <t>Jennifer Patt</t>
  </si>
  <si>
    <t>Dorothy Wardle</t>
  </si>
  <si>
    <t>Ryan Crowe</t>
  </si>
  <si>
    <t>Janet Molinari</t>
  </si>
  <si>
    <t>Mitch Webber</t>
  </si>
  <si>
    <t>Joe Elijah</t>
  </si>
  <si>
    <t>Frank Merwin</t>
  </si>
  <si>
    <t>Karl Braun</t>
  </si>
  <si>
    <t>Paul Prost</t>
  </si>
  <si>
    <t>Zuschuss Donatelli</t>
  </si>
  <si>
    <t>Corey Catlett</t>
  </si>
  <si>
    <t>Hilary Holden</t>
  </si>
  <si>
    <t>Ryan Akin</t>
  </si>
  <si>
    <t>Annie Thurman</t>
  </si>
  <si>
    <t>Shirley Jackson</t>
  </si>
  <si>
    <t>Larry Tron</t>
  </si>
  <si>
    <t>Katherine Ducich</t>
  </si>
  <si>
    <t>Mathew Reese</t>
  </si>
  <si>
    <t>Nora Preis</t>
  </si>
  <si>
    <t>Patrick Ryan</t>
  </si>
  <si>
    <t>Victoria Pisteka</t>
  </si>
  <si>
    <t>Dennis Kane</t>
  </si>
  <si>
    <t>Sam Zeldin</t>
  </si>
  <si>
    <t>Lisa Ryan</t>
  </si>
  <si>
    <t>Becky Martin</t>
  </si>
  <si>
    <t>Lisa Hazard</t>
  </si>
  <si>
    <t>Karen Carlisle</t>
  </si>
  <si>
    <t>Stefania Perrino</t>
  </si>
  <si>
    <t>Marc Crier</t>
  </si>
  <si>
    <t>Kean Takahito</t>
  </si>
  <si>
    <t>Maribeth Schnelling</t>
  </si>
  <si>
    <t>Rick Reed</t>
  </si>
  <si>
    <t>Logan Currie</t>
  </si>
  <si>
    <t>Daniel Lacy</t>
  </si>
  <si>
    <t>Chris Cortes</t>
  </si>
  <si>
    <t>Sandra Flanagan</t>
  </si>
  <si>
    <t>Liz Willingham</t>
  </si>
  <si>
    <t>Brad Norvell</t>
  </si>
  <si>
    <t>Pete Takahito</t>
  </si>
  <si>
    <t>Tom Ashbrook</t>
  </si>
  <si>
    <t>Luke Weiss</t>
  </si>
  <si>
    <t>Erin Ashbrook</t>
  </si>
  <si>
    <t>Jessica Myrick</t>
  </si>
  <si>
    <t>Odella Nelson</t>
  </si>
  <si>
    <t>Jennifer Braxton</t>
  </si>
  <si>
    <t>Astrea Jones</t>
  </si>
  <si>
    <t>John Castell</t>
  </si>
  <si>
    <t>Darrin Martin</t>
  </si>
  <si>
    <t>Monica Federle</t>
  </si>
  <si>
    <t>Anthony Garverick</t>
  </si>
  <si>
    <t>Joseph Airdo</t>
  </si>
  <si>
    <t>Frank Atkinson</t>
  </si>
  <si>
    <t>Mike Caudle</t>
  </si>
  <si>
    <t>Jim Kriz</t>
  </si>
  <si>
    <t>Philip Fox</t>
  </si>
  <si>
    <t>Erica Smith</t>
  </si>
  <si>
    <t>Michelle Arnett</t>
  </si>
  <si>
    <t>Duane Noonan</t>
  </si>
  <si>
    <t>Sarah Brown</t>
  </si>
  <si>
    <t>Henry Goldwyn</t>
  </si>
  <si>
    <t>Jack Garza</t>
  </si>
  <si>
    <t>Larry Hughes</t>
  </si>
  <si>
    <t>Sara Luxemburg</t>
  </si>
  <si>
    <t>Vivek Grady</t>
  </si>
  <si>
    <t>Adam Shillingsburg</t>
  </si>
  <si>
    <t>Thea Hudgings</t>
  </si>
  <si>
    <t>Julie Prescott</t>
  </si>
  <si>
    <t>Thomas Thornton</t>
  </si>
  <si>
    <t>Julia Dunbar</t>
  </si>
  <si>
    <t>Michelle Tran</t>
  </si>
  <si>
    <t>Barry Franz</t>
  </si>
  <si>
    <t>Nicole Brennan</t>
  </si>
  <si>
    <t>Christopher Schild</t>
  </si>
  <si>
    <t>Karen Ferguson</t>
  </si>
  <si>
    <t>Thea Hendricks</t>
  </si>
  <si>
    <t>George Zrebassa</t>
  </si>
  <si>
    <t>Keith Dawkins</t>
  </si>
  <si>
    <t>Suzanne McNair</t>
  </si>
  <si>
    <t>Lisa DeCherney</t>
  </si>
  <si>
    <t>Evan Bailliet</t>
  </si>
  <si>
    <t>Kelly Williams</t>
  </si>
  <si>
    <t>Doug Bickford</t>
  </si>
  <si>
    <t>Dario Medina</t>
  </si>
  <si>
    <t>Erin Smith</t>
  </si>
  <si>
    <t>Beth Paige</t>
  </si>
  <si>
    <t>Allen Rosenblatt</t>
  </si>
  <si>
    <t>Denny Ordway</t>
  </si>
  <si>
    <t>Russell D'Ascenzo</t>
  </si>
  <si>
    <t>David Flashing</t>
  </si>
  <si>
    <t>Joy Daniels</t>
  </si>
  <si>
    <t>Brian Derr</t>
  </si>
  <si>
    <t>Alice McCarthy</t>
  </si>
  <si>
    <t>Tanja Norvell</t>
  </si>
  <si>
    <t>Fred Chung</t>
  </si>
  <si>
    <t>Jill Fjeld</t>
  </si>
  <si>
    <t>Helen Andreada</t>
  </si>
  <si>
    <t>Barry Pond</t>
  </si>
  <si>
    <t>Zuschuss Carroll</t>
  </si>
  <si>
    <t>Sibella Parks</t>
  </si>
  <si>
    <t>Jim Epp</t>
  </si>
  <si>
    <t>Hunter Glantz</t>
  </si>
  <si>
    <t>Toby Carlisle</t>
  </si>
  <si>
    <t>Anna Chung</t>
  </si>
  <si>
    <t>Lynn Smith</t>
  </si>
  <si>
    <t>Tracy Blumstein</t>
  </si>
  <si>
    <t>Alan Schoenberger</t>
  </si>
  <si>
    <t>Luke Schmidt</t>
  </si>
  <si>
    <t>Ivan Gibson</t>
  </si>
  <si>
    <t>Jeremy Farry</t>
  </si>
  <si>
    <t>Rachel Payne</t>
  </si>
  <si>
    <t>Eugene Hildebrand</t>
  </si>
  <si>
    <t>Fred Hopkins</t>
  </si>
  <si>
    <t>Lindsay Shagiari</t>
  </si>
  <si>
    <t>Sylvia Foulston</t>
  </si>
  <si>
    <t>Maureen Gastineau</t>
  </si>
  <si>
    <t>Daniel Byrd</t>
  </si>
  <si>
    <t>Angele Hood</t>
  </si>
  <si>
    <t>Ross DeVincentis</t>
  </si>
  <si>
    <t>Todd Sumrall</t>
  </si>
  <si>
    <t>Bill Tyler</t>
  </si>
  <si>
    <t>Noah Childs</t>
  </si>
  <si>
    <t>Greg Guthrie</t>
  </si>
  <si>
    <t>Anne McFarland</t>
  </si>
  <si>
    <t>Amy Cox</t>
  </si>
  <si>
    <t>Nancy Lomonaco</t>
  </si>
  <si>
    <t>Ken Heidel</t>
  </si>
  <si>
    <t>Paul Lucas</t>
  </si>
  <si>
    <t>Deirdre Greer</t>
  </si>
  <si>
    <t>Patrick O'Brill</t>
  </si>
  <si>
    <t>Julie Kriz</t>
  </si>
  <si>
    <t>Shahid Hopkins</t>
  </si>
  <si>
    <t>Steven Ward</t>
  </si>
  <si>
    <t>Denise Monton</t>
  </si>
  <si>
    <t>Tracy Collins</t>
  </si>
  <si>
    <t>MaryBeth Skach</t>
  </si>
  <si>
    <t>William Brown</t>
  </si>
  <si>
    <t>Tiffany House</t>
  </si>
  <si>
    <t>Maribeth Dona</t>
  </si>
  <si>
    <t>Barry Gonzalez</t>
  </si>
  <si>
    <t>Benjamin Farhat</t>
  </si>
  <si>
    <t>Pete Kriz</t>
  </si>
  <si>
    <t>Tracy Zic</t>
  </si>
  <si>
    <t>Karen Daniels</t>
  </si>
  <si>
    <t>Roy FranzÃ¶sisch</t>
  </si>
  <si>
    <t>Darren Budd</t>
  </si>
  <si>
    <t>Maris LaWare</t>
  </si>
  <si>
    <t>Jeremy Lonsdale</t>
  </si>
  <si>
    <t>Candace McMahon</t>
  </si>
  <si>
    <t>Robert Marley</t>
  </si>
  <si>
    <t>Jamie Frazer</t>
  </si>
  <si>
    <t>Peter BÃ¼hler</t>
  </si>
  <si>
    <t>Rick Huthwaite</t>
  </si>
  <si>
    <t>Adam Hart</t>
  </si>
  <si>
    <t>Alan Barnes</t>
  </si>
  <si>
    <t>Justin Deggeller</t>
  </si>
  <si>
    <t>Yoseph Carroll</t>
  </si>
  <si>
    <t>Randy Bradley</t>
  </si>
  <si>
    <t>Pierre Wener</t>
  </si>
  <si>
    <t>Ann Blume</t>
  </si>
  <si>
    <t>Joe Kamberova</t>
  </si>
  <si>
    <t>Julie Creighton</t>
  </si>
  <si>
    <t>Michael Kennedy</t>
  </si>
  <si>
    <t>John Murray</t>
  </si>
  <si>
    <t>Georgia Rosenberg</t>
  </si>
  <si>
    <t>Dennis Bolton</t>
  </si>
  <si>
    <t>Alan Dominguez</t>
  </si>
  <si>
    <t>Dave Hallsten</t>
  </si>
  <si>
    <t>Jason Klamczynski</t>
  </si>
  <si>
    <t>Steve Carroll</t>
  </si>
  <si>
    <t>Tony Chapman</t>
  </si>
  <si>
    <t>Susan Pistek</t>
  </si>
  <si>
    <t>Saphhira Shifley</t>
  </si>
  <si>
    <t>Phillip Breyer</t>
  </si>
  <si>
    <t>Sally Matthias</t>
  </si>
  <si>
    <t>Nathan Gelder</t>
  </si>
  <si>
    <t>Harold Ryan</t>
  </si>
  <si>
    <t>Darren Koutras</t>
  </si>
  <si>
    <t>Nat Gilpin</t>
  </si>
  <si>
    <t>Alyssa Tate</t>
  </si>
  <si>
    <t>Andy Reiter</t>
  </si>
  <si>
    <t>Bart Folk</t>
  </si>
  <si>
    <t>Mary O'Rourke</t>
  </si>
  <si>
    <t>Brian Thompson</t>
  </si>
  <si>
    <t>Matthew Clasen</t>
  </si>
  <si>
    <t>Bill Stewart</t>
  </si>
  <si>
    <t>Alan Hwang</t>
  </si>
  <si>
    <t>Toby Ritter</t>
  </si>
  <si>
    <t>David Philippe</t>
  </si>
  <si>
    <t>Michael Dominguez</t>
  </si>
  <si>
    <t>Katherine Nockton</t>
  </si>
  <si>
    <t>Matt Collins</t>
  </si>
  <si>
    <t>Elizabeth Moffitt</t>
  </si>
  <si>
    <t>Cathy Prescott</t>
  </si>
  <si>
    <t>David Kendrick</t>
  </si>
  <si>
    <t>Roy Collins</t>
  </si>
  <si>
    <t>Nona Balk</t>
  </si>
  <si>
    <t>Rob Lucas</t>
  </si>
  <si>
    <t>Joni Blumstein</t>
  </si>
  <si>
    <t>Frank Preis</t>
  </si>
  <si>
    <t>Thomas Boland</t>
  </si>
  <si>
    <t>Tim Brockman</t>
  </si>
  <si>
    <t>Denny Joy</t>
  </si>
  <si>
    <t>Sally Hughsby</t>
  </si>
  <si>
    <t>Craig Yedwab</t>
  </si>
  <si>
    <t>Logan Haushalter</t>
  </si>
  <si>
    <t>Ralph Arnett</t>
  </si>
  <si>
    <t>Kimberly Carter</t>
  </si>
  <si>
    <t>Sung Shariari</t>
  </si>
  <si>
    <t>Cari Sayre</t>
  </si>
  <si>
    <t>Sung Pak</t>
  </si>
  <si>
    <t>Chad Cunningham</t>
  </si>
  <si>
    <t>Steve Chapman</t>
  </si>
  <si>
    <t>Stefanie Holloman</t>
  </si>
  <si>
    <t>Sean Christensen</t>
  </si>
  <si>
    <t>Erin Creighton</t>
  </si>
  <si>
    <t>Mike Kennedy</t>
  </si>
  <si>
    <t>Irene Maddox</t>
  </si>
  <si>
    <t>Penelope Sewall</t>
  </si>
  <si>
    <t>Tony Sayre</t>
  </si>
  <si>
    <t>Khloe Miller</t>
  </si>
  <si>
    <t>Tamara Willingham</t>
  </si>
  <si>
    <t>Sarah Foster</t>
  </si>
  <si>
    <t>Craig Carreira</t>
  </si>
  <si>
    <t>Clytie Kelty</t>
  </si>
  <si>
    <t>Maureen Gnade</t>
  </si>
  <si>
    <t>Thomas Brumley</t>
  </si>
  <si>
    <t>Debra Catini</t>
  </si>
  <si>
    <t>Michael Granlund</t>
  </si>
  <si>
    <t>Ricardo Emerson</t>
  </si>
  <si>
    <t>Ken Brennan</t>
  </si>
  <si>
    <t>Maureen Fritzler</t>
  </si>
  <si>
    <t>Alex Russell</t>
  </si>
  <si>
    <t>Pamela Coakley</t>
  </si>
  <si>
    <t>James Lanier</t>
  </si>
  <si>
    <t>Claudia Bergmann</t>
  </si>
  <si>
    <t>Amy Hunt</t>
  </si>
  <si>
    <t>Andrew Gjertsen</t>
  </si>
  <si>
    <t>Yana Sorensen</t>
  </si>
  <si>
    <t>Cindy Schnelling</t>
  </si>
  <si>
    <t>Karen Seio</t>
  </si>
  <si>
    <t>Cyra Reiten</t>
  </si>
  <si>
    <t>Rick Wilson</t>
  </si>
  <si>
    <t>Trudy Schmidt</t>
  </si>
  <si>
    <t>Lori Olson</t>
  </si>
  <si>
    <t>Sarah Jordon</t>
  </si>
  <si>
    <t>Guy Thornton</t>
  </si>
  <si>
    <t>Lindsay Castell</t>
  </si>
  <si>
    <t>Nora Paige</t>
  </si>
  <si>
    <t>Tracy Poddar</t>
  </si>
  <si>
    <t>Dave Kipp</t>
  </si>
  <si>
    <t>Alan Haines</t>
  </si>
  <si>
    <t>Jennifer Jackson</t>
  </si>
  <si>
    <t>Dana Kaydos</t>
  </si>
  <si>
    <t>Toby Gnade</t>
  </si>
  <si>
    <t>Edward Becker</t>
  </si>
  <si>
    <t>Jeremy Ellison</t>
  </si>
  <si>
    <t>Jesus Ocampo</t>
  </si>
  <si>
    <t>Corinna Mitchell</t>
  </si>
  <si>
    <t>Bart Watters</t>
  </si>
  <si>
    <t>Julia West</t>
  </si>
  <si>
    <t>Dean Braden</t>
  </si>
  <si>
    <t>Fred Wasserman</t>
  </si>
  <si>
    <t>Ben Peterman</t>
  </si>
  <si>
    <t>Benjamin Venier</t>
  </si>
  <si>
    <t>Chad McGuire</t>
  </si>
  <si>
    <t>Michael Oakman</t>
  </si>
  <si>
    <t>John Dryer</t>
  </si>
  <si>
    <t>Robert Dilbeck</t>
  </si>
  <si>
    <t>Anthony Witt</t>
  </si>
  <si>
    <t>Heather Jas</t>
  </si>
  <si>
    <t>Eugene Barchas</t>
  </si>
  <si>
    <t>Theone Pippenger</t>
  </si>
  <si>
    <t>Michael Paige</t>
  </si>
  <si>
    <t>Olvera Toch</t>
  </si>
  <si>
    <t>Juliana Krohn</t>
  </si>
  <si>
    <t>Linda Southworth</t>
  </si>
  <si>
    <t>Jane Waco</t>
  </si>
  <si>
    <t>David Bremer</t>
  </si>
  <si>
    <t>Julia Barnett</t>
  </si>
  <si>
    <t>Lena Cacioppo</t>
  </si>
  <si>
    <t>Stuart Van</t>
  </si>
  <si>
    <t>Anna Gayman</t>
  </si>
  <si>
    <t>Rose O'Brian</t>
  </si>
  <si>
    <t>Justin Hirsh</t>
  </si>
  <si>
    <t>Neil Knudson</t>
  </si>
  <si>
    <t>Edward Nazzal</t>
  </si>
  <si>
    <t>Brendan Dodson</t>
  </si>
  <si>
    <t>Bill Donatelli</t>
  </si>
  <si>
    <t>Muhammed Lee</t>
  </si>
  <si>
    <t>Catherine Glotzbach</t>
  </si>
  <si>
    <t>Becky Pak</t>
  </si>
  <si>
    <t>Brenda Bowman</t>
  </si>
  <si>
    <t>Eleni McCrary</t>
  </si>
  <si>
    <t>Max Jones</t>
  </si>
  <si>
    <t>Giulietta Baptist</t>
  </si>
  <si>
    <t>Jonathan Howell</t>
  </si>
  <si>
    <t>Frank Carlisle</t>
  </si>
  <si>
    <t>Skye Norling</t>
  </si>
  <si>
    <t>Stewart Carmichael</t>
  </si>
  <si>
    <t>Shaun Weien</t>
  </si>
  <si>
    <t>Cathy Hwang</t>
  </si>
  <si>
    <t>Rob Haberlin</t>
  </si>
  <si>
    <t>Bruce Degenhardt</t>
  </si>
  <si>
    <t>Victor Preis</t>
  </si>
  <si>
    <t>Kalyca Meade</t>
  </si>
  <si>
    <t>Fred McMath</t>
  </si>
  <si>
    <t>Victoria Brennan</t>
  </si>
  <si>
    <t>Thais Sissman</t>
  </si>
  <si>
    <t>Ralph Kennedy</t>
  </si>
  <si>
    <t>Brad Eason</t>
  </si>
  <si>
    <t>Parhena Norris</t>
  </si>
  <si>
    <t>Eudokia Martin</t>
  </si>
  <si>
    <t>Denny Blanton</t>
  </si>
  <si>
    <t>Philisse Overcash</t>
  </si>
  <si>
    <t>Tim Taslimi</t>
  </si>
  <si>
    <t>Joni Wasserman</t>
  </si>
  <si>
    <t>Shaun Chance</t>
  </si>
  <si>
    <t>Dave Poirier</t>
  </si>
  <si>
    <t>Roger Barcio</t>
  </si>
  <si>
    <t>Fred Harton</t>
  </si>
  <si>
    <t>Katrina Willman</t>
  </si>
  <si>
    <t>Cathy Armstrong</t>
  </si>
  <si>
    <t>Chuck Clark</t>
  </si>
  <si>
    <t>Neoma Murray</t>
  </si>
  <si>
    <t>Bobby Odegard</t>
  </si>
  <si>
    <t>Ken Dana</t>
  </si>
  <si>
    <t>Brendan Murry</t>
  </si>
  <si>
    <t>Ann Chong</t>
  </si>
  <si>
    <t>Meg O'Connel</t>
  </si>
  <si>
    <t>Justin Ritter</t>
  </si>
  <si>
    <t>Adam Bellavance</t>
  </si>
  <si>
    <t>Charlotte Melton</t>
  </si>
  <si>
    <t>Sanjit Jacobs</t>
  </si>
  <si>
    <t>Carlos Meador</t>
  </si>
  <si>
    <t>Dan Reichenbach</t>
  </si>
  <si>
    <t>Bryan Spruell</t>
  </si>
  <si>
    <t>Helen Wasserman</t>
  </si>
  <si>
    <t>Eric Murdock</t>
  </si>
  <si>
    <t>Henry MacAllister</t>
  </si>
  <si>
    <t>Joel Jenkins</t>
  </si>
  <si>
    <t>Gene Hale</t>
  </si>
  <si>
    <t>Sean O'Donnell</t>
  </si>
  <si>
    <t>Claire Gute</t>
  </si>
  <si>
    <t>Jay Fein</t>
  </si>
  <si>
    <t>Maribeth Yedwab</t>
  </si>
  <si>
    <t>Sandra Glassco</t>
  </si>
  <si>
    <t>Kelly Collister</t>
  </si>
  <si>
    <t>Emily Grady</t>
  </si>
  <si>
    <t>Christy Brittain</t>
  </si>
  <si>
    <t>Meg Tillman</t>
  </si>
  <si>
    <t>Doug O'Connell</t>
  </si>
  <si>
    <t>Maria Zettner</t>
  </si>
  <si>
    <t>Greg Hansen</t>
  </si>
  <si>
    <t>Patrick Bzostek</t>
  </si>
  <si>
    <t>Katrina Bavinger</t>
  </si>
  <si>
    <t>Tom Prescott</t>
  </si>
  <si>
    <t>Ritsa Hightower</t>
  </si>
  <si>
    <t>Matt Hagelstein</t>
  </si>
  <si>
    <t>Stephanie Ulpright</t>
  </si>
  <si>
    <t>Art Ferguson</t>
  </si>
  <si>
    <t>Tonja Turnell</t>
  </si>
  <si>
    <t>Stuart Calhoun</t>
  </si>
  <si>
    <t>Doug Jacobs</t>
  </si>
  <si>
    <t>Peter McVee</t>
  </si>
  <si>
    <t>Evan Minnotte</t>
  </si>
  <si>
    <t>Elpida Rittenbach</t>
  </si>
  <si>
    <t>Jim Radford</t>
  </si>
  <si>
    <t>Dionis Lloyd</t>
  </si>
  <si>
    <t>Brad Thomas</t>
  </si>
  <si>
    <t>Bill Overfelt</t>
  </si>
  <si>
    <t>Erica Bern</t>
  </si>
  <si>
    <t>Joy Bell-</t>
  </si>
  <si>
    <t>Bill Eplett</t>
  </si>
  <si>
    <t>Todd Boyes</t>
  </si>
  <si>
    <t>Harold Engle</t>
  </si>
  <si>
    <t>Bobby Elias</t>
  </si>
  <si>
    <t>Don Weiss</t>
  </si>
  <si>
    <t>Jason Gross</t>
  </si>
  <si>
    <t>Caroline Jumper</t>
  </si>
  <si>
    <t>Bryan Davis</t>
  </si>
  <si>
    <t>Henia Zydlo</t>
  </si>
  <si>
    <t>Susan Vittorini</t>
  </si>
  <si>
    <t>Janet Martin</t>
  </si>
  <si>
    <t>Sean Wendt</t>
  </si>
  <si>
    <t>Jill Matthias</t>
  </si>
  <si>
    <t>Clay Rozendal</t>
  </si>
  <si>
    <t>Ed Ludwig</t>
  </si>
  <si>
    <t>Craig Leslie</t>
  </si>
  <si>
    <t>Rob Beeghly</t>
  </si>
  <si>
    <t>Chris McAfee</t>
  </si>
  <si>
    <t>Susan MacKendrick</t>
  </si>
  <si>
    <t>Lindsay Williams</t>
  </si>
  <si>
    <t>Cynthia Voltz</t>
  </si>
  <si>
    <t>Alejandro Savely</t>
  </si>
  <si>
    <t>Christopher Conant</t>
  </si>
  <si>
    <t>Robert Waldorf</t>
  </si>
  <si>
    <t>Scot Coram</t>
  </si>
  <si>
    <t>Liz Preis</t>
  </si>
  <si>
    <t>Roy Skaria</t>
  </si>
  <si>
    <t>Darrin Van Huff</t>
  </si>
  <si>
    <t>Jim Sink</t>
  </si>
  <si>
    <t>Ted Butterfield</t>
  </si>
  <si>
    <t>Lela Donovan</t>
  </si>
  <si>
    <t>Phillip Flathmann</t>
  </si>
  <si>
    <t>Anemone Ratner</t>
  </si>
  <si>
    <t>Larry Blacks</t>
  </si>
  <si>
    <t>Alex Grayson</t>
  </si>
  <si>
    <t>Max Ludwig</t>
  </si>
  <si>
    <t>Anthony O'Donnell</t>
  </si>
  <si>
    <t>Mick Hernandez</t>
  </si>
  <si>
    <t>Charles McCrossin</t>
  </si>
  <si>
    <t>Sung Chung</t>
  </si>
  <si>
    <t>Adrian Shami</t>
  </si>
  <si>
    <t>Ralph Ritter</t>
  </si>
  <si>
    <t>Neola Schneider</t>
  </si>
  <si>
    <t>Carol Darley</t>
  </si>
  <si>
    <t>Sally Knutson</t>
  </si>
  <si>
    <t>Justin Ellison</t>
  </si>
  <si>
    <t>Carl Jackson</t>
  </si>
  <si>
    <t>Roland Murray</t>
  </si>
  <si>
    <t>Michelle Lonsdale</t>
  </si>
  <si>
    <t>Tony Molinari</t>
  </si>
  <si>
    <t>Mitch Gastineau</t>
  </si>
  <si>
    <t>Clay Cheatham</t>
  </si>
  <si>
    <t>Chuck Sachs</t>
  </si>
  <si>
    <t>Jenna Caffey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</si>
</sst>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409]* #,##0.0_ ;_-[$$-409]* \-#,##0.0\ ;_-[$$-409]* &quot;-&quot;??_ ;_-@_ "/>
    <numFmt numFmtId="165" formatCode="_-[$$-409]* #,##0.00_ ;_-[$$-409]* \-#,##0.00\ ;_-[$$-409]* &quot;-&quot;??_ ;_-@_ "/>
  </numFmts>
  <fonts count="2" x14ac:knownFonts="1">
    <font>
      <sz val="11"/>
      <color theme="1"/>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164" fontId="0" fillId="0" borderId="0" xfId="0" applyNumberFormat="1"/>
    <xf numFmtId="0" fontId="1" fillId="2" borderId="0" xfId="0" applyFont="1" applyFill="1"/>
    <xf numFmtId="0" fontId="0" fillId="0" borderId="0" xfId="0" applyAlignment="1">
      <alignment horizontal="left"/>
    </xf>
    <xf numFmtId="165" fontId="0" fillId="0" borderId="0" xfId="0" applyNumberFormat="1"/>
  </cellXfs>
  <cellStyles count="1">
    <cellStyle name="Normal" xfId="0" builtinId="0"/>
  </cellStyles>
  <dxfs count="8">
    <dxf>
      <numFmt numFmtId="164" formatCode="_-[$$-409]* #,##0.0_ ;_-[$$-409]* \-#,##0.0\ ;_-[$$-409]* &quot;-&quot;??_ ;_-@_ "/>
    </dxf>
    <dxf>
      <numFmt numFmtId="164" formatCode="_-[$$-409]* #,##0.0_ ;_-[$$-409]* \-#,##0.0\ ;_-[$$-409]* &quot;-&quot;??_ ;_-@_ "/>
    </dxf>
    <dxf>
      <numFmt numFmtId="164" formatCode="_-[$$-409]* #,##0.0_ ;_-[$$-409]* \-#,##0.0\ ;_-[$$-409]* &quot;-&quot;??_ ;_-@_ "/>
    </dxf>
    <dxf>
      <numFmt numFmtId="164" formatCode="_-[$$-409]* #,##0.0_ ;_-[$$-409]* \-#,##0.0\ ;_-[$$-409]* &quot;-&quot;??_ ;_-@_ "/>
    </dxf>
    <dxf>
      <numFmt numFmtId="165" formatCode="_-[$$-409]* #,##0.00_ ;_-[$$-409]* \-#,##0.00\ ;_-[$$-409]* &quot;-&quot;??_ ;_-@_ "/>
    </dxf>
    <dxf>
      <numFmt numFmtId="164" formatCode="_-[$$-409]* #,##0.0_ ;_-[$$-409]* \-#,##0.0\ ;_-[$$-409]* &quot;-&quot;??_ ;_-@_ "/>
    </dxf>
    <dxf>
      <numFmt numFmtId="164" formatCode="_-[$$-409]* #,##0.0_ ;_-[$$-409]* \-#,##0.0\ ;_-[$$-409]* &quot;-&quot;??_ ;_-@_ "/>
    </dxf>
    <dxf>
      <numFmt numFmtId="164" formatCode="_-[$$-409]* #,##0.0_ ;_-[$$-409]* \-#,##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2.xml"/><Relationship Id="rId7" Type="http://schemas.openxmlformats.org/officeDocument/2006/relationships/theme" Target="theme/theme1.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3.xml"/><Relationship Id="rId5" Type="http://schemas.microsoft.com/office/2007/relationships/slicerCache" Target="slicerCaches/slicerCache2.xml"/><Relationship Id="rId10" Type="http://schemas.openxmlformats.org/officeDocument/2006/relationships/calcChain" Target="calcChain.xml"/><Relationship Id="rId4" Type="http://schemas.microsoft.com/office/2007/relationships/slicerCache" Target="slicerCaches/slicerCache1.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17</xdr:col>
      <xdr:colOff>259080</xdr:colOff>
      <xdr:row>7</xdr:row>
      <xdr:rowOff>137161</xdr:rowOff>
    </xdr:from>
    <xdr:to>
      <xdr:col>18</xdr:col>
      <xdr:colOff>1226821</xdr:colOff>
      <xdr:row>17</xdr:row>
      <xdr:rowOff>22861</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F066B935-AE3D-4494-A284-F8E0256E6EE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801555" y="1404646"/>
              <a:ext cx="1820276" cy="16963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312420</xdr:colOff>
      <xdr:row>12</xdr:row>
      <xdr:rowOff>15241</xdr:rowOff>
    </xdr:from>
    <xdr:to>
      <xdr:col>27</xdr:col>
      <xdr:colOff>609600</xdr:colOff>
      <xdr:row>22</xdr:row>
      <xdr:rowOff>1</xdr:rowOff>
    </xdr:to>
    <mc:AlternateContent xmlns:mc="http://schemas.openxmlformats.org/markup-compatibility/2006">
      <mc:Choice xmlns:a14="http://schemas.microsoft.com/office/drawing/2010/main" Requires="a14">
        <xdr:graphicFrame macro="">
          <xdr:nvGraphicFramePr>
            <xdr:cNvPr id="3" name="Month">
              <a:extLst>
                <a:ext uri="{FF2B5EF4-FFF2-40B4-BE49-F238E27FC236}">
                  <a16:creationId xmlns:a16="http://schemas.microsoft.com/office/drawing/2014/main" id="{544AA86E-0012-4BE3-989A-DAFE63FCDD16}"/>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1655965" y="2188073"/>
              <a:ext cx="1791001" cy="17954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182880</xdr:colOff>
      <xdr:row>22</xdr:row>
      <xdr:rowOff>45721</xdr:rowOff>
    </xdr:from>
    <xdr:to>
      <xdr:col>18</xdr:col>
      <xdr:colOff>1112521</xdr:colOff>
      <xdr:row>32</xdr:row>
      <xdr:rowOff>121921</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FC6E4923-D974-40B3-A28F-6FCF95F07D6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3725355" y="4029246"/>
              <a:ext cx="1782176" cy="18868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Sales%20and%20Profit%20Dashboard%20Data.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Sales%20and%20Profit%20Dashboard%20Data.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KALA M" refreshedDate="45972.402636921295" createdVersion="8" refreshedVersion="8" minRefreshableVersion="3" recordCount="8315" xr:uid="{C68AF605-5B29-403D-952F-772BD37996FC}">
  <cacheSource type="worksheet">
    <worksheetSource ref="A1:K1048576" sheet="Sheet1" r:id="rId2"/>
  </cacheSource>
  <cacheFields count="11">
    <cacheField name="Order Date" numFmtId="0">
      <sharedItems containsString="0" containsBlank="1" containsNumber="1" containsInteger="1" minValue="44199" maxValue="45535"/>
    </cacheField>
    <cacheField name="Customer Name" numFmtId="0">
      <sharedItems containsBlank="1" count="790">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m/>
      </sharedItems>
    </cacheField>
    <cacheField name="State" numFmtId="0">
      <sharedItems containsBlank="1" count="50">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m/>
      </sharedItems>
    </cacheField>
    <cacheField name="Category" numFmtId="0">
      <sharedItems containsBlank="1" count="4">
        <s v="Office Supplies"/>
        <s v="Furniture"/>
        <s v="Technology"/>
        <m/>
      </sharedItems>
    </cacheField>
    <cacheField name="Sub-Category" numFmtId="0">
      <sharedItems containsBlank="1" count="18">
        <s v="Paper"/>
        <s v="Labels"/>
        <s v="Storage"/>
        <s v="Binders"/>
        <s v="Art"/>
        <s v="Chairs"/>
        <s v="Phones"/>
        <s v="Fasteners"/>
        <s v="Furnishings"/>
        <s v="Accessories"/>
        <s v="Envelopes"/>
        <s v="Bookcases"/>
        <s v="Appliances"/>
        <s v="Tables"/>
        <s v="Supplies"/>
        <s v="Machines"/>
        <s v="Copiers"/>
        <m/>
      </sharedItems>
    </cacheField>
    <cacheField name="Product Name" numFmtId="0">
      <sharedItems containsBlank="1"/>
    </cacheField>
    <cacheField name="Sales" numFmtId="0">
      <sharedItems containsString="0" containsBlank="1" containsNumber="1" minValue="0.44" maxValue="22638.48"/>
    </cacheField>
    <cacheField name="Quantity" numFmtId="0">
      <sharedItems containsString="0" containsBlank="1" containsNumber="1" containsInteger="1" minValue="1" maxValue="14"/>
    </cacheField>
    <cacheField name="Profit" numFmtId="0">
      <sharedItems containsString="0" containsBlank="1" containsNumber="1" minValue="-6599.98" maxValue="8399.98" count="4619">
        <n v="5.55"/>
        <n v="4.2699999999999996"/>
        <n v="-64.77"/>
        <n v="-5.49"/>
        <n v="4.88"/>
        <n v="9.33"/>
        <n v="5.24"/>
        <n v="746.41"/>
        <n v="274.49"/>
        <n v="1.48"/>
        <n v="113.67"/>
        <n v="204.11"/>
        <n v="0.31"/>
        <n v="3.01"/>
        <n v="-53.71"/>
        <n v="-18.25"/>
        <n v="1.17"/>
        <n v="9.75"/>
        <n v="1.36"/>
        <n v="21.3"/>
        <n v="3.08"/>
        <n v="5.34"/>
        <n v="25.47"/>
        <n v="258.7"/>
        <n v="2.71"/>
        <n v="34.35"/>
        <n v="87.35"/>
        <n v="238.65"/>
        <n v="3.93"/>
        <n v="6.57"/>
        <n v="13.09"/>
        <n v="-2.52"/>
        <n v="-53.29"/>
        <n v="65.98"/>
        <n v="28.6"/>
        <n v="-31.05"/>
        <n v="-13.63"/>
        <n v="10.15"/>
        <n v="6.49"/>
        <n v="-23.72"/>
        <n v="19.62"/>
        <n v="36.69"/>
        <n v="-320.60000000000002"/>
        <n v="181.98"/>
        <n v="6.66"/>
        <n v="11.58"/>
        <n v="1.79"/>
        <n v="10.97"/>
        <n v="224.27"/>
        <n v="9.2899999999999991"/>
        <n v="5.79"/>
        <n v="4.05"/>
        <n v="30.02"/>
        <n v="8.9499999999999993"/>
        <n v="93.58"/>
        <n v="15.98"/>
        <n v="12.74"/>
        <n v="4.8600000000000003"/>
        <n v="13.37"/>
        <n v="-51.52"/>
        <n v="4.0999999999999996"/>
        <n v="19.239999999999998"/>
        <n v="0"/>
        <n v="30.78"/>
        <n v="8.34"/>
        <n v="4.47"/>
        <n v="52.63"/>
        <n v="5.0199999999999996"/>
        <n v="39.75"/>
        <n v="14.31"/>
        <n v="-16.649999999999999"/>
        <n v="12.03"/>
        <n v="1.33"/>
        <n v="4.75"/>
        <n v="6.9"/>
        <n v="3.42"/>
        <n v="206.32"/>
        <n v="5.8"/>
        <n v="-12.22"/>
        <n v="13.57"/>
        <n v="27.25"/>
        <n v="4.3099999999999996"/>
        <n v="29.01"/>
        <n v="16.09"/>
        <n v="6.04"/>
        <n v="7.2"/>
        <n v="42.02"/>
        <n v="42.04"/>
        <n v="-14.77"/>
        <n v="49.6"/>
        <n v="9.74"/>
        <n v="5.53"/>
        <n v="103.16"/>
        <n v="75.37"/>
        <n v="8.2100000000000009"/>
        <n v="15.22"/>
        <n v="6.87"/>
        <n v="4.43"/>
        <n v="53.27"/>
        <n v="24.39"/>
        <n v="2.6"/>
        <n v="-24.29"/>
        <n v="6.07"/>
        <n v="86.39"/>
        <n v="22.95"/>
        <n v="4.7699999999999996"/>
        <n v="7.21"/>
        <n v="-1.73"/>
        <n v="-13.93"/>
        <n v="8.81"/>
        <n v="-11.32"/>
        <n v="22.43"/>
        <n v="6.91"/>
        <n v="6.22"/>
        <n v="-13.72"/>
        <n v="2.34"/>
        <n v="-6.86"/>
        <n v="11.1"/>
        <n v="7.69"/>
        <n v="3.4"/>
        <n v="51.48"/>
        <n v="1.6"/>
        <n v="-172.12"/>
        <n v="5.68"/>
        <n v="-3.53"/>
        <n v="-34.950000000000003"/>
        <n v="-22.67"/>
        <n v="8.58"/>
        <n v="-43.03"/>
        <n v="17.47"/>
        <n v="1.07"/>
        <n v="32.130000000000003"/>
        <n v="4.5999999999999996"/>
        <n v="40.869999999999997"/>
        <n v="9.18"/>
        <n v="4.91"/>
        <n v="-199.62"/>
        <n v="-10.050000000000001"/>
        <n v="-459.61"/>
        <n v="-23.49"/>
        <n v="17.75"/>
        <n v="2.33"/>
        <n v="15.48"/>
        <n v="177.59"/>
        <n v="5.4"/>
        <n v="16.75"/>
        <n v="45.98"/>
        <n v="5.48"/>
        <n v="4.66"/>
        <n v="33.64"/>
        <n v="9.5"/>
        <n v="21.84"/>
        <n v="54.18"/>
        <n v="10.74"/>
        <n v="-15.91"/>
        <n v="9.36"/>
        <n v="2.29"/>
        <n v="1.7"/>
        <n v="49.01"/>
        <n v="38.159999999999997"/>
        <n v="14.17"/>
        <n v="164.63"/>
        <n v="7.02"/>
        <n v="2.0699999999999998"/>
        <n v="1.25"/>
        <n v="284.98"/>
        <n v="11.17"/>
        <n v="3.24"/>
        <n v="6.62"/>
        <n v="5.77"/>
        <n v="20.170000000000002"/>
        <n v="156.05000000000001"/>
        <n v="2.64"/>
        <n v="31.87"/>
        <n v="17.850000000000001"/>
        <n v="5.14"/>
        <n v="-5.53"/>
        <n v="-31.67"/>
        <n v="47.82"/>
        <n v="29.5"/>
        <n v="36.57"/>
        <n v="23.59"/>
        <n v="5.71"/>
        <n v="25.1"/>
        <n v="17.22"/>
        <n v="-447.59"/>
        <n v="-553.65"/>
        <n v="-122.78"/>
        <n v="16.38"/>
        <n v="75.97"/>
        <n v="0.33"/>
        <n v="1.88"/>
        <n v="5.44"/>
        <n v="5.37"/>
        <n v="14.92"/>
        <n v="6.35"/>
        <n v="7.68"/>
        <n v="8.49"/>
        <n v="41.15"/>
        <n v="-16.43"/>
        <n v="-1811.08"/>
        <n v="7.48"/>
        <n v="1"/>
        <n v="8.08"/>
        <n v="5.92"/>
        <n v="15.29"/>
        <n v="70.489999999999995"/>
        <n v="14.43"/>
        <n v="415.99"/>
        <n v="334.11"/>
        <n v="28.35"/>
        <n v="3.99"/>
        <n v="1.96"/>
        <n v="-25.74"/>
        <n v="1.37"/>
        <n v="5.5"/>
        <n v="53.2"/>
        <n v="1.2"/>
        <n v="1.59"/>
        <n v="-3.86"/>
        <n v="909.98"/>
        <n v="60.26"/>
        <n v="2.7"/>
        <n v="59.01"/>
        <n v="22.2"/>
        <n v="6.59"/>
        <n v="-10.92"/>
        <n v="-5.86"/>
        <n v="-39.46"/>
        <n v="23.24"/>
        <n v="-35.36"/>
        <n v="6.51"/>
        <n v="85.9"/>
        <n v="37.799999999999997"/>
        <n v="3.22"/>
        <n v="11.7"/>
        <n v="14.57"/>
        <n v="65.209999999999994"/>
        <n v="1.9"/>
        <n v="3.72"/>
        <n v="15.92"/>
        <n v="9.92"/>
        <n v="8.6199999999999992"/>
        <n v="0.84"/>
        <n v="9.43"/>
        <n v="2.88"/>
        <n v="9"/>
        <n v="106.62"/>
        <n v="22.68"/>
        <n v="-143.25"/>
        <n v="-152.72"/>
        <n v="20.85"/>
        <n v="2.94"/>
        <n v="-12.1"/>
        <n v="113.31"/>
        <n v="88.18"/>
        <n v="-9.09"/>
        <n v="6.47"/>
        <n v="252.59"/>
        <n v="14.83"/>
        <n v="-0.6"/>
        <n v="-13.83"/>
        <n v="14"/>
        <n v="-1.31"/>
        <n v="98.48"/>
        <n v="-10.119999999999999"/>
        <n v="1.06"/>
        <n v="14.8"/>
        <n v="2.68"/>
        <n v="3.06"/>
        <n v="7.13"/>
        <n v="293.98"/>
        <n v="40.270000000000003"/>
        <n v="9.35"/>
        <n v="10.47"/>
        <n v="46.2"/>
        <n v="5.58"/>
        <n v="57.59"/>
        <n v="9.07"/>
        <n v="2.35"/>
        <n v="23.81"/>
        <n v="2.25"/>
        <n v="9.3000000000000007"/>
        <n v="42.99"/>
        <n v="26.63"/>
        <n v="7.58"/>
        <n v="8.41"/>
        <n v="83.28"/>
        <n v="3.91"/>
        <n v="18.09"/>
        <n v="4.58"/>
        <n v="20.69"/>
        <n v="56.53"/>
        <n v="-35.93"/>
        <n v="-2.19"/>
        <n v="-36.11"/>
        <n v="21.9"/>
        <n v="111.1"/>
        <n v="2.0299999999999998"/>
        <n v="15.63"/>
        <n v="12.91"/>
        <n v="18.45"/>
        <n v="23.77"/>
        <n v="131.99"/>
        <n v="2.78"/>
        <n v="163.79"/>
        <n v="27.99"/>
        <n v="50.24"/>
        <n v="0.83"/>
        <n v="6.89"/>
        <n v="316.14"/>
        <n v="-11.83"/>
        <n v="2.4900000000000002"/>
        <n v="139.99"/>
        <n v="-94.66"/>
        <n v="81.59"/>
        <n v="3.63"/>
        <n v="41.99"/>
        <n v="3.35"/>
        <n v="265.42"/>
        <n v="24.38"/>
        <n v="9.24"/>
        <n v="91.32"/>
        <n v="94.07"/>
        <n v="38.36"/>
        <n v="6.56"/>
        <n v="-18.149999999999999"/>
        <n v="15.55"/>
        <n v="16.27"/>
        <n v="1.1200000000000001"/>
        <n v="-407.98"/>
        <n v="10.07"/>
        <n v="8.39"/>
        <n v="3.6"/>
        <n v="31.02"/>
        <n v="76.98"/>
        <n v="9.77"/>
        <n v="97.19"/>
        <n v="3.8"/>
        <n v="3.55"/>
        <n v="1.01"/>
        <n v="-18.12"/>
        <n v="50.41"/>
        <n v="28.5"/>
        <n v="26.65"/>
        <n v="26.7"/>
        <n v="34.21"/>
        <n v="-95.67"/>
        <n v="5.61"/>
        <n v="-131.94999999999999"/>
        <n v="27.56"/>
        <n v="121.44"/>
        <n v="-1.75"/>
        <n v="-12.06"/>
        <n v="-5.24"/>
        <n v="7.82"/>
        <n v="22.99"/>
        <n v="0.55000000000000004"/>
        <n v="63.68"/>
        <n v="78.510000000000005"/>
        <n v="148.69999999999999"/>
        <n v="23.03"/>
        <n v="5.72"/>
        <n v="6.21"/>
        <n v="9.39"/>
        <n v="129.38"/>
        <n v="1.5"/>
        <n v="1.51"/>
        <n v="2.5099999999999998"/>
        <n v="-37.729999999999997"/>
        <n v="126"/>
        <n v="5.94"/>
        <n v="12.99"/>
        <n v="8.61"/>
        <n v="70.2"/>
        <n v="-1.25"/>
        <n v="5.19"/>
        <n v="16.25"/>
        <n v="45.49"/>
        <n v="214.76"/>
        <n v="90"/>
        <n v="10.35"/>
        <n v="14.56"/>
        <n v="3.95"/>
        <n v="21.06"/>
        <n v="9.89"/>
        <n v="2.84"/>
        <n v="1.85"/>
        <n v="3.9"/>
        <n v="19.03"/>
        <n v="4.24"/>
        <n v="11.54"/>
        <n v="-9.1300000000000008"/>
        <n v="3.96"/>
        <n v="5.35"/>
        <n v="16.66"/>
        <n v="52.78"/>
        <n v="2.72"/>
        <n v="30.22"/>
        <n v="7.91"/>
        <n v="-38.85"/>
        <n v="244.25"/>
        <n v="240"/>
        <n v="4.07"/>
        <n v="40.31"/>
        <n v="14.99"/>
        <n v="4.54"/>
        <n v="21.77"/>
        <n v="77.48"/>
        <n v="4.3600000000000003"/>
        <n v="-216.98"/>
        <n v="5.3"/>
        <n v="19.18"/>
        <n v="125.3"/>
        <n v="11.08"/>
        <n v="32.1"/>
        <n v="7.26"/>
        <n v="6.3"/>
        <n v="-84.29"/>
        <n v="7.62"/>
        <n v="9.6999999999999993"/>
        <n v="-69.31"/>
        <n v="-172.56"/>
        <n v="10.78"/>
        <n v="-130.01"/>
        <n v="9.99"/>
        <n v="2.4"/>
        <n v="-331.96"/>
        <n v="52.49"/>
        <n v="20.96"/>
        <n v="3.84"/>
        <n v="23.32"/>
        <n v="3.38"/>
        <n v="45.84"/>
        <n v="-168.96"/>
        <n v="3.73"/>
        <n v="5.78"/>
        <n v="1.44"/>
        <n v="26.41"/>
        <n v="9.23"/>
        <n v="9.32"/>
        <n v="11.94"/>
        <n v="60.14"/>
        <n v="-5.94"/>
        <n v="-3.64"/>
        <n v="-13.39"/>
        <n v="1276.49"/>
        <n v="173.03"/>
        <n v="10.51"/>
        <n v="219.45"/>
        <n v="8.7899999999999991"/>
        <n v="68.849999999999994"/>
        <n v="21.02"/>
        <n v="-29.25"/>
        <n v="1.63"/>
        <n v="-31.01"/>
        <n v="34"/>
        <n v="12.59"/>
        <n v="-2.63"/>
        <n v="2.38"/>
        <n v="5.84"/>
        <n v="0.15"/>
        <n v="56.2"/>
        <n v="56.98"/>
        <n v="-166.32"/>
        <n v="-24.19"/>
        <n v="6.73"/>
        <n v="27.36"/>
        <n v="20.16"/>
        <n v="31.49"/>
        <n v="22.53"/>
        <n v="23.23"/>
        <n v="7.7"/>
        <n v="-5.14"/>
        <n v="3.18"/>
        <n v="-28.36"/>
        <n v="7.19"/>
        <n v="125.27"/>
        <n v="38"/>
        <n v="-30.56"/>
        <n v="5.74"/>
        <n v="2.21"/>
        <n v="51.36"/>
        <n v="6.13"/>
        <n v="-184.84"/>
        <n v="26.39"/>
        <n v="134.56"/>
        <n v="77.86"/>
        <n v="17.98"/>
        <n v="135"/>
        <n v="197.99"/>
        <n v="32.979999999999997"/>
        <n v="580.54"/>
        <n v="41.68"/>
        <n v="23.94"/>
        <n v="496.07"/>
        <n v="12.44"/>
        <n v="20.92"/>
        <n v="83.87"/>
        <n v="9.1"/>
        <n v="229.3"/>
        <n v="66.510000000000005"/>
        <n v="12.38"/>
        <n v="19.440000000000001"/>
        <n v="22"/>
        <n v="2.65"/>
        <n v="67.19"/>
        <n v="107.08"/>
        <n v="113.49"/>
        <n v="7.49"/>
        <n v="5.18"/>
        <n v="-40"/>
        <n v="9.9499999999999993"/>
        <n v="5.88"/>
        <n v="21.08"/>
        <n v="-44.2"/>
        <n v="6.7"/>
        <n v="4.9400000000000004"/>
        <n v="50.47"/>
        <n v="4.46"/>
        <n v="-347.12"/>
        <n v="-38.11"/>
        <n v="4.72"/>
        <n v="33.83"/>
        <n v="-0.91"/>
        <n v="22.48"/>
        <n v="-20.56"/>
        <n v="-209.77"/>
        <n v="73.19"/>
        <n v="10.65"/>
        <n v="25.68"/>
        <n v="83.84"/>
        <n v="1.97"/>
        <n v="90.72"/>
        <n v="34.47"/>
        <n v="85.31"/>
        <n v="68.36"/>
        <n v="0.6"/>
        <n v="10.4"/>
        <n v="6.16"/>
        <n v="10.63"/>
        <n v="245.02"/>
        <n v="4.7"/>
        <n v="36.4"/>
        <n v="14.21"/>
        <n v="240.86"/>
        <n v="4.79"/>
        <n v="57.49"/>
        <n v="-18.559999999999999"/>
        <n v="-57"/>
        <n v="-14.57"/>
        <n v="11.88"/>
        <n v="32.39"/>
        <n v="19.46"/>
        <n v="10.5"/>
        <n v="14.34"/>
        <n v="31.01"/>
        <n v="2.62"/>
        <n v="1061.57"/>
        <n v="12.23"/>
        <n v="-5.09"/>
        <n v="-19.87"/>
        <n v="4.08"/>
        <n v="-97.72"/>
        <n v="-127.37"/>
        <n v="155.72999999999999"/>
        <n v="1.69"/>
        <n v="74.05"/>
        <n v="10.32"/>
        <n v="357.19"/>
        <n v="1.0900000000000001"/>
        <n v="-8.1300000000000008"/>
        <n v="-16.78"/>
        <n v="8.4"/>
        <n v="0.65"/>
        <n v="28.79"/>
        <n v="-172.49"/>
        <n v="3.89"/>
        <n v="-7.2"/>
        <n v="9.0399999999999991"/>
        <n v="160.66999999999999"/>
        <n v="26.87"/>
        <n v="352.31"/>
        <n v="56.57"/>
        <n v="9.7200000000000006"/>
        <n v="-4.8600000000000003"/>
        <n v="-15.18"/>
        <n v="-6.03"/>
        <n v="1.08"/>
        <n v="1.75"/>
        <n v="0.35"/>
        <n v="0.96"/>
        <n v="11.2"/>
        <n v="19.8"/>
        <n v="17.91"/>
        <n v="0.82"/>
        <n v="22.35"/>
        <n v="53.75"/>
        <n v="14.52"/>
        <n v="-2.4300000000000002"/>
        <n v="-22.8"/>
        <n v="117.43"/>
        <n v="3.04"/>
        <n v="3.69"/>
        <n v="4.87"/>
        <n v="108.8"/>
        <n v="1.64"/>
        <n v="10.37"/>
        <n v="2.9"/>
        <n v="108.74"/>
        <n v="6.97"/>
        <n v="71.989999999999995"/>
        <n v="-3.63"/>
        <n v="19.97"/>
        <n v="2.1800000000000002"/>
        <n v="62.14"/>
        <n v="10.92"/>
        <n v="7.64"/>
        <n v="163.19"/>
        <n v="-44.16"/>
        <n v="-35.18"/>
        <n v="67.86"/>
        <n v="0.38"/>
        <n v="-6.87"/>
        <n v="15.99"/>
        <n v="175"/>
        <n v="47.85"/>
        <n v="-46.74"/>
        <n v="12.08"/>
        <n v="-87.94"/>
        <n v="4.49"/>
        <n v="1.41"/>
        <n v="14.14"/>
        <n v="4.6500000000000004"/>
        <n v="7.05"/>
        <n v="2.2200000000000002"/>
        <n v="57.41"/>
        <n v="213.74"/>
        <n v="52.13"/>
        <n v="7.06"/>
        <n v="43.2"/>
        <n v="23.09"/>
        <n v="6.4"/>
        <n v="47.81"/>
        <n v="2.8"/>
        <n v="-17.46"/>
        <n v="44.96"/>
        <n v="13.85"/>
        <n v="13"/>
        <n v="3.28"/>
        <n v="-14.64"/>
        <n v="0.56999999999999995"/>
        <n v="4.3899999999999997"/>
        <n v="-46.39"/>
        <n v="3.83"/>
        <n v="6.29"/>
        <n v="-2.25"/>
        <n v="-13.99"/>
        <n v="4.68"/>
        <n v="11.05"/>
        <n v="1.31"/>
        <n v="-25.91"/>
        <n v="4.5199999999999996"/>
        <n v="93.59"/>
        <n v="-4.03"/>
        <n v="9.6"/>
        <n v="1.83"/>
        <n v="38.57"/>
        <n v="-14.23"/>
        <n v="-140.19999999999999"/>
        <n v="-5.2"/>
        <n v="-21.89"/>
        <n v="50.33"/>
        <n v="3.16"/>
        <n v="9.76"/>
        <n v="15.49"/>
        <n v="30.28"/>
        <n v="10.73"/>
        <n v="15.1"/>
        <n v="5.86"/>
        <n v="160.62"/>
        <n v="25.79"/>
        <n v="50.1"/>
        <n v="27.28"/>
        <n v="-12.98"/>
        <n v="29.67"/>
        <n v="-93.99"/>
        <n v="-1.83"/>
        <n v="1.67"/>
        <n v="3.23"/>
        <n v="71.77"/>
        <n v="68.59"/>
        <n v="19.16"/>
        <n v="-5.71"/>
        <n v="179.19"/>
        <n v="0.92"/>
        <n v="-29.94"/>
        <n v="8"/>
        <n v="60.48"/>
        <n v="11.8"/>
        <n v="4.95"/>
        <n v="15.04"/>
        <n v="327.51"/>
        <n v="34.28"/>
        <n v="4.5"/>
        <n v="-29.34"/>
        <n v="114"/>
        <n v="-109.58"/>
        <n v="36.18"/>
        <n v="70.099999999999994"/>
        <n v="34.700000000000003"/>
        <n v="18.329999999999998"/>
        <n v="76.56"/>
        <n v="9.26"/>
        <n v="-3701.89"/>
        <n v="-10.06"/>
        <n v="-26.85"/>
        <n v="-26.95"/>
        <n v="-13.32"/>
        <n v="-12.09"/>
        <n v="38.08"/>
        <n v="32.229999999999997"/>
        <n v="16.52"/>
        <n v="259.89"/>
        <n v="12.14"/>
        <n v="10.220000000000001"/>
        <n v="29.36"/>
        <n v="1.92"/>
        <n v="12.55"/>
        <n v="9.1199999999999992"/>
        <n v="226.36"/>
        <n v="-161.88"/>
        <n v="0.28999999999999998"/>
        <n v="18.78"/>
        <n v="26.6"/>
        <n v="33.72"/>
        <n v="305.13"/>
        <n v="219.44"/>
        <n v="4.26"/>
        <n v="35"/>
        <n v="7.95"/>
        <n v="4.78"/>
        <n v="27.53"/>
        <n v="124.68"/>
        <n v="104.72"/>
        <n v="9.84"/>
        <n v="53.26"/>
        <n v="21.26"/>
        <n v="0.63"/>
        <n v="12.87"/>
        <n v="22.25"/>
        <n v="2.0099999999999998"/>
        <n v="294.67"/>
        <n v="36.72"/>
        <n v="41.93"/>
        <n v="22.65"/>
        <n v="83.99"/>
        <n v="22.07"/>
        <n v="434.99"/>
        <n v="55.75"/>
        <n v="91.77"/>
        <n v="-3.03"/>
        <n v="-10.8"/>
        <n v="110.05"/>
        <n v="275"/>
        <n v="37.229999999999997"/>
        <n v="17.25"/>
        <n v="22.63"/>
        <n v="-7.77"/>
        <n v="22.3"/>
        <n v="68.2"/>
        <n v="-43.83"/>
        <n v="643.98"/>
        <n v="2.69"/>
        <n v="-0.95"/>
        <n v="-6.54"/>
        <n v="5.43"/>
        <n v="10.79"/>
        <n v="18.77"/>
        <n v="98.11"/>
        <n v="50.4"/>
        <n v="31.61"/>
        <n v="10.89"/>
        <n v="4.2"/>
        <n v="41.72"/>
        <n v="15.84"/>
        <n v="-1.04"/>
        <n v="6.74"/>
        <n v="98.14"/>
        <n v="-52.63"/>
        <n v="30.21"/>
        <n v="29.69"/>
        <n v="17.13"/>
        <n v="42.81"/>
        <n v="41.82"/>
        <n v="6.25"/>
        <n v="15.09"/>
        <n v="-12.2"/>
        <n v="-227.49"/>
        <n v="52.53"/>
        <n v="8.26"/>
        <n v="4.5599999999999996"/>
        <n v="122.39"/>
        <n v="1.74"/>
        <n v="-58.86"/>
        <n v="1.1499999999999999"/>
        <n v="172.48"/>
        <n v="26.03"/>
        <n v="22.57"/>
        <n v="-6.02"/>
        <n v="145.07"/>
        <n v="421.59"/>
        <n v="1.03"/>
        <n v="-1.81"/>
        <n v="5.66"/>
        <n v="22.5"/>
        <n v="17.350000000000001"/>
        <n v="0.51"/>
        <n v="1.27"/>
        <n v="10.77"/>
        <n v="69.709999999999994"/>
        <n v="9.5299999999999994"/>
        <n v="6.37"/>
        <n v="4.4400000000000004"/>
        <n v="6.63"/>
        <n v="14.53"/>
        <n v="1.65"/>
        <n v="44.03"/>
        <n v="30.43"/>
        <n v="13.19"/>
        <n v="75.599999999999994"/>
        <n v="-39.799999999999997"/>
        <n v="-19.809999999999999"/>
        <n v="-4.57"/>
        <n v="-2.29"/>
        <n v="-16.68"/>
        <n v="22.98"/>
        <n v="4.0599999999999996"/>
        <n v="8.5"/>
        <n v="1.55"/>
        <n v="2.48"/>
        <n v="16.010000000000002"/>
        <n v="7.38"/>
        <n v="168.19"/>
        <n v="12.52"/>
        <n v="300.74"/>
        <n v="6.41"/>
        <n v="53.86"/>
        <n v="10.81"/>
        <n v="-336.78"/>
        <n v="-110.76"/>
        <n v="11.89"/>
        <n v="9.59"/>
        <n v="18.5"/>
        <n v="15.64"/>
        <n v="8.31"/>
        <n v="57.12"/>
        <n v="8.9600000000000009"/>
        <n v="8.07"/>
        <n v="16.170000000000002"/>
        <n v="53.99"/>
        <n v="-121.27"/>
        <n v="843.17"/>
        <n v="95.19"/>
        <n v="-11.52"/>
        <n v="19.82"/>
        <n v="2"/>
        <n v="12.15"/>
        <n v="27.49"/>
        <n v="-14.58"/>
        <n v="4.32"/>
        <n v="8.4700000000000006"/>
        <n v="-559.36"/>
        <n v="23.65"/>
        <n v="20.12"/>
        <n v="213.69"/>
        <n v="28.31"/>
        <n v="109.61"/>
        <n v="14.76"/>
        <n v="-4.82"/>
        <n v="-22.95"/>
        <n v="-2.92"/>
        <n v="111.77"/>
        <n v="15.39"/>
        <n v="45.35"/>
        <n v="5.76"/>
        <n v="7.39"/>
        <n v="9.66"/>
        <n v="31.47"/>
        <n v="4.1100000000000003"/>
        <n v="-6.51"/>
        <n v="-533.73"/>
        <n v="2.73"/>
        <n v="-1359.99"/>
        <n v="-58.63"/>
        <n v="-24.86"/>
        <n v="6.81"/>
        <n v="-453.85"/>
        <n v="-79.34"/>
        <n v="12.86"/>
        <n v="30.2"/>
        <n v="24.36"/>
        <n v="4.1900000000000004"/>
        <n v="21.6"/>
        <n v="90.29"/>
        <n v="121.99"/>
        <n v="91.15"/>
        <n v="6.27"/>
        <n v="-13.81"/>
        <n v="61.46"/>
        <n v="13.44"/>
        <n v="51.8"/>
        <n v="79.89"/>
        <n v="212.19"/>
        <n v="12.84"/>
        <n v="-4.8499999999999996"/>
        <n v="-31.62"/>
        <n v="-572"/>
        <n v="12.89"/>
        <n v="3.41"/>
        <n v="7.6"/>
        <n v="22.12"/>
        <n v="76.47"/>
        <n v="21.75"/>
        <n v="30.1"/>
        <n v="2.2799999999999998"/>
        <n v="-8.0299999999999994"/>
        <n v="-46.88"/>
        <n v="7.16"/>
        <n v="10.91"/>
        <n v="149.38"/>
        <n v="12.98"/>
        <n v="420.59"/>
        <n v="-12.43"/>
        <n v="53.55"/>
        <n v="1.47"/>
        <n v="5.96"/>
        <n v="-9.7200000000000006"/>
        <n v="-2"/>
        <n v="2.19"/>
        <n v="75.989999999999995"/>
        <n v="60.88"/>
        <n v="20.059999999999999"/>
        <n v="24.47"/>
        <n v="-131.12"/>
        <n v="6.55"/>
        <n v="8.98"/>
        <n v="5.09"/>
        <n v="1.3"/>
        <n v="3.77"/>
        <n v="52.69"/>
        <n v="3.44"/>
        <n v="-108.33"/>
        <n v="1371.98"/>
        <n v="198.43"/>
        <n v="4.42"/>
        <n v="80.63"/>
        <n v="21.07"/>
        <n v="-1.36"/>
        <n v="2.14"/>
        <n v="-6.72"/>
        <n v="-13.68"/>
        <n v="16.89"/>
        <n v="6.26"/>
        <n v="12.58"/>
        <n v="-4.12"/>
        <n v="13.2"/>
        <n v="1.68"/>
        <n v="1.21"/>
        <n v="16.22"/>
        <n v="13.43"/>
        <n v="46.32"/>
        <n v="85.98"/>
        <n v="0.46"/>
        <n v="13.08"/>
        <n v="-21.95"/>
        <n v="46.47"/>
        <n v="16.78"/>
        <n v="-510"/>
        <n v="-252"/>
        <n v="3.58"/>
        <n v="-944.99"/>
        <n v="177.42"/>
        <n v="24.98"/>
        <n v="0.11"/>
        <n v="-45.83"/>
        <n v="-407.68"/>
        <n v="10.64"/>
        <n v="0.99"/>
        <n v="11.86"/>
        <n v="6.58"/>
        <n v="50.91"/>
        <n v="36.29"/>
        <n v="-70.489999999999995"/>
        <n v="3.48"/>
        <n v="3.85"/>
        <n v="157.49"/>
        <n v="140.4"/>
        <n v="-10.02"/>
        <n v="35.33"/>
        <n v="8.0500000000000007"/>
        <n v="661.46"/>
        <n v="27.72"/>
        <n v="701.99"/>
        <n v="7.53"/>
        <n v="10.88"/>
        <n v="3.11"/>
        <n v="7.31"/>
        <n v="36.82"/>
        <n v="17.329999999999998"/>
        <n v="24"/>
        <n v="9.48"/>
        <n v="4.12"/>
        <n v="-7.48"/>
        <n v="-5.04"/>
        <n v="17.170000000000002"/>
        <n v="-82.88"/>
        <n v="42.36"/>
        <n v="0.41"/>
        <n v="35.08"/>
        <n v="1.39"/>
        <n v="83.71"/>
        <n v="20.52"/>
        <n v="47.06"/>
        <n v="16.2"/>
        <n v="4630.4799999999996"/>
        <n v="10.08"/>
        <n v="5.45"/>
        <n v="6.92"/>
        <n v="2.85"/>
        <n v="15.53"/>
        <n v="8.48"/>
        <n v="10.56"/>
        <n v="-97.23"/>
        <n v="-4.3600000000000003"/>
        <n v="1.1000000000000001"/>
        <n v="2.37"/>
        <n v="-1.4"/>
        <n v="14.4"/>
        <n v="-4.58"/>
        <n v="3.1"/>
        <n v="0.47"/>
        <n v="38.46"/>
        <n v="37.64"/>
        <n v="45.29"/>
        <n v="40.17"/>
        <n v="12.49"/>
        <n v="31.28"/>
        <n v="3.74"/>
        <n v="16.850000000000001"/>
        <n v="223.05"/>
        <n v="16.79"/>
        <n v="-81.849999999999994"/>
        <n v="18.02"/>
        <n v="6.8"/>
        <n v="-337.81"/>
        <n v="-20.149999999999999"/>
        <n v="2.96"/>
        <n v="399.3"/>
        <n v="362.84"/>
        <n v="36.380000000000003"/>
        <n v="8.69"/>
        <n v="37.979999999999997"/>
        <n v="3.14"/>
        <n v="153.47"/>
        <n v="11.25"/>
        <n v="13.49"/>
        <n v="59.66"/>
        <n v="1.46"/>
        <n v="107.46"/>
        <n v="4.63"/>
        <n v="-3.26"/>
        <n v="-0.09"/>
        <n v="-70.099999999999994"/>
        <n v="3.59"/>
        <n v="13.76"/>
        <n v="4.62"/>
        <n v="4.8899999999999997"/>
        <n v="-3.56"/>
        <n v="0.87"/>
        <n v="-19.07"/>
        <n v="1.72"/>
        <n v="-3.04"/>
        <n v="-3.77"/>
        <n v="6.79"/>
        <n v="31.09"/>
        <n v="13.74"/>
        <n v="-6.55"/>
        <n v="11.49"/>
        <n v="34.99"/>
        <n v="1.91"/>
        <n v="-13.64"/>
        <n v="54.09"/>
        <n v="21.11"/>
        <n v="4.99"/>
        <n v="55.76"/>
        <n v="31.07"/>
        <n v="-3"/>
        <n v="3.52"/>
        <n v="72"/>
        <n v="66.150000000000006"/>
        <n v="-19.170000000000002"/>
        <n v="-1.57"/>
        <n v="-71.400000000000006"/>
        <n v="112.57"/>
        <n v="10.57"/>
        <n v="67.98"/>
        <n v="19.04"/>
        <n v="58.65"/>
        <n v="8.3000000000000007"/>
        <n v="-65.040000000000006"/>
        <n v="3.92"/>
        <n v="4.17"/>
        <n v="6.2"/>
        <n v="2.5"/>
        <n v="311.64999999999998"/>
        <n v="62.04"/>
        <n v="2.58"/>
        <n v="27.06"/>
        <n v="9.4700000000000006"/>
        <n v="2.81"/>
        <n v="11"/>
        <n v="16.190000000000001"/>
        <n v="-8.5299999999999994"/>
        <n v="624.99"/>
        <n v="100.69"/>
        <n v="6.94"/>
        <n v="30.09"/>
        <n v="260.61"/>
        <n v="4.04"/>
        <n v="-7.86"/>
        <n v="2.89"/>
        <n v="-17.25"/>
        <n v="-18"/>
        <n v="-1.59"/>
        <n v="11.04"/>
        <n v="362.69"/>
        <n v="70.959999999999994"/>
        <n v="19.690000000000001"/>
        <n v="-35.049999999999997"/>
        <n v="145.28"/>
        <n v="27.88"/>
        <n v="68.959999999999994"/>
        <n v="11.76"/>
        <n v="20.100000000000001"/>
        <n v="-147.87"/>
        <n v="-24.59"/>
        <n v="31.58"/>
        <n v="1.24"/>
        <n v="-14.76"/>
        <n v="7.94"/>
        <n v="13.7"/>
        <n v="-122.88"/>
        <n v="12.27"/>
        <n v="112.35"/>
        <n v="0.88"/>
        <n v="10.39"/>
        <n v="11.14"/>
        <n v="3.79"/>
        <n v="18.53"/>
        <n v="-9.59"/>
        <n v="3.2"/>
        <n v="38.4"/>
        <n v="4.03"/>
        <n v="0.06"/>
        <n v="14.42"/>
        <n v="-36.29"/>
        <n v="38.18"/>
        <n v="74.81"/>
        <n v="341.99"/>
        <n v="0.89"/>
        <n v="35.659999999999997"/>
        <n v="5.22"/>
        <n v="20.88"/>
        <n v="5.39"/>
        <n v="6.03"/>
        <n v="12.17"/>
        <n v="-9.15"/>
        <n v="47.86"/>
        <n v="18.72"/>
        <n v="4.28"/>
        <n v="15.68"/>
        <n v="7.77"/>
        <n v="481.47"/>
        <n v="-60.61"/>
        <n v="83.51"/>
        <n v="-734.53"/>
        <n v="8.2799999999999994"/>
        <n v="248"/>
        <n v="-94.33"/>
        <n v="54.59"/>
        <n v="0.9"/>
        <n v="15.54"/>
        <n v="110.12"/>
        <n v="5.0999999999999996"/>
        <n v="19.47"/>
        <n v="9.6300000000000008"/>
        <n v="154.84"/>
        <n v="82.29"/>
        <n v="9.82"/>
        <n v="16.32"/>
        <n v="-2.61"/>
        <n v="-17.940000000000001"/>
        <n v="16.04"/>
        <n v="24.12"/>
        <n v="-107.99"/>
        <n v="-13.47"/>
        <n v="239.98"/>
        <n v="105.25"/>
        <n v="-64.430000000000007"/>
        <n v="219.51"/>
        <n v="18.34"/>
        <n v="1.18"/>
        <n v="48.55"/>
        <n v="-1.62"/>
        <n v="-299.26"/>
        <n v="-10.49"/>
        <n v="-51.29"/>
        <n v="2.82"/>
        <n v="18.89"/>
        <n v="3.36"/>
        <n v="24.16"/>
        <n v="1995.99"/>
        <n v="80.02"/>
        <n v="129.6"/>
        <n v="13.07"/>
        <n v="66.63"/>
        <n v="-64.540000000000006"/>
        <n v="8.23"/>
        <n v="18.87"/>
        <n v="0.79"/>
        <n v="8.82"/>
        <n v="-34.200000000000003"/>
        <n v="-8.8000000000000007"/>
        <n v="-94.51"/>
        <n v="-6.45"/>
        <n v="40.47"/>
        <n v="20.97"/>
        <n v="-44.28"/>
        <n v="26.95"/>
        <n v="46.18"/>
        <n v="-2.21"/>
        <n v="3.56"/>
        <n v="5.87"/>
        <n v="5.82"/>
        <n v="13.88"/>
        <n v="9.06"/>
        <n v="25.02"/>
        <n v="10.48"/>
        <n v="88"/>
        <n v="28.82"/>
        <n v="45.53"/>
        <n v="21.48"/>
        <n v="60.15"/>
        <n v="4.29"/>
        <n v="28.01"/>
        <n v="14.9"/>
        <n v="1.52"/>
        <n v="112.79"/>
        <n v="11.96"/>
        <n v="13.32"/>
        <n v="0.81"/>
        <n v="56"/>
        <n v="75.489999999999995"/>
        <n v="-1480.03"/>
        <n v="-1.97"/>
        <n v="6.76"/>
        <n v="7.87"/>
        <n v="95.1"/>
        <n v="16.7"/>
        <n v="15.07"/>
        <n v="7.92"/>
        <n v="11.26"/>
        <n v="7.79"/>
        <n v="-250.54"/>
        <n v="2.02"/>
        <n v="15.32"/>
        <n v="762.59"/>
        <n v="-7.96"/>
        <n v="21.78"/>
        <n v="109.72"/>
        <n v="4.96"/>
        <n v="31.45"/>
        <n v="-3.12"/>
        <n v="20.87"/>
        <n v="12.7"/>
        <n v="-13"/>
        <n v="-6.91"/>
        <n v="25.6"/>
        <n v="233.22"/>
        <n v="6.36"/>
        <n v="5.64"/>
        <n v="5.23"/>
        <n v="14.62"/>
        <n v="0.48"/>
        <n v="29.14"/>
        <n v="7.78"/>
        <n v="204.07"/>
        <n v="146.77000000000001"/>
        <n v="5.32"/>
        <n v="3.29"/>
        <n v="10.96"/>
        <n v="14.26"/>
        <n v="14.27"/>
        <n v="-1.07"/>
        <n v="-17.989999999999998"/>
        <n v="25.2"/>
        <n v="81.58"/>
        <n v="792.27"/>
        <n v="14.93"/>
        <n v="26.57"/>
        <n v="352.3"/>
        <n v="72.430000000000007"/>
        <n v="726.56"/>
        <n v="-50.1"/>
        <n v="-99.27"/>
        <n v="12.53"/>
        <n v="-40.799999999999997"/>
        <n v="-16.32"/>
        <n v="5.28"/>
        <n v="-1.43"/>
        <n v="-23.89"/>
        <n v="-8.66"/>
        <n v="-2.08"/>
        <n v="-175.26"/>
        <n v="-30.29"/>
        <n v="-4.92"/>
        <n v="-66.8"/>
        <n v="43.22"/>
        <n v="55.02"/>
        <n v="94.93"/>
        <n v="131.03"/>
        <n v="7.25"/>
        <n v="1228.18"/>
        <n v="10.8"/>
        <n v="102.28"/>
        <n v="235.95"/>
        <n v="-1.19"/>
        <n v="57.5"/>
        <n v="78.95"/>
        <n v="1.98"/>
        <n v="17.37"/>
        <n v="216.82"/>
        <n v="301.97000000000003"/>
        <n v="3.03"/>
        <n v="156.75"/>
        <n v="290.3"/>
        <n v="-11.08"/>
        <n v="-16.47"/>
        <n v="24.22"/>
        <n v="-67.94"/>
        <n v="23.84"/>
        <n v="8.8800000000000008"/>
        <n v="-2.5499999999999998"/>
        <n v="-87.15"/>
        <n v="1.66"/>
        <n v="21.2"/>
        <n v="8.8000000000000007"/>
        <n v="-35.51"/>
        <n v="6.75"/>
        <n v="0.43"/>
        <n v="27.31"/>
        <n v="4.2300000000000004"/>
        <n v="53.35"/>
        <n v="43.6"/>
        <n v="-18.11"/>
        <n v="-209.99"/>
        <n v="-34.92"/>
        <n v="-8.08"/>
        <n v="9.67"/>
        <n v="-250.4"/>
        <n v="45.58"/>
        <n v="96.34"/>
        <n v="69.180000000000007"/>
        <n v="7.98"/>
        <n v="48.91"/>
        <n v="-4.59"/>
        <n v="93.06"/>
        <n v="12.31"/>
        <n v="-121.87"/>
        <n v="1.99"/>
        <n v="-3.96"/>
        <n v="55.9"/>
        <n v="-37.94"/>
        <n v="8.2899999999999991"/>
        <n v="47.24"/>
        <n v="54.4"/>
        <n v="-14.48"/>
        <n v="-167.27"/>
        <n v="-87.67"/>
        <n v="78.39"/>
        <n v="44.71"/>
        <n v="11.35"/>
        <n v="2.56"/>
        <n v="1.32"/>
        <n v="39.979999999999997"/>
        <n v="43.74"/>
        <n v="40.4"/>
        <n v="4.33"/>
        <n v="22.37"/>
        <n v="19.87"/>
        <n v="-4.84"/>
        <n v="11.79"/>
        <n v="34.979999999999997"/>
        <n v="-199.77"/>
        <n v="29.45"/>
        <n v="1.76"/>
        <n v="15.2"/>
        <n v="11.78"/>
        <n v="29.27"/>
        <n v="-4.43"/>
        <n v="-16.61"/>
        <n v="673.88"/>
        <n v="28.52"/>
        <n v="110"/>
        <n v="1.42"/>
        <n v="-51.98"/>
        <n v="-19.260000000000002"/>
        <n v="78.849999999999994"/>
        <n v="15.59"/>
        <n v="-110.49"/>
        <n v="15.77"/>
        <n v="-24.8"/>
        <n v="-23.98"/>
        <n v="29.95"/>
        <n v="-6.34"/>
        <n v="23.68"/>
        <n v="73.41"/>
        <n v="64.760000000000005"/>
        <n v="134.38999999999999"/>
        <n v="62.39"/>
        <n v="111.3"/>
        <n v="62.99"/>
        <n v="1.86"/>
        <n v="76.64"/>
        <n v="6.88"/>
        <n v="117.61"/>
        <n v="-30.23"/>
        <n v="-23.95"/>
        <n v="-9.18"/>
        <n v="-44.99"/>
        <n v="11.91"/>
        <n v="72.58"/>
        <n v="-14.39"/>
        <n v="4.67"/>
        <n v="-170.8"/>
        <n v="-31.54"/>
        <n v="-120.37"/>
        <n v="-7.01"/>
        <n v="-8.0500000000000007"/>
        <n v="-8.35"/>
        <n v="327.95"/>
        <n v="13.72"/>
        <n v="48.54"/>
        <n v="2.42"/>
        <n v="70.03"/>
        <n v="80.790000000000006"/>
        <n v="-4.5199999999999996"/>
        <n v="19.760000000000002"/>
        <n v="-2.6"/>
        <n v="-18.190000000000001"/>
        <n v="2.93"/>
        <n v="21.01"/>
        <n v="16.989999999999998"/>
        <n v="-1.26"/>
        <n v="20.75"/>
        <n v="-53.01"/>
        <n v="37.22"/>
        <n v="42.03"/>
        <n v="95.59"/>
        <n v="135.41"/>
        <n v="12"/>
        <n v="-336.63"/>
        <n v="4.51"/>
        <n v="7.63"/>
        <n v="41.51"/>
        <n v="0.37"/>
        <n v="-42.49"/>
        <n v="-4.17"/>
        <n v="-8.68"/>
        <n v="13.97"/>
        <n v="0.3"/>
        <n v="-52.34"/>
        <n v="42.89"/>
        <n v="2239.9899999999998"/>
        <n v="-13.9"/>
        <n v="-21.81"/>
        <n v="-108.27"/>
        <n v="-0.86"/>
        <n v="14.67"/>
        <n v="18.12"/>
        <n v="39.5"/>
        <n v="70.56"/>
        <n v="101.38"/>
        <n v="0.67"/>
        <n v="-74.95"/>
        <n v="95.99"/>
        <n v="-2.59"/>
        <n v="11.21"/>
        <n v="-4.0199999999999996"/>
        <n v="-3.69"/>
        <n v="-18.59"/>
        <n v="74.849999999999994"/>
        <n v="72.98"/>
        <n v="36.450000000000003"/>
        <n v="-7.74"/>
        <n v="493.79"/>
        <n v="29.29"/>
        <n v="100.12"/>
        <n v="3.81"/>
        <n v="74.569999999999993"/>
        <n v="152.5"/>
        <n v="12.3"/>
        <n v="1.1599999999999999"/>
        <n v="89.59"/>
        <n v="1.73"/>
        <n v="496.79"/>
        <n v="-21.47"/>
        <n v="21.59"/>
        <n v="-42.41"/>
        <n v="77.67"/>
        <n v="-49.55"/>
        <n v="-8.18"/>
        <n v="36.299999999999997"/>
        <n v="149.15"/>
        <n v="35.76"/>
        <n v="-14.59"/>
        <n v="56.26"/>
        <n v="9.91"/>
        <n v="-31.33"/>
        <n v="100.14"/>
        <n v="58.03"/>
        <n v="-19.55"/>
        <n v="15.83"/>
        <n v="1.81"/>
        <n v="15.93"/>
        <n v="6.48"/>
        <n v="-10.61"/>
        <n v="0.5"/>
        <n v="-1.05"/>
        <n v="3.47"/>
        <n v="8.73"/>
        <n v="41.43"/>
        <n v="18.27"/>
        <n v="101.35"/>
        <n v="51.15"/>
        <n v="0.2"/>
        <n v="5.52"/>
        <n v="-8.58"/>
        <n v="78.86"/>
        <n v="-24.56"/>
        <n v="-62.88"/>
        <n v="0.12"/>
        <n v="1.1100000000000001"/>
        <n v="5.63"/>
        <n v="8.16"/>
        <n v="-42.59"/>
        <n v="19.190000000000001"/>
        <n v="-19.77"/>
        <n v="3"/>
        <n v="161.97"/>
        <n v="3.62"/>
        <n v="13.89"/>
        <n v="13.9"/>
        <n v="11.72"/>
        <n v="184.26"/>
        <n v="-8.4700000000000006"/>
        <n v="-18.239999999999998"/>
        <n v="-25.11"/>
        <n v="-694.29"/>
        <n v="8.67"/>
        <n v="503.78"/>
        <n v="84.51"/>
        <n v="29.96"/>
        <n v="13.3"/>
        <n v="47.92"/>
        <n v="8.2200000000000006"/>
        <n v="287.98"/>
        <n v="19.2"/>
        <n v="126.39"/>
        <n v="23.99"/>
        <n v="-5.69"/>
        <n v="7.99"/>
        <n v="-50.67"/>
        <n v="-4.8"/>
        <n v="44.4"/>
        <n v="36"/>
        <n v="6.05"/>
        <n v="4.71"/>
        <n v="28.77"/>
        <n v="-3.66"/>
        <n v="-459.99"/>
        <n v="6.99"/>
        <n v="-50.39"/>
        <n v="-192.05"/>
        <n v="30.74"/>
        <n v="12.85"/>
        <n v="196.69"/>
        <n v="16.16"/>
        <n v="23.38"/>
        <n v="27.35"/>
        <n v="17.97"/>
        <n v="91.95"/>
        <n v="742.63"/>
        <n v="78.650000000000006"/>
        <n v="151.47"/>
        <n v="59.49"/>
        <n v="11.47"/>
        <n v="-244.32"/>
        <n v="-14.7"/>
        <n v="-950.4"/>
        <n v="4.4800000000000004"/>
        <n v="22.24"/>
        <n v="2.66"/>
        <n v="9.6199999999999992"/>
        <n v="84.66"/>
        <n v="-437.54"/>
        <n v="15.52"/>
        <n v="19.95"/>
        <n v="69.2"/>
        <n v="-6.93"/>
        <n v="4.6100000000000003"/>
        <n v="17.55"/>
        <n v="9.25"/>
        <n v="49.97"/>
        <n v="45.76"/>
        <n v="11.12"/>
        <n v="24.23"/>
        <n v="-373.3"/>
        <n v="120.95"/>
        <n v="1.56"/>
        <n v="-43.12"/>
        <n v="-21.42"/>
        <n v="24.5"/>
        <n v="38.020000000000003"/>
        <n v="92.97"/>
        <n v="4.8099999999999996"/>
        <n v="-312.06"/>
        <n v="10.01"/>
        <n v="-13.17"/>
        <n v="-8.5399999999999991"/>
        <n v="13.94"/>
        <n v="2.13"/>
        <n v="84.05"/>
        <n v="-54.6"/>
        <n v="-100.79"/>
        <n v="-36.25"/>
        <n v="-1862.31"/>
        <n v="5.01"/>
        <n v="81.849999999999994"/>
        <n v="216"/>
        <n v="16.54"/>
        <n v="16.149999999999999"/>
        <n v="50.99"/>
        <n v="41.08"/>
        <n v="35.020000000000003"/>
        <n v="15.15"/>
        <n v="1.53"/>
        <n v="266.45"/>
        <n v="82.34"/>
        <n v="-4.99"/>
        <n v="4.4000000000000004"/>
        <n v="-125.77"/>
        <n v="13.46"/>
        <n v="146.24"/>
        <n v="-27"/>
        <n v="1.8"/>
        <n v="6.5"/>
        <n v="13.53"/>
        <n v="-30.59"/>
        <n v="22.94"/>
        <n v="89.99"/>
        <n v="7.72"/>
        <n v="-11.96"/>
        <n v="-81"/>
        <n v="-1.68"/>
        <n v="9.58"/>
        <n v="187.8"/>
        <n v="64.790000000000006"/>
        <n v="195.99"/>
        <n v="26.59"/>
        <n v="13.04"/>
        <n v="4.18"/>
        <n v="157.02000000000001"/>
        <n v="17.309999999999999"/>
        <n v="41.22"/>
        <n v="28.09"/>
        <n v="-0.89"/>
        <n v="1270.99"/>
        <n v="20.63"/>
        <n v="6.72"/>
        <n v="-3.39"/>
        <n v="2.2000000000000002"/>
        <n v="-28.22"/>
        <n v="80.84"/>
        <n v="-28.27"/>
        <n v="43.84"/>
        <n v="27.01"/>
        <n v="-20.78"/>
        <n v="0.44"/>
        <n v="-36.119999999999997"/>
        <n v="34.74"/>
        <n v="165.38"/>
        <n v="50.94"/>
        <n v="63.93"/>
        <n v="67.61"/>
        <n v="16.39"/>
        <n v="-93.23"/>
        <n v="-1.29"/>
        <n v="-1.79"/>
        <n v="-7.1"/>
        <n v="-5.45"/>
        <n v="2.39"/>
        <n v="-16.82"/>
        <n v="-1.88"/>
        <n v="-470.55"/>
        <n v="95.76"/>
        <n v="377.99"/>
        <n v="52.73"/>
        <n v="33.25"/>
        <n v="170.51"/>
        <n v="97.46"/>
        <n v="189.4"/>
        <n v="223.29"/>
        <n v="82.08"/>
        <n v="29.8"/>
        <n v="22.49"/>
        <n v="-1.89"/>
        <n v="25.15"/>
        <n v="3.86"/>
        <n v="102.95"/>
        <n v="315.81"/>
        <n v="0.74"/>
        <n v="2.17"/>
        <n v="11.69"/>
        <n v="3177.48"/>
        <n v="18.11"/>
        <n v="3.39"/>
        <n v="6.31"/>
        <n v="9.1300000000000008"/>
        <n v="39.69"/>
        <n v="349.34"/>
        <n v="1480.47"/>
        <n v="100.66"/>
        <n v="19.670000000000002"/>
        <n v="-67.67"/>
        <n v="24.88"/>
        <n v="-4.4000000000000004"/>
        <n v="16.82"/>
        <n v="353.58"/>
        <n v="20.14"/>
        <n v="156.34"/>
        <n v="-9.85"/>
        <n v="96.02"/>
        <n v="5.29"/>
        <n v="-21.17"/>
        <n v="186"/>
        <n v="-33.840000000000003"/>
        <n v="14.2"/>
        <n v="0.56000000000000005"/>
        <n v="16.68"/>
        <n v="92.51"/>
        <n v="-35.909999999999997"/>
        <n v="0.52"/>
        <n v="13.13"/>
        <n v="12.51"/>
        <n v="5.03"/>
        <n v="610.86"/>
        <n v="282.20999999999998"/>
        <n v="24.94"/>
        <n v="16.03"/>
        <n v="11.23"/>
        <n v="131.28"/>
        <n v="21.25"/>
        <n v="99.94"/>
        <n v="20.77"/>
        <n v="9.56"/>
        <n v="1.45"/>
        <n v="8.11"/>
        <n v="8.5299999999999994"/>
        <n v="-110.02"/>
        <n v="-7.83"/>
        <n v="-80.48"/>
        <n v="-0.63"/>
        <n v="-13.73"/>
        <n v="24.29"/>
        <n v="32.93"/>
        <n v="4.3499999999999996"/>
        <n v="22.76"/>
        <n v="27.79"/>
        <n v="107.35"/>
        <n v="2.63"/>
        <n v="209.99"/>
        <n v="-115.72"/>
        <n v="18.399999999999999"/>
        <n v="21.14"/>
        <n v="-6.95"/>
        <n v="-68.39"/>
        <n v="-3.22"/>
        <n v="-9.8000000000000007"/>
        <n v="-211.47"/>
        <n v="89.22"/>
        <n v="6.44"/>
        <n v="5.26"/>
        <n v="-12.08"/>
        <n v="-16.88"/>
        <n v="16.18"/>
        <n v="-1181.28"/>
        <n v="47.99"/>
        <n v="-13.87"/>
        <n v="3.05"/>
        <n v="144.35"/>
        <n v="38.35"/>
        <n v="6.01"/>
        <n v="34.909999999999997"/>
        <n v="113.85"/>
        <n v="10.1"/>
        <n v="215.99"/>
        <n v="24.27"/>
        <n v="69.989999999999995"/>
        <n v="-97.74"/>
        <n v="0.39"/>
        <n v="17.82"/>
        <n v="19.39"/>
        <n v="29.58"/>
        <n v="8.02"/>
        <n v="-15.1"/>
        <n v="-113.28"/>
        <n v="-45.29"/>
        <n v="18"/>
        <n v="1.28"/>
        <n v="-27.72"/>
        <n v="0.24"/>
        <n v="-46.23"/>
        <n v="4.09"/>
        <n v="485.99"/>
        <n v="-4.9000000000000004"/>
        <n v="148.11000000000001"/>
        <n v="4.57"/>
        <n v="119.69"/>
        <n v="125.58"/>
        <n v="129.35"/>
        <n v="68.599999999999994"/>
        <n v="419.82"/>
        <n v="36.85"/>
        <n v="17.96"/>
        <n v="17.100000000000001"/>
        <n v="41.54"/>
        <n v="10.31"/>
        <n v="30.01"/>
        <n v="24.48"/>
        <n v="-6.9"/>
        <n v="-20.25"/>
        <n v="6.12"/>
        <n v="-52.83"/>
        <n v="-512.15"/>
        <n v="77.75"/>
        <n v="297.69"/>
        <n v="44.05"/>
        <n v="81.430000000000007"/>
        <n v="51.83"/>
        <n v="9.8000000000000007"/>
        <n v="131.59"/>
        <n v="35.68"/>
        <n v="7.54"/>
        <n v="4.53"/>
        <n v="90.83"/>
        <n v="76.27"/>
        <n v="-55.26"/>
        <n v="-23.78"/>
        <n v="-114.39"/>
        <n v="-18.2"/>
        <n v="-5.83"/>
        <n v="6.39"/>
        <n v="39"/>
        <n v="17.62"/>
        <n v="-76.61"/>
        <n v="8.8699999999999992"/>
        <n v="316.88"/>
        <n v="648.55999999999995"/>
        <n v="3.27"/>
        <n v="0.73"/>
        <n v="-20.329999999999998"/>
        <n v="-18.87"/>
        <n v="41.5"/>
        <n v="1906.49"/>
        <n v="-15.22"/>
        <n v="-255.74"/>
        <n v="58.66"/>
        <n v="10.45"/>
        <n v="11.09"/>
        <n v="14.3"/>
        <n v="4.41"/>
        <n v="10.52"/>
        <n v="2.99"/>
        <n v="13.86"/>
        <n v="106.54"/>
        <n v="14.23"/>
        <n v="6.52"/>
        <n v="2.0499999999999998"/>
        <n v="-0.34"/>
        <n v="-36.18"/>
        <n v="21.87"/>
        <n v="-8.92"/>
        <n v="118.29"/>
        <n v="35.26"/>
        <n v="-31.37"/>
        <n v="5.38"/>
        <n v="0.59"/>
        <n v="21.99"/>
        <n v="105.83"/>
        <n v="11.16"/>
        <n v="18.21"/>
        <n v="30.19"/>
        <n v="21.29"/>
        <n v="1014.98"/>
        <n v="23.92"/>
        <n v="-191.62"/>
        <n v="3.68"/>
        <n v="16.8"/>
        <n v="11.56"/>
        <n v="4.92"/>
        <n v="-15.93"/>
        <n v="69.650000000000006"/>
        <n v="41.57"/>
        <n v="5.6"/>
        <n v="17.760000000000002"/>
        <n v="62.81"/>
        <n v="31.75"/>
        <n v="-3.43"/>
        <n v="42"/>
        <n v="34.409999999999997"/>
        <n v="-6.1"/>
        <n v="81.260000000000005"/>
        <n v="-10.39"/>
        <n v="32"/>
        <n v="-49.92"/>
        <n v="4.93"/>
        <n v="15.12"/>
        <n v="16.12"/>
        <n v="20.39"/>
        <n v="-4.91"/>
        <n v="-52.96"/>
        <n v="8.77"/>
        <n v="-18.03"/>
        <n v="334.5"/>
        <n v="29.34"/>
        <n v="58.18"/>
        <n v="87.74"/>
        <n v="-12.8"/>
        <n v="245.7"/>
        <n v="19.59"/>
        <n v="-163.58000000000001"/>
        <n v="-13.02"/>
        <n v="84.57"/>
        <n v="58.38"/>
        <n v="11.73"/>
        <n v="53.8"/>
        <n v="50.38"/>
        <n v="7.89"/>
        <n v="-28.69"/>
        <n v="-79.91"/>
        <n v="-4.5"/>
        <n v="14.35"/>
        <n v="6"/>
        <n v="13.34"/>
        <n v="2.06"/>
        <n v="2.44"/>
        <n v="21.71"/>
        <n v="140.55000000000001"/>
        <n v="62.91"/>
        <n v="-4.16"/>
        <n v="-86.06"/>
        <n v="2.91"/>
        <n v="5.7"/>
        <n v="28.71"/>
        <n v="44.89"/>
        <n v="3.87"/>
        <n v="36.47"/>
        <n v="26.27"/>
        <n v="21.03"/>
        <n v="140.69"/>
        <n v="7.56"/>
        <n v="61.39"/>
        <n v="770.35"/>
        <n v="54.22"/>
        <n v="-61.87"/>
        <n v="-6.24"/>
        <n v="134.65"/>
        <n v="2.98"/>
        <n v="-9.16"/>
        <n v="181.66"/>
        <n v="35.99"/>
        <n v="395.99"/>
        <n v="169.18"/>
        <n v="-12.21"/>
        <n v="-393.6"/>
        <n v="-6.46"/>
        <n v="45.47"/>
        <n v="3.15"/>
        <n v="56.55"/>
        <n v="92.39"/>
        <n v="-42.8"/>
        <n v="-26.96"/>
        <n v="-8.17"/>
        <n v="10.199999999999999"/>
        <n v="15.76"/>
        <n v="-182.64"/>
        <n v="31.2"/>
        <n v="7.3"/>
        <n v="-3.14"/>
        <n v="5.08"/>
        <n v="13.73"/>
        <n v="314.99"/>
        <n v="3.88"/>
        <n v="14.96"/>
        <n v="5.1100000000000003"/>
        <n v="-19.559999999999999"/>
        <n v="-36.47"/>
        <n v="11.07"/>
        <n v="-0.73"/>
        <n v="22.56"/>
        <n v="9.34"/>
        <n v="9.8699999999999992"/>
        <n v="-25.38"/>
        <n v="1143.8900000000001"/>
        <n v="33.5"/>
        <n v="-3.33"/>
        <n v="20.72"/>
        <n v="-4.49"/>
        <n v="56.27"/>
        <n v="58.51"/>
        <n v="16.61"/>
        <n v="140.38999999999999"/>
        <n v="15.85"/>
        <n v="4.0199999999999996"/>
        <n v="-9.56"/>
        <n v="100.48"/>
        <n v="15.74"/>
        <n v="92"/>
        <n v="37.79"/>
        <n v="-525.64"/>
        <n v="456.59"/>
        <n v="74.69"/>
        <n v="-17.61"/>
        <n v="57.36"/>
        <n v="27.74"/>
        <n v="-1.48"/>
        <n v="-20.73"/>
        <n v="69.099999999999994"/>
        <n v="4.16"/>
        <n v="21.09"/>
        <n v="79.91"/>
        <n v="109.34"/>
        <n v="15.61"/>
        <n v="46.63"/>
        <n v="-376.69"/>
        <n v="55"/>
        <n v="42.23"/>
        <n v="72.89"/>
        <n v="-85.24"/>
        <n v="-92.8"/>
        <n v="48.99"/>
        <n v="8.35"/>
        <n v="45.95"/>
        <n v="-2.31"/>
        <n v="4.97"/>
        <n v="144.52000000000001"/>
        <n v="-29.48"/>
        <n v="56.58"/>
        <n v="285.99"/>
        <n v="7.43"/>
        <n v="-5.78"/>
        <n v="8.93"/>
        <n v="-2.44"/>
        <n v="63.89"/>
        <n v="156.43"/>
        <n v="60.39"/>
        <n v="-17.04"/>
        <n v="6.6"/>
        <n v="5.0599999999999996"/>
        <n v="209.24"/>
        <n v="20.02"/>
        <n v="42.05"/>
        <n v="32.54"/>
        <n v="70.55"/>
        <n v="21.4"/>
        <n v="28.48"/>
        <n v="40.5"/>
        <n v="-121.58"/>
        <n v="-2.2400000000000002"/>
        <n v="12.97"/>
        <n v="36.229999999999997"/>
        <n v="-4.75"/>
        <n v="-73.180000000000007"/>
        <n v="34.42"/>
        <n v="-37.11"/>
        <n v="193.32"/>
        <n v="103.9"/>
        <n v="-5.48"/>
        <n v="-2.99"/>
        <n v="0.69"/>
        <n v="-2.13"/>
        <n v="49.44"/>
        <n v="30.72"/>
        <n v="321.83999999999997"/>
        <n v="-66.510000000000005"/>
        <n v="18.66"/>
        <n v="49.72"/>
        <n v="-191.65"/>
        <n v="-219.16"/>
        <n v="78.77"/>
        <n v="39.630000000000003"/>
        <n v="191.97"/>
        <n v="43.78"/>
        <n v="63.14"/>
        <n v="5.41"/>
        <n v="-13.8"/>
        <n v="2.04"/>
        <n v="3.43"/>
        <n v="176.79"/>
        <n v="1.61"/>
        <n v="-1.35"/>
        <n v="9.73"/>
        <n v="49.11"/>
        <n v="-4.46"/>
        <n v="-126.48"/>
        <n v="-52.2"/>
        <n v="20.68"/>
        <n v="64.37"/>
        <n v="-18.46"/>
        <n v="56.39"/>
        <n v="28.08"/>
        <n v="49.23"/>
        <n v="39.44"/>
        <n v="-204.45"/>
        <n v="78.89"/>
        <n v="3.09"/>
        <n v="92.37"/>
        <n v="2.3199999999999998"/>
        <n v="6.18"/>
        <n v="38.97"/>
        <n v="762.18"/>
        <n v="-290.88"/>
        <n v="105.47"/>
        <n v="15.78"/>
        <n v="-175.87"/>
        <n v="2.15"/>
        <n v="41.88"/>
        <n v="-188.7"/>
        <n v="-2.1800000000000002"/>
        <n v="-11.44"/>
        <n v="-9.66"/>
        <n v="19.14"/>
        <n v="-114.02"/>
        <n v="6.46"/>
        <n v="13.06"/>
        <n v="34.07"/>
        <n v="10.68"/>
        <n v="148.49"/>
        <n v="2.23"/>
        <n v="10.86"/>
        <n v="11.9"/>
        <n v="33.04"/>
        <n v="210.49"/>
        <n v="28.8"/>
        <n v="0.97"/>
        <n v="136.94"/>
        <n v="0.22"/>
        <n v="89.31"/>
        <n v="-153.12"/>
        <n v="18.350000000000001"/>
        <n v="274.39"/>
        <n v="68.98"/>
        <n v="34.69"/>
        <n v="48.12"/>
        <n v="-31.49"/>
        <n v="15.02"/>
        <n v="12.11"/>
        <n v="34.5"/>
        <n v="13.21"/>
        <n v="5.57"/>
        <n v="15.86"/>
        <n v="10.41"/>
        <n v="8.09"/>
        <n v="28.14"/>
        <n v="18.97"/>
        <n v="0.26"/>
        <n v="211.5"/>
        <n v="105.65"/>
        <n v="-112.62"/>
        <n v="-5.46"/>
        <n v="-1.91"/>
        <n v="-2.76"/>
        <n v="3.21"/>
        <n v="-205"/>
        <n v="23.49"/>
        <n v="-5.26"/>
        <n v="-31.6"/>
        <n v="40.799999999999997"/>
        <n v="28.17"/>
        <n v="1.93"/>
        <n v="34.49"/>
        <n v="-8.98"/>
        <n v="-42.75"/>
        <n v="-3.9"/>
        <n v="-0.7"/>
        <n v="-165.77"/>
        <n v="-82.99"/>
        <n v="16.29"/>
        <n v="2.77"/>
        <n v="2.2599999999999998"/>
        <n v="-13.55"/>
        <n v="152.02000000000001"/>
        <n v="94.96"/>
        <n v="48.94"/>
        <n v="124.93"/>
        <n v="-135.77000000000001"/>
        <n v="-118.13"/>
        <n v="-4.22"/>
        <n v="-75.83"/>
        <n v="1416.8"/>
        <n v="18.39"/>
        <n v="0.72"/>
        <n v="4.59"/>
        <n v="-16.59"/>
        <n v="-6.08"/>
        <n v="-3.94"/>
        <n v="92.08"/>
        <n v="9.2200000000000006"/>
        <n v="874.99"/>
        <n v="267.70999999999998"/>
        <n v="28.96"/>
        <n v="29.15"/>
        <n v="13.96"/>
        <n v="15.11"/>
        <n v="82.5"/>
        <n v="-16.260000000000002"/>
        <n v="122.29"/>
        <n v="35.630000000000003"/>
        <n v="11.45"/>
        <n v="200.95"/>
        <n v="15.7"/>
        <n v="80.989999999999995"/>
        <n v="41.7"/>
        <n v="335.99"/>
        <n v="51.57"/>
        <n v="15.19"/>
        <n v="315.74"/>
        <n v="-7.27"/>
        <n v="-149.91"/>
        <n v="46.6"/>
        <n v="60.55"/>
        <n v="25.12"/>
        <n v="31.29"/>
        <n v="-12.96"/>
        <n v="137.15"/>
        <n v="111.59"/>
        <n v="-6.83"/>
        <n v="-6.12"/>
        <n v="-20.7"/>
        <n v="-25.22"/>
        <n v="-14.69"/>
        <n v="-7.82"/>
        <n v="18.059999999999999"/>
        <n v="-2.5299999999999998"/>
        <n v="2.1"/>
        <n v="101.39"/>
        <n v="21.45"/>
        <n v="-2.04"/>
        <n v="0.28000000000000003"/>
        <n v="-14.16"/>
        <n v="-6.98"/>
        <n v="-131.99"/>
        <n v="167.98"/>
        <n v="-120.29"/>
        <n v="8.1199999999999992"/>
        <n v="16.11"/>
        <n v="83.25"/>
        <n v="125.47"/>
        <n v="17.690000000000001"/>
        <n v="33.07"/>
        <n v="-2.57"/>
        <n v="48.96"/>
        <n v="79.760000000000005"/>
        <n v="50.56"/>
        <n v="1.58"/>
        <n v="108.18"/>
        <n v="4"/>
        <n v="96.42"/>
        <n v="29.98"/>
        <n v="60"/>
        <n v="0.57999999999999996"/>
        <n v="9.94"/>
        <n v="14.16"/>
        <n v="12.77"/>
        <n v="8.57"/>
        <n v="16"/>
        <n v="394.21"/>
        <n v="-2.0099999999999998"/>
        <n v="-12.15"/>
        <n v="-10.039999999999999"/>
        <n v="55.39"/>
        <n v="12.06"/>
        <n v="118.66"/>
        <n v="-8.51"/>
        <n v="257.70999999999998"/>
        <n v="329.99"/>
        <n v="12.69"/>
        <n v="2.5499999999999998"/>
        <n v="2.16"/>
        <n v="-2.1"/>
        <n v="8.27"/>
        <n v="200.49"/>
        <n v="306.49"/>
        <n v="-2.86"/>
        <n v="-29.44"/>
        <n v="14.63"/>
        <n v="-1665.05"/>
        <n v="-7.05"/>
        <n v="9.7100000000000009"/>
        <n v="-5.72"/>
        <n v="-10.42"/>
        <n v="-10.210000000000001"/>
        <n v="-103.27"/>
        <n v="10.9"/>
        <n v="1.04"/>
        <n v="27.43"/>
        <n v="158.58000000000001"/>
        <n v="-25.05"/>
        <n v="58.79"/>
        <n v="217.77"/>
        <n v="78.75"/>
        <n v="7.97"/>
        <n v="130"/>
        <n v="327.58"/>
        <n v="31.89"/>
        <n v="5.49"/>
        <n v="5.07"/>
        <n v="10.25"/>
        <n v="152.38999999999999"/>
        <n v="8.7100000000000009"/>
        <n v="4.34"/>
        <n v="134.33000000000001"/>
        <n v="16.96"/>
        <n v="28.86"/>
        <n v="8.86"/>
        <n v="-913.18"/>
        <n v="-58.87"/>
        <n v="47.94"/>
        <n v="2.5299999999999998"/>
        <n v="14.5"/>
        <n v="147.47999999999999"/>
        <n v="141.16"/>
        <n v="422.51"/>
        <n v="24.07"/>
        <n v="57.32"/>
        <n v="176.39"/>
        <n v="6.86"/>
        <n v="-63.01"/>
        <n v="-4.7699999999999996"/>
        <n v="0.32"/>
        <n v="-2.56"/>
        <n v="-7.72"/>
        <n v="16.59"/>
        <n v="155.25"/>
        <n v="394.27"/>
        <n v="213.7"/>
        <n v="10.43"/>
        <n v="5.42"/>
        <n v="335.85"/>
        <n v="13.17"/>
        <n v="5.54"/>
        <n v="17.989999999999998"/>
        <n v="240.26"/>
        <n v="19.829999999999998"/>
        <n v="7.09"/>
        <n v="32.25"/>
        <n v="395.96"/>
        <n v="5.16"/>
        <n v="-4.6500000000000004"/>
        <n v="-2.2799999999999998"/>
        <n v="6.84"/>
        <n v="-2.06"/>
        <n v="376.11"/>
        <n v="47.84"/>
        <n v="47.96"/>
        <n v="31.27"/>
        <n v="-48.39"/>
        <n v="14.41"/>
        <n v="-59.06"/>
        <n v="-1.5"/>
        <n v="23.1"/>
        <n v="-86.37"/>
        <n v="-100.92"/>
        <n v="18.61"/>
        <n v="58.5"/>
        <n v="296.07"/>
        <n v="28.66"/>
        <n v="-22.62"/>
        <n v="-12.75"/>
        <n v="4.76"/>
        <n v="561.55999999999995"/>
        <n v="14.28"/>
        <n v="15.25"/>
        <n v="-0.79"/>
        <n v="0.85"/>
        <n v="76.319999999999993"/>
        <n v="55.85"/>
        <n v="26.58"/>
        <n v="13.69"/>
        <n v="-8.2799999999999994"/>
        <n v="17.43"/>
        <n v="10.33"/>
        <n v="50.12"/>
        <n v="20.13"/>
        <n v="23"/>
        <n v="32.4"/>
        <n v="75.7"/>
        <n v="-5.41"/>
        <n v="4.13"/>
        <n v="19.420000000000002"/>
        <n v="13.18"/>
        <n v="-4.6399999999999997"/>
        <n v="-22.45"/>
        <n v="-2.7"/>
        <n v="-15.62"/>
        <n v="7.01"/>
        <n v="12.94"/>
        <n v="9.52"/>
        <n v="-103.86"/>
        <n v="-14.56"/>
        <n v="57.6"/>
        <n v="62.74"/>
        <n v="-70.959999999999994"/>
        <n v="8.33"/>
        <n v="303.33999999999997"/>
        <n v="10.76"/>
        <n v="8.4600000000000009"/>
        <n v="27.24"/>
        <n v="-8.6"/>
        <n v="35.1"/>
        <n v="53.98"/>
        <n v="-54.32"/>
        <n v="-383.03"/>
        <n v="2.52"/>
        <n v="2.2400000000000002"/>
        <n v="112.39"/>
        <n v="20.09"/>
        <n v="46.98"/>
        <n v="-13.98"/>
        <n v="35.29"/>
        <n v="5.65"/>
        <n v="71.27"/>
        <n v="23.44"/>
        <n v="77.739999999999995"/>
        <n v="67.989999999999995"/>
        <n v="42.88"/>
        <n v="-350.49"/>
        <n v="6.17"/>
        <n v="-95.25"/>
        <n v="1.87"/>
        <n v="214.49"/>
        <n v="3.46"/>
        <n v="-186.57"/>
        <n v="15.6"/>
        <n v="17.61"/>
        <n v="44.99"/>
        <n v="459.4"/>
        <n v="97.2"/>
        <n v="-2.84"/>
        <n v="6.09"/>
        <n v="-7.76"/>
        <n v="63.78"/>
        <n v="27.09"/>
        <n v="42.12"/>
        <n v="-13.29"/>
        <n v="2.27"/>
        <n v="20.5"/>
        <n v="161.99"/>
        <n v="-10.34"/>
        <n v="-69.47"/>
        <n v="-6.29"/>
        <n v="-73.819999999999993"/>
        <n v="-31.65"/>
        <n v="41.34"/>
        <n v="75.69"/>
        <n v="-29.12"/>
        <n v="-14.6"/>
        <n v="47.63"/>
        <n v="-161.69"/>
        <n v="9.16"/>
        <n v="103.31"/>
        <n v="74.98"/>
        <n v="-46"/>
        <n v="165"/>
        <n v="30.79"/>
        <n v="53.04"/>
        <n v="269.31"/>
        <n v="6.71"/>
        <n v="21.04"/>
        <n v="35.979999999999997"/>
        <n v="7.08"/>
        <n v="9.31"/>
        <n v="196.61"/>
        <n v="124.49"/>
        <n v="1.26"/>
        <n v="8.0299999999999994"/>
        <n v="20.2"/>
        <n v="145.78"/>
        <n v="12.65"/>
        <n v="20.04"/>
        <n v="-3.09"/>
        <n v="-0.71"/>
        <n v="1.34"/>
        <n v="106.48"/>
        <n v="1.29"/>
        <n v="601.97"/>
        <n v="125.99"/>
        <n v="1.77"/>
        <n v="13.68"/>
        <n v="51.94"/>
        <n v="49.27"/>
        <n v="8.5399999999999991"/>
        <n v="33.94"/>
        <n v="41.12"/>
        <n v="-30.15"/>
        <n v="553.39"/>
        <n v="-47"/>
        <n v="38.78"/>
        <n v="55.36"/>
        <n v="106.12"/>
        <n v="209.27"/>
        <n v="25.88"/>
        <n v="24.2"/>
        <n v="35.65"/>
        <n v="-3.52"/>
        <n v="11.92"/>
        <n v="7.93"/>
        <n v="178.8"/>
        <n v="-12.92"/>
        <n v="-1031.54"/>
        <n v="26.82"/>
        <n v="-16.96"/>
        <n v="-84.45"/>
        <n v="-51.3"/>
        <n v="-28.87"/>
        <n v="33.590000000000003"/>
        <n v="66.95"/>
        <n v="22.01"/>
        <n v="28.65"/>
        <n v="17.64"/>
        <n v="-17.29"/>
        <n v="43.16"/>
        <n v="58.81"/>
        <n v="41.04"/>
        <n v="6.98"/>
        <n v="76.55"/>
        <n v="142.99"/>
        <n v="4.7300000000000004"/>
        <n v="2229.02"/>
        <n v="115.55"/>
        <n v="11.81"/>
        <n v="-29.24"/>
        <n v="1013.13"/>
        <n v="215.12"/>
        <n v="12.32"/>
        <n v="1114.51"/>
        <n v="5.75"/>
        <n v="54"/>
        <n v="35.159999999999997"/>
        <n v="207.15"/>
        <n v="178.91"/>
        <n v="143.19"/>
        <n v="34.39"/>
        <n v="43.32"/>
        <n v="117.13"/>
        <n v="46.79"/>
        <n v="7.07"/>
        <n v="-3.73"/>
        <n v="-72.040000000000006"/>
        <n v="16.440000000000001"/>
        <n v="69.97"/>
        <n v="-26.88"/>
        <n v="-3.84"/>
        <n v="-25.82"/>
        <n v="40.35"/>
        <n v="94.49"/>
        <n v="56.99"/>
        <n v="43.19"/>
        <n v="-7.44"/>
        <n v="28.7"/>
        <n v="13.25"/>
        <n v="46.12"/>
        <n v="42.5"/>
        <n v="-18.059999999999999"/>
        <n v="-40.200000000000003"/>
        <n v="13.48"/>
        <n v="23.96"/>
        <n v="16.649999999999999"/>
        <n v="16.98"/>
        <n v="322.18"/>
        <n v="9.3800000000000008"/>
        <n v="-1.2"/>
        <n v="29.99"/>
        <n v="99.43"/>
        <n v="-17.05"/>
        <n v="-1.74"/>
        <n v="20.58"/>
        <n v="35.71"/>
        <n v="14.39"/>
        <n v="-116.84"/>
        <n v="141.28"/>
        <n v="84.52"/>
        <n v="76.09"/>
        <n v="229.99"/>
        <n v="160.18"/>
        <n v="22.86"/>
        <n v="27"/>
        <n v="-15.53"/>
        <n v="3.07"/>
        <n v="52"/>
        <n v="6.1"/>
        <n v="15.37"/>
        <n v="383.93"/>
        <n v="22.71"/>
        <n v="249.91"/>
        <n v="3.34"/>
        <n v="-15.46"/>
        <n v="30.95"/>
        <n v="6.42"/>
        <n v="9.57"/>
        <n v="-26.54"/>
        <n v="-50.3"/>
        <n v="-93.47"/>
        <n v="-247.8"/>
        <n v="-7.37"/>
        <n v="23.56"/>
        <n v="8.01"/>
        <n v="-11.34"/>
        <n v="41.17"/>
        <n v="23.12"/>
        <n v="-76.010000000000005"/>
        <n v="165.29"/>
        <n v="28.49"/>
        <n v="-1.46"/>
        <n v="-480.2"/>
        <n v="-24.04"/>
        <n v="-2.54"/>
        <n v="-67.62"/>
        <n v="-123.86"/>
        <n v="-3.82"/>
        <n v="-9.2899999999999991"/>
        <n v="-32.520000000000003"/>
        <n v="18.600000000000001"/>
        <n v="19.260000000000002"/>
        <n v="10.09"/>
        <n v="-1.98"/>
        <n v="-40.65"/>
        <n v="735.03"/>
        <n v="20.73"/>
        <n v="6.15"/>
        <n v="22.33"/>
        <n v="180.77"/>
        <n v="54.58"/>
        <n v="29.7"/>
        <n v="25.18"/>
        <n v="30.52"/>
        <n v="5.15"/>
        <n v="190.43"/>
        <n v="234"/>
        <n v="-157.01"/>
        <n v="23.51"/>
        <n v="7.35"/>
        <n v="22.67"/>
        <n v="53.5"/>
        <n v="-162.22999999999999"/>
        <n v="88.39"/>
        <n v="32.49"/>
        <n v="-8.49"/>
        <n v="56.69"/>
        <n v="-182.35"/>
        <n v="64.52"/>
        <n v="27.95"/>
        <n v="29.25"/>
        <n v="15.4"/>
        <n v="9.7799999999999994"/>
        <n v="87.57"/>
        <n v="178.9"/>
        <n v="130.87"/>
        <n v="46.93"/>
        <n v="121.76"/>
        <n v="-0.27"/>
        <n v="-13.62"/>
        <n v="-122.39"/>
        <n v="-2.38"/>
        <n v="15.82"/>
        <n v="-5.82"/>
        <n v="32.35"/>
        <n v="42.59"/>
        <n v="-4.2300000000000004"/>
        <n v="19.399999999999999"/>
        <n v="-4.01"/>
        <n v="5.56"/>
        <n v="30.7"/>
        <n v="125.25"/>
        <n v="401.81"/>
        <n v="267.67"/>
        <n v="1.02"/>
        <n v="-337.64"/>
        <n v="0.78"/>
        <n v="10.58"/>
        <n v="206.62"/>
        <n v="-29.61"/>
        <n v="12.67"/>
        <n v="-73.58"/>
        <n v="84.94"/>
        <n v="11.38"/>
        <n v="8.1"/>
        <n v="68.33"/>
        <n v="29.88"/>
        <n v="539.92999999999995"/>
        <n v="-1065.3699999999999"/>
        <n v="12.01"/>
        <n v="122.15"/>
        <n v="13.83"/>
        <n v="9.0299999999999994"/>
        <n v="-19.98"/>
        <n v="76.400000000000006"/>
        <n v="78.44"/>
        <n v="12.81"/>
        <n v="11.11"/>
        <n v="48.95"/>
        <n v="61.96"/>
        <n v="-58.69"/>
        <n v="-89.09"/>
        <n v="-24.24"/>
        <n v="20.51"/>
        <n v="42.15"/>
        <n v="449.99"/>
        <n v="50.44"/>
        <n v="-10.38"/>
        <n v="41.29"/>
        <n v="70.98"/>
        <n v="224.44"/>
        <n v="130.76"/>
        <n v="150.36000000000001"/>
        <n v="40.119999999999997"/>
        <n v="16.670000000000002"/>
        <n v="32.630000000000003"/>
        <n v="21.41"/>
        <n v="250"/>
        <n v="18.989999999999998"/>
        <n v="20.59"/>
        <n v="-108.83"/>
        <n v="-143.79"/>
        <n v="-6.53"/>
        <n v="10.98"/>
        <n v="-248.17"/>
        <n v="9.69"/>
        <n v="-7.58"/>
        <n v="38.68"/>
        <n v="61.33"/>
        <n v="31.5"/>
        <n v="34.89"/>
        <n v="6.43"/>
        <n v="7.45"/>
        <n v="16.399999999999999"/>
        <n v="21.65"/>
        <n v="93.7"/>
        <n v="15.88"/>
        <n v="128.97"/>
        <n v="34.96"/>
        <n v="9.86"/>
        <n v="27.37"/>
        <n v="18.940000000000001"/>
        <n v="10.26"/>
        <n v="36.369999999999997"/>
        <n v="377.96"/>
        <n v="607.61"/>
        <n v="-2639.99"/>
        <n v="-17"/>
        <n v="69"/>
        <n v="21.54"/>
        <n v="14.46"/>
        <n v="48.47"/>
        <n v="38.44"/>
        <n v="136.66999999999999"/>
        <n v="14.85"/>
        <n v="-15.75"/>
        <n v="-19.739999999999998"/>
        <n v="17"/>
        <n v="31.37"/>
        <n v="-145.52000000000001"/>
        <n v="18.88"/>
        <n v="5.99"/>
        <n v="84.5"/>
        <n v="556.97"/>
        <n v="43.44"/>
        <n v="3.31"/>
        <n v="14.65"/>
        <n v="517.48"/>
        <n v="-105.32"/>
        <n v="-2.2200000000000002"/>
        <n v="51.19"/>
        <n v="-71.81"/>
        <n v="21.42"/>
        <n v="356.04"/>
        <n v="4.8"/>
        <n v="0.34"/>
        <n v="137.26"/>
        <n v="135.46"/>
        <n v="-33.64"/>
        <n v="56.35"/>
        <n v="-13.84"/>
        <n v="19.079999999999998"/>
        <n v="-383.99"/>
        <n v="63.74"/>
        <n v="-786.74"/>
        <n v="37.18"/>
        <n v="7.23"/>
        <n v="21.58"/>
        <n v="3.78"/>
        <n v="2302.9699999999998"/>
        <n v="20.93"/>
        <n v="0.95"/>
        <n v="224.99"/>
        <n v="46.9"/>
        <n v="74.209999999999994"/>
        <n v="371.32"/>
        <n v="-15.48"/>
        <n v="-90.38"/>
        <n v="35.42"/>
        <n v="-46.98"/>
        <n v="-15.15"/>
        <n v="41.76"/>
        <n v="51.66"/>
        <n v="103.23"/>
        <n v="-3.17"/>
        <n v="71.97"/>
        <n v="-464.7"/>
        <n v="0.71"/>
        <n v="8.19"/>
        <n v="-12.73"/>
        <n v="75.17"/>
        <n v="31.52"/>
        <n v="14.24"/>
        <n v="286.70999999999998"/>
        <n v="-5.85"/>
        <n v="44.53"/>
        <n v="27.89"/>
        <n v="38.15"/>
        <n v="167.81"/>
        <n v="-26.72"/>
        <n v="-1.32"/>
        <n v="52.38"/>
        <n v="38.270000000000003"/>
        <n v="67.27"/>
        <n v="28.62"/>
        <n v="-6.21"/>
        <n v="350.43"/>
        <n v="120"/>
        <n v="-80.180000000000007"/>
        <n v="40.69"/>
        <n v="10.029999999999999"/>
        <n v="-10.96"/>
        <n v="407.13"/>
        <n v="49.84"/>
        <n v="-24.66"/>
        <n v="5.95"/>
        <n v="118.98"/>
        <n v="141.72"/>
        <n v="34.369999999999997"/>
        <n v="-9.8699999999999992"/>
        <n v="8.94"/>
        <n v="32.47"/>
        <n v="24.6"/>
        <n v="1.35"/>
        <n v="91.79"/>
        <n v="-15.58"/>
        <n v="17.34"/>
        <n v="4.22"/>
        <n v="11.77"/>
        <n v="31.6"/>
        <n v="-5.76"/>
        <n v="76.010000000000005"/>
        <n v="37.369999999999997"/>
        <n v="-20.239999999999998"/>
        <n v="406.72"/>
        <n v="2.2999999999999998"/>
        <n v="-99.35"/>
        <n v="5.89"/>
        <n v="76.25"/>
        <n v="17.77"/>
        <n v="12.22"/>
        <n v="-59.84"/>
        <n v="52.82"/>
        <n v="144"/>
        <n v="-2.68"/>
        <n v="-538.45000000000005"/>
        <n v="27.78"/>
        <n v="11.68"/>
        <n v="635.5"/>
        <n v="58.92"/>
        <n v="14.68"/>
        <n v="5.9"/>
        <n v="2799.98"/>
        <n v="18.2"/>
        <n v="7.1"/>
        <n v="-77.47"/>
        <n v="225.26"/>
        <n v="23.52"/>
        <n v="1.62"/>
        <n v="170.93"/>
        <n v="0.19"/>
        <n v="52.8"/>
        <n v="78.94"/>
        <n v="126.06"/>
        <n v="1.54"/>
        <n v="160.91"/>
        <n v="7.22"/>
        <n v="50.37"/>
        <n v="-31.99"/>
        <n v="-18.18"/>
        <n v="21"/>
        <n v="10.62"/>
        <n v="126.9"/>
        <n v="39.590000000000003"/>
        <n v="11.15"/>
        <n v="0.7"/>
        <n v="175.52"/>
        <n v="-47.18"/>
        <n v="68.69"/>
        <n v="-225.56"/>
        <n v="2.61"/>
        <n v="39.92"/>
        <n v="6.68"/>
        <n v="33.31"/>
        <n v="10.94"/>
        <n v="-26.73"/>
        <n v="32.43"/>
        <n v="66.540000000000006"/>
        <n v="137.29"/>
        <n v="17.52"/>
        <n v="49.56"/>
        <n v="28.41"/>
        <n v="-6.88"/>
        <n v="18.239999999999998"/>
        <n v="-264.92"/>
        <n v="12.13"/>
        <n v="2400.9699999999998"/>
        <n v="129.59"/>
        <n v="15.51"/>
        <n v="-56.34"/>
        <n v="37.76"/>
        <n v="-127.58"/>
        <n v="7.61"/>
        <n v="-786.01"/>
        <n v="3.53"/>
        <n v="64.2"/>
        <n v="-0.81"/>
        <n v="-71.989999999999995"/>
        <n v="-12.51"/>
        <n v="-6.3"/>
        <n v="-194.82"/>
        <n v="85.25"/>
        <n v="-7.11"/>
        <n v="-25.33"/>
        <n v="44.3"/>
        <n v="-14.17"/>
        <n v="49.39"/>
        <n v="48.33"/>
        <n v="3.75"/>
        <n v="87.89"/>
        <n v="88.73"/>
        <n v="23.31"/>
        <n v="-22.1"/>
        <n v="7.5"/>
        <n v="7.15"/>
        <n v="363.9"/>
        <n v="377.73"/>
        <n v="6.54"/>
        <n v="19.77"/>
        <n v="31.54"/>
        <n v="125.14"/>
        <n v="13.5"/>
        <n v="6.77"/>
        <n v="14.97"/>
        <n v="77.040000000000006"/>
        <n v="8.99"/>
        <n v="15.24"/>
        <n v="24.53"/>
        <n v="-2.16"/>
        <n v="40.92"/>
        <n v="20.7"/>
        <n v="196.5"/>
        <n v="-5.52"/>
        <n v="47.5"/>
        <n v="-116.98"/>
        <n v="13.92"/>
        <n v="-41.52"/>
        <n v="-138.13999999999999"/>
        <n v="-15.44"/>
        <n v="-28.37"/>
        <n v="-643.71"/>
        <n v="-14.2"/>
        <n v="16.37"/>
        <n v="-22.14"/>
        <n v="-13.65"/>
        <n v="147.09"/>
        <n v="-143.43"/>
        <n v="-35.82"/>
        <n v="15.94"/>
        <n v="89.96"/>
        <n v="297.64"/>
        <n v="-20.14"/>
        <n v="-94.94"/>
        <n v="87.18"/>
        <n v="-98.8"/>
        <n v="-20.72"/>
        <n v="-12.9"/>
        <n v="146.4"/>
        <n v="38.04"/>
        <n v="-1.42"/>
        <n v="19.329999999999998"/>
        <n v="14.69"/>
        <n v="10.34"/>
        <n v="-241.18"/>
        <n v="244.62"/>
        <n v="17.86"/>
        <n v="8.64"/>
        <n v="8.6999999999999993"/>
        <n v="11.18"/>
        <n v="7.85"/>
        <n v="60.96"/>
        <n v="124.2"/>
        <n v="14.98"/>
        <n v="-167.99"/>
        <n v="-36.950000000000003"/>
        <n v="-60.84"/>
        <n v="54.67"/>
        <n v="71.25"/>
        <n v="22.89"/>
        <n v="292.77999999999997"/>
        <n v="18.510000000000002"/>
        <n v="378.27"/>
        <n v="-83.21"/>
        <n v="22.05"/>
        <n v="124.78"/>
        <n v="184"/>
        <n v="7.44"/>
        <n v="-163.44999999999999"/>
        <n v="336.64"/>
        <n v="374.99"/>
        <n v="146.38999999999999"/>
        <n v="0.98"/>
        <n v="3.67"/>
        <n v="-4.1100000000000003"/>
        <n v="-1850.95"/>
        <n v="8.6"/>
        <n v="31.98"/>
        <n v="12.82"/>
        <n v="2.4300000000000002"/>
        <n v="44.37"/>
        <n v="81.13"/>
        <n v="75.66"/>
        <n v="28.76"/>
        <n v="-31.91"/>
        <n v="-36.44"/>
        <n v="38.380000000000003"/>
        <n v="105.02"/>
        <n v="4.3"/>
        <n v="12.18"/>
        <n v="-145.35"/>
        <n v="54.74"/>
        <n v="-0.77"/>
        <n v="2365.98"/>
        <n v="0.86"/>
        <n v="40"/>
        <n v="4.1399999999999997"/>
        <n v="9.01"/>
        <n v="24.24"/>
        <n v="-48.95"/>
        <n v="3.26"/>
        <n v="55.06"/>
        <n v="-67.14"/>
        <n v="-58.13"/>
        <n v="146.79"/>
        <n v="21.23"/>
        <n v="13.8"/>
        <n v="3.25"/>
        <n v="-12.79"/>
        <n v="-126.86"/>
        <n v="-67.27"/>
        <n v="-814.48"/>
        <n v="-20.89"/>
        <n v="-34.76"/>
        <n v="8.66"/>
        <n v="81.739999999999995"/>
        <n v="11.33"/>
        <n v="37.92"/>
        <n v="64.67"/>
        <n v="-13.82"/>
        <n v="62.78"/>
        <n v="41.58"/>
        <n v="-31.86"/>
        <n v="-10.17"/>
        <n v="22.38"/>
        <n v="-142.07"/>
        <n v="15.95"/>
        <n v="-3.79"/>
        <n v="33.93"/>
        <n v="6.02"/>
        <n v="83.73"/>
        <n v="-3.6"/>
        <n v="2.74"/>
        <n v="-71.3"/>
        <n v="34.79"/>
        <n v="-44.02"/>
        <n v="-75.599999999999994"/>
        <n v="-164.95"/>
        <n v="5.2"/>
        <n v="7.47"/>
        <n v="-1.78"/>
        <n v="320.32"/>
        <n v="1.71"/>
        <n v="11.63"/>
        <n v="-5.29"/>
        <n v="-3.27"/>
        <n v="30.9"/>
        <n v="59.04"/>
        <n v="1159.99"/>
        <n v="28.02"/>
        <n v="42.39"/>
        <n v="88.03"/>
        <n v="1.57"/>
        <n v="13.16"/>
        <n v="3.5"/>
        <n v="9.19"/>
        <n v="-20.440000000000001"/>
        <n v="-131.72"/>
        <n v="-27.79"/>
        <n v="-124"/>
        <n v="26.9"/>
        <n v="46.8"/>
        <n v="29.77"/>
        <n v="-44.15"/>
        <n v="0.42"/>
        <n v="-7.61"/>
        <n v="-9.82"/>
        <n v="48.7"/>
        <n v="240.56"/>
        <n v="25.75"/>
        <n v="-5.18"/>
        <n v="13.31"/>
        <n v="-21.61"/>
        <n v="18.899999999999999"/>
        <n v="17.32"/>
        <n v="2.4700000000000002"/>
        <n v="9.5399999999999991"/>
        <n v="26.07"/>
        <n v="179.75"/>
        <n v="70.44"/>
        <n v="12.33"/>
        <n v="23.72"/>
        <n v="272.79000000000002"/>
        <n v="-32.51"/>
        <n v="-12.41"/>
        <n v="27.17"/>
        <n v="179.73"/>
        <n v="54.86"/>
        <n v="-3.24"/>
        <n v="31"/>
        <n v="-5.89"/>
        <n v="86.25"/>
        <n v="-19.920000000000002"/>
        <n v="172.34"/>
        <n v="12.9"/>
        <n v="16.3"/>
        <n v="1120"/>
        <n v="-4.2"/>
        <n v="-24.48"/>
        <n v="91.97"/>
        <n v="3.33"/>
        <n v="6.24"/>
        <n v="152.12"/>
        <n v="-88.78"/>
        <n v="17.38"/>
        <n v="0.17"/>
        <n v="6.53"/>
        <n v="23.76"/>
        <n v="-84.82"/>
        <n v="116.24"/>
        <n v="11.98"/>
        <n v="11.31"/>
        <n v="700.98"/>
        <n v="150.97999999999999"/>
        <n v="-33.36"/>
        <n v="97.3"/>
        <n v="50.19"/>
        <n v="-24.39"/>
        <n v="78.67"/>
        <n v="7.9"/>
        <n v="25.06"/>
        <n v="-8.65"/>
        <n v="14.55"/>
        <n v="-15.08"/>
        <n v="-1.9"/>
        <n v="70"/>
        <n v="386.84"/>
        <n v="653.29999999999995"/>
        <n v="29.81"/>
        <n v="109.42"/>
        <n v="21.33"/>
        <n v="13.93"/>
        <n v="3.97"/>
        <n v="35.28"/>
        <n v="11.75"/>
        <n v="26.88"/>
        <n v="-12.83"/>
        <n v="-38.22"/>
        <n v="88.05"/>
        <n v="9.4"/>
        <n v="-356.73"/>
        <n v="-4.68"/>
        <n v="11.19"/>
        <n v="-120.51"/>
        <n v="-2.83"/>
        <n v="364.46"/>
        <n v="5.13"/>
        <n v="20.78"/>
        <n v="-23.36"/>
        <n v="2.79"/>
        <n v="7"/>
        <n v="15.72"/>
        <n v="15.96"/>
        <n v="28.72"/>
        <n v="75.569999999999993"/>
        <n v="46.95"/>
        <n v="226.79"/>
        <n v="161.19"/>
        <n v="34.97"/>
        <n v="-27.83"/>
        <n v="173.24"/>
        <n v="-217.05"/>
        <n v="-2.15"/>
        <n v="17.54"/>
        <n v="132.59"/>
        <n v="33.85"/>
        <n v="8.0399999999999991"/>
        <n v="63.44"/>
        <n v="51.76"/>
        <n v="19.73"/>
        <n v="113.64"/>
        <n v="8.3800000000000008"/>
        <n v="83.65"/>
        <n v="-160.96"/>
        <n v="-4.54"/>
        <n v="3.94"/>
        <n v="-119.23"/>
        <n v="-2.67"/>
        <n v="35.25"/>
        <n v="-118.01"/>
        <n v="-26.62"/>
        <n v="2.31"/>
        <n v="334.55"/>
        <n v="52.14"/>
        <n v="3.3"/>
        <n v="16.36"/>
        <n v="14.1"/>
        <n v="107.72"/>
        <n v="54.35"/>
        <n v="153.08000000000001"/>
        <n v="-213.56"/>
        <n v="15.21"/>
        <n v="-21.79"/>
        <n v="33.58"/>
        <n v="22.44"/>
        <n v="12.8"/>
        <n v="60.5"/>
        <n v="-1.34"/>
        <n v="56.18"/>
        <n v="38.99"/>
        <n v="25.29"/>
        <n v="97.01"/>
        <n v="123.45"/>
        <n v="-19.600000000000001"/>
        <n v="503.64"/>
        <n v="-18.09"/>
        <n v="-27.93"/>
        <n v="-50.87"/>
        <n v="17.03"/>
        <n v="-6.09"/>
        <n v="-26.17"/>
        <n v="3.57"/>
        <n v="44.47"/>
        <n v="11.59"/>
        <n v="5.62"/>
        <n v="9.02"/>
        <n v="12.83"/>
        <n v="39.43"/>
        <n v="-7.71"/>
        <n v="12.6"/>
        <n v="121.11"/>
        <n v="291.38"/>
        <n v="28"/>
        <n v="14.04"/>
        <n v="33.78"/>
        <n v="19.52"/>
        <n v="0.08"/>
        <n v="197.92"/>
        <n v="38.729999999999997"/>
        <n v="20.66"/>
        <n v="225.74"/>
        <n v="73.319999999999993"/>
        <n v="-27.13"/>
        <n v="944.99"/>
        <n v="-4.76"/>
        <n v="-7.85"/>
        <n v="107.96"/>
        <n v="-13.31"/>
        <n v="9.4499999999999993"/>
        <n v="51.5"/>
        <n v="5"/>
        <n v="72.53"/>
        <n v="14.88"/>
        <n v="-33.799999999999997"/>
        <n v="-35.880000000000003"/>
        <n v="-319.19"/>
        <n v="7.18"/>
        <n v="38.090000000000003"/>
        <n v="21.72"/>
        <n v="79.69"/>
        <n v="17.11"/>
        <n v="12.42"/>
        <n v="50.03"/>
        <n v="10.16"/>
        <n v="12.43"/>
        <n v="34.29"/>
        <n v="-28.8"/>
        <n v="-115.35"/>
        <n v="3.17"/>
        <n v="45.54"/>
        <n v="280.58999999999997"/>
        <n v="25.4"/>
        <n v="47.73"/>
        <n v="13.79"/>
        <n v="-1.44"/>
        <n v="24.86"/>
        <n v="120.51"/>
        <n v="126.23"/>
        <n v="43.18"/>
        <n v="1.4"/>
        <n v="197.35"/>
        <n v="3.02"/>
        <n v="0.36"/>
        <n v="36.28"/>
        <n v="135.22"/>
        <n v="25"/>
        <n v="10.55"/>
        <n v="2.59"/>
        <n v="-111.5"/>
        <n v="-18.84"/>
        <n v="-8.32"/>
        <n v="11.51"/>
        <n v="40.369999999999997"/>
        <n v="81.84"/>
        <n v="22.87"/>
        <n v="192"/>
        <n v="27.44"/>
        <n v="388.81"/>
        <n v="48.46"/>
        <n v="83.31"/>
        <n v="96.85"/>
        <n v="27.61"/>
        <n v="9.1999999999999993"/>
        <n v="-78.08"/>
        <n v="-9.8800000000000008"/>
        <n v="-378.4"/>
        <n v="26.43"/>
        <n v="-20.09"/>
        <n v="3.12"/>
        <n v="72.36"/>
        <n v="165.35"/>
        <n v="33.32"/>
        <n v="-32.369999999999997"/>
        <n v="90.98"/>
        <n v="15.35"/>
        <n v="33.36"/>
        <n v="38.32"/>
        <n v="23.42"/>
        <n v="-6.57"/>
        <n v="30.24"/>
        <n v="3.98"/>
        <n v="59.12"/>
        <n v="18.48"/>
        <n v="17.53"/>
        <n v="0.23"/>
        <n v="136.62"/>
        <n v="5.33"/>
        <n v="64.069999999999993"/>
        <n v="-7.92"/>
        <n v="52.5"/>
        <n v="-8.1"/>
        <n v="-255.59"/>
        <n v="-66.23"/>
        <n v="286.38"/>
        <n v="-8.24"/>
        <n v="10.71"/>
        <n v="-153.19999999999999"/>
        <n v="35.619999999999997"/>
        <n v="-56.31"/>
        <n v="-49.44"/>
        <n v="-13.85"/>
        <n v="43.68"/>
        <n v="18.010000000000002"/>
        <n v="12.1"/>
        <n v="99.49"/>
        <n v="11.6"/>
        <n v="-3.41"/>
        <n v="30.39"/>
        <n v="-2.14"/>
        <n v="55.01"/>
        <n v="89.95"/>
        <n v="3.51"/>
        <n v="-339.71"/>
        <n v="-20.69"/>
        <n v="-8"/>
        <n v="180.44"/>
        <n v="21.38"/>
        <n v="63.69"/>
        <n v="8.52"/>
        <n v="-2.65"/>
        <n v="45.32"/>
        <n v="-18.45"/>
        <n v="9.83"/>
        <n v="-172.73"/>
        <n v="-33.32"/>
        <n v="62.82"/>
        <n v="63.87"/>
        <n v="-39.950000000000003"/>
        <n v="0.16"/>
        <n v="281.02"/>
        <n v="17.670000000000002"/>
        <n v="44"/>
        <n v="-29.28"/>
        <n v="100.2"/>
        <n v="8.25"/>
        <n v="87.48"/>
        <n v="14.87"/>
        <n v="98.52"/>
        <n v="11.24"/>
        <n v="-10.95"/>
        <n v="27.97"/>
        <n v="8.14"/>
        <n v="-21.68"/>
        <n v="-16.54"/>
        <n v="-52.89"/>
        <n v="-12.29"/>
        <n v="22.62"/>
        <n v="-56.45"/>
        <n v="-81.94"/>
        <n v="-2.79"/>
        <n v="-67.88"/>
        <n v="-258.5"/>
        <n v="-27.69"/>
        <n v="1415.43"/>
        <n v="30.44"/>
        <n v="61.38"/>
        <n v="71.16"/>
        <n v="10"/>
        <n v="-19.47"/>
        <n v="-75.84"/>
        <n v="-17.57"/>
        <n v="34.81"/>
        <n v="-149.63"/>
        <n v="303.8"/>
        <n v="-12.63"/>
        <n v="-13.34"/>
        <n v="33.909999999999997"/>
        <n v="30.99"/>
        <n v="31.24"/>
        <n v="28.44"/>
        <n v="-760.98"/>
        <n v="-46.8"/>
        <n v="-90.25"/>
        <n v="-14.97"/>
        <n v="22.15"/>
        <n v="41.02"/>
        <n v="31.04"/>
        <n v="11.22"/>
        <n v="20.45"/>
        <n v="8.7200000000000006"/>
        <n v="54.69"/>
        <n v="114.96"/>
        <n v="8.74"/>
        <n v="23.39"/>
        <n v="80.739999999999995"/>
        <n v="26.99"/>
        <n v="-24.84"/>
        <n v="29"/>
        <n v="-7.33"/>
        <n v="-63.11"/>
        <n v="-166.39"/>
        <n v="3.76"/>
        <n v="92.24"/>
        <n v="-17.52"/>
        <n v="314.06"/>
        <n v="-7.46"/>
        <n v="-6.49"/>
        <n v="-1.22"/>
        <n v="-11.66"/>
        <n v="11.65"/>
        <n v="-19.34"/>
        <n v="-63.38"/>
        <n v="12.21"/>
        <n v="22.59"/>
        <n v="-2.46"/>
        <n v="37.08"/>
        <n v="-317.14999999999998"/>
        <n v="-32.78"/>
        <n v="23.5"/>
        <n v="-300.74"/>
        <n v="62.24"/>
        <n v="21.74"/>
        <n v="23.46"/>
        <n v="-12.78"/>
        <n v="14.66"/>
        <n v="15.41"/>
        <n v="65.44"/>
        <n v="18.68"/>
        <n v="-12.01"/>
        <n v="8.92"/>
        <n v="8.4499999999999993"/>
        <n v="-34.39"/>
        <n v="58.46"/>
        <n v="13.87"/>
        <n v="636"/>
        <n v="-157.94"/>
        <n v="751.96"/>
        <n v="12.96"/>
        <n v="62.93"/>
        <n v="0.91"/>
        <n v="33.6"/>
        <n v="52.51"/>
        <n v="4.82"/>
        <n v="7.76"/>
        <n v="0.68"/>
        <n v="307.14"/>
        <n v="136.08000000000001"/>
        <n v="100.73"/>
        <n v="387.57"/>
        <n v="131.36000000000001"/>
        <n v="294.55"/>
        <n v="10.06"/>
        <n v="6.64"/>
        <n v="259.52999999999997"/>
        <n v="13.45"/>
        <n v="-12.88"/>
        <n v="30.45"/>
        <n v="190.08"/>
        <n v="9.9700000000000006"/>
        <n v="12.36"/>
        <n v="-62.77"/>
        <n v="5.91"/>
        <n v="-167.32"/>
        <n v="84.24"/>
        <n v="117.01"/>
        <n v="26.11"/>
        <n v="1.05"/>
        <n v="-99.62"/>
        <n v="-3.46"/>
        <n v="481.87"/>
        <n v="7.67"/>
        <n v="73.540000000000006"/>
        <n v="12.72"/>
        <n v="107.48"/>
        <n v="30.26"/>
        <n v="15.81"/>
        <n v="-11.07"/>
        <n v="129.77000000000001"/>
        <n v="41.01"/>
        <n v="40.97"/>
        <n v="5.59"/>
        <n v="-6"/>
        <n v="8.5500000000000007"/>
        <n v="19.989999999999998"/>
        <n v="16.71"/>
        <n v="-26.64"/>
        <n v="81.17"/>
        <n v="-9.76"/>
        <n v="-95.82"/>
        <n v="-729.91"/>
        <n v="143.30000000000001"/>
        <n v="56.32"/>
        <n v="22.52"/>
        <n v="6.96"/>
        <n v="174.98"/>
        <n v="50.49"/>
        <n v="17.16"/>
        <n v="17.89"/>
        <n v="84.29"/>
        <n v="5.12"/>
        <n v="-96.11"/>
        <n v="20"/>
        <n v="66.33"/>
        <n v="-25"/>
        <n v="-251.19"/>
        <n v="-136.49"/>
        <n v="-11.59"/>
        <n v="-225.1"/>
        <n v="-2.0299999999999998"/>
        <n v="125.2"/>
        <n v="30.98"/>
        <n v="9.11"/>
        <n v="71.39"/>
        <n v="75.180000000000007"/>
        <n v="-26.2"/>
        <n v="-115.71"/>
        <n v="-40.18"/>
        <n v="8399.98"/>
        <n v="331.19"/>
        <n v="16.84"/>
        <n v="9.51"/>
        <n v="93.22"/>
        <n v="-29.51"/>
        <n v="13.98"/>
        <n v="2591.96"/>
        <n v="34.54"/>
        <n v="-23.94"/>
        <n v="-938.28"/>
        <n v="-14.92"/>
        <n v="0.93"/>
        <n v="-32.32"/>
        <n v="20.3"/>
        <n v="-67.849999999999994"/>
        <n v="5.98"/>
        <n v="-24.96"/>
        <n v="-4.38"/>
        <n v="-2.73"/>
        <n v="-190.85"/>
        <n v="13.59"/>
        <n v="-26.23"/>
        <n v="26.66"/>
        <n v="-465.57"/>
        <n v="4.37"/>
        <n v="-150.41"/>
        <n v="1.19"/>
        <n v="-11"/>
        <n v="23.97"/>
        <n v="33.729999999999997"/>
        <n v="272.98"/>
        <n v="544.41999999999996"/>
        <n v="32.94"/>
        <n v="9.8800000000000008"/>
        <n v="14.44"/>
        <n v="251.89"/>
        <n v="1.38"/>
        <n v="55.94"/>
        <n v="116.48"/>
        <n v="32.6"/>
        <n v="-37.92"/>
        <n v="220.49"/>
        <n v="751.76"/>
        <n v="148.51"/>
        <n v="-34.64"/>
        <n v="35.200000000000003"/>
        <n v="4.84"/>
        <n v="10.44"/>
        <n v="271.42"/>
        <n v="-47.03"/>
        <n v="-231.41"/>
        <n v="29.44"/>
        <n v="17.579999999999998"/>
        <n v="1644.29"/>
        <n v="-9.2799999999999994"/>
        <n v="9.68"/>
        <n v="-21.08"/>
        <n v="10.050000000000001"/>
        <n v="30.58"/>
        <n v="178.32"/>
        <n v="-12.12"/>
        <n v="8.18"/>
        <n v="86"/>
        <n v="162"/>
        <n v="78.400000000000006"/>
        <n v="19.3"/>
        <n v="75.650000000000006"/>
        <n v="80.78"/>
        <n v="12.61"/>
        <n v="26.06"/>
        <n v="10.82"/>
        <n v="27.32"/>
        <n v="25.48"/>
        <n v="41.26"/>
        <n v="-14.09"/>
        <n v="75.680000000000007"/>
        <n v="32.159999999999997"/>
        <n v="3.82"/>
        <n v="32.19"/>
        <n v="-14.08"/>
        <n v="118.34"/>
        <n v="17.88"/>
        <n v="22.79"/>
        <n v="13.35"/>
        <n v="-29.92"/>
        <n v="29.03"/>
        <n v="429.58"/>
        <n v="160.16"/>
        <n v="5.04"/>
        <n v="15.8"/>
        <n v="-3.47"/>
        <n v="-251.99"/>
        <n v="-13.43"/>
        <n v="16.46"/>
        <n v="55.91"/>
        <n v="-4.18"/>
        <n v="-14.41"/>
        <n v="-97.55"/>
        <n v="228.08"/>
        <n v="5.31"/>
        <n v="-292.10000000000002"/>
        <n v="77.22"/>
        <n v="-15.99"/>
        <n v="-160.30000000000001"/>
        <n v="45.14"/>
        <n v="50.35"/>
        <n v="24.84"/>
        <n v="52.77"/>
        <n v="71.23"/>
        <n v="26.24"/>
        <n v="-28.6"/>
        <n v="12.64"/>
        <n v="22.91"/>
        <n v="6.32"/>
        <n v="100.79"/>
        <n v="-17.78"/>
        <n v="19.63"/>
        <n v="20.149999999999999"/>
        <n v="41.91"/>
        <n v="219.58"/>
        <n v="42.07"/>
        <n v="-3.31"/>
        <n v="-9.7899999999999991"/>
        <n v="7.51"/>
        <n v="29.3"/>
        <n v="29.66"/>
        <n v="-29.07"/>
        <n v="-46.59"/>
        <n v="39.340000000000003"/>
        <n v="32.5"/>
        <n v="38.979999999999997"/>
        <n v="191.66"/>
        <n v="187.4"/>
        <n v="62.15"/>
        <n v="54.71"/>
        <n v="220.48"/>
        <n v="20.84"/>
        <n v="-6.92"/>
        <n v="7.88"/>
        <n v="25.09"/>
        <n v="17.190000000000001"/>
        <n v="11.03"/>
        <n v="241.1"/>
        <n v="1.23"/>
        <n v="-4.5999999999999996"/>
        <n v="-3.35"/>
        <n v="-21.07"/>
        <n v="33.03"/>
        <n v="-12.84"/>
        <n v="25.5"/>
        <n v="-8.43"/>
        <n v="78.680000000000007"/>
        <n v="-4.7"/>
        <n v="39.409999999999997"/>
        <n v="13.05"/>
        <n v="592.79"/>
        <n v="115"/>
        <n v="-21.72"/>
        <n v="180"/>
        <n v="7.57"/>
        <n v="25.19"/>
        <n v="40.75"/>
        <n v="381.3"/>
        <n v="27.1"/>
        <n v="-199.51"/>
        <n v="3.37"/>
        <n v="-18.22"/>
        <n v="18.32"/>
        <n v="33.22"/>
        <n v="527.98"/>
        <n v="95.2"/>
        <n v="22.16"/>
        <n v="18.52"/>
        <n v="-16.36"/>
        <n v="-0.76"/>
        <n v="21.89"/>
        <n v="236.23"/>
        <n v="-48.7"/>
        <n v="-1.93"/>
        <n v="-10.58"/>
        <n v="-77.33"/>
        <n v="46.1"/>
        <n v="13.23"/>
        <n v="62.92"/>
        <n v="109.33"/>
        <n v="-24.28"/>
        <n v="-9.11"/>
        <n v="12.78"/>
        <n v="-9.6300000000000008"/>
        <n v="-6.73"/>
        <n v="47"/>
        <n v="-2.37"/>
        <n v="7.75"/>
        <n v="49.32"/>
        <n v="210.59"/>
        <n v="190.37"/>
        <n v="381.24"/>
        <n v="85.18"/>
        <n v="15.28"/>
        <n v="-22.74"/>
        <n v="118.37"/>
        <n v="329.41"/>
        <n v="62.4"/>
        <n v="-304.39"/>
        <n v="-6599.98"/>
        <n v="19.809999999999999"/>
        <n v="34.78"/>
        <n v="16.88"/>
        <n v="1459.2"/>
        <n v="-115.5"/>
        <n v="-2.62"/>
        <n v="-120.05"/>
        <n v="-57.76"/>
        <n v="160.31"/>
        <n v="19.489999999999998"/>
        <n v="-24.5"/>
        <n v="19.5"/>
        <n v="23.8"/>
        <n v="29.74"/>
        <n v="15.38"/>
        <n v="69.92"/>
        <n v="14.6"/>
        <n v="-114.35"/>
        <n v="100.43"/>
        <n v="-5.7"/>
        <n v="52.97"/>
        <n v="56.3"/>
        <n v="315.83"/>
        <n v="-73.709999999999994"/>
        <n v="-5.05"/>
        <n v="-7.73"/>
        <n v="-302.72000000000003"/>
        <n v="6.33"/>
        <n v="51.75"/>
        <n v="40.520000000000003"/>
        <n v="150.38"/>
        <n v="-17.75"/>
        <n v="-30.87"/>
        <n v="35.86"/>
        <n v="-47.06"/>
        <n v="694.5"/>
        <n v="222.59"/>
        <n v="33.86"/>
        <n v="582.23"/>
        <n v="23.9"/>
        <n v="134.93"/>
        <n v="26.93"/>
        <n v="54.44"/>
        <n v="-137.97999999999999"/>
        <n v="-153.35"/>
        <n v="102.5"/>
        <n v="93.77"/>
        <n v="-14.55"/>
        <n v="659.98"/>
        <n v="51.47"/>
        <n v="104.75"/>
        <n v="20.48"/>
        <n v="3.66"/>
        <n v="103.8"/>
        <n v="585.54999999999995"/>
        <n v="20.49"/>
        <n v="70.180000000000007"/>
        <n v="51.55"/>
        <n v="15.34"/>
        <n v="116.6"/>
        <n v="89.16"/>
        <n v="314.83999999999997"/>
        <n v="77.819999999999993"/>
        <n v="27.2"/>
        <n v="153.12"/>
        <n v="123.47"/>
        <n v="-147.96"/>
        <n v="-9.5"/>
        <n v="-195.48"/>
        <n v="81.05"/>
        <n v="-2.48"/>
        <n v="176.8"/>
        <n v="15.69"/>
        <n v="-29.32"/>
        <n v="23.4"/>
        <n v="-11.76"/>
        <n v="99.3"/>
        <n v="158.53"/>
        <n v="162.86000000000001"/>
        <n v="51.82"/>
        <n v="12.29"/>
        <n v="356.23"/>
        <n v="36.93"/>
        <n v="220.99"/>
        <n v="29.53"/>
        <n v="298.69"/>
        <n v="-51.72"/>
        <n v="30.08"/>
        <n v="7.46"/>
        <n v="-4.0599999999999996"/>
        <n v="-137.53"/>
        <n v="25.25"/>
        <n v="68.12"/>
        <n v="6.06"/>
        <n v="-31.84"/>
        <n v="39.869999999999997"/>
        <n v="111.52"/>
        <n v="24.19"/>
        <n v="-14.33"/>
        <n v="76.790000000000006"/>
        <n v="184.22"/>
        <n v="3.61"/>
        <n v="122.76"/>
        <n v="19.920000000000002"/>
        <n v="24.91"/>
        <n v="41.79"/>
        <n v="58.69"/>
        <n v="10.53"/>
        <n v="198.46"/>
        <n v="7.8"/>
        <n v="35.049999999999997"/>
        <n v="231.41"/>
        <n v="-304.67"/>
        <n v="-7.9"/>
        <n v="4.45"/>
        <n v="-325.57"/>
        <n v="13.03"/>
        <n v="18.14"/>
        <n v="4.38"/>
        <n v="4946.37"/>
        <n v="-169.37"/>
        <n v="24.32"/>
        <n v="-204.31"/>
        <n v="62.51"/>
        <n v="28.97"/>
        <n v="21.79"/>
        <n v="-30.16"/>
        <n v="-8.4600000000000009"/>
        <n v="-264.22000000000003"/>
        <n v="-7.17"/>
        <n v="-218.87"/>
        <n v="-7.66"/>
        <n v="-2.88"/>
        <n v="-30.39"/>
        <n v="-25.06"/>
        <n v="19.38"/>
        <n v="202.25"/>
        <n v="166.1"/>
        <n v="83.05"/>
        <n v="-14.14"/>
        <n v="-4.07"/>
        <n v="30.36"/>
        <n v="899.98"/>
        <n v="14.74"/>
        <n v="14.84"/>
        <n v="-374.99"/>
        <n v="-20.45"/>
        <n v="-47.25"/>
        <n v="76.7"/>
        <n v="207.89"/>
        <n v="53.45"/>
        <n v="18.46"/>
        <n v="18.690000000000001"/>
        <n v="257.58999999999997"/>
        <n v="629.01"/>
        <n v="-24.1"/>
        <n v="-386.96"/>
        <n v="173.33"/>
        <n v="171.99"/>
        <n v="137.54"/>
        <n v="313.26"/>
        <n v="25.55"/>
        <n v="7.42"/>
        <n v="7.4"/>
        <n v="6.23"/>
        <n v="60.36"/>
        <n v="67.44"/>
        <n v="10.42"/>
        <n v="7.27"/>
        <n v="25.28"/>
        <n v="53.92"/>
        <n v="-35.22"/>
        <n v="8.56"/>
        <n v="199.26"/>
        <n v="-107.96"/>
        <n v="-187.38"/>
        <n v="-9.7100000000000009"/>
        <n v="-22.68"/>
        <n v="-38.82"/>
        <n v="-12.53"/>
        <n v="-21.16"/>
        <n v="-13.58"/>
        <n v="-169.64"/>
        <n v="27.91"/>
        <n v="5.81"/>
        <n v="682.52"/>
        <n v="680"/>
        <n v="44.6"/>
        <n v="0.61"/>
        <n v="31.93"/>
        <n v="80.37"/>
        <n v="-228.74"/>
        <n v="-1141.47"/>
        <n v="53.24"/>
        <n v="7.34"/>
        <n v="-14.79"/>
        <n v="14.75"/>
        <n v="6.65"/>
        <n v="-1.84"/>
        <n v="0.1"/>
        <n v="5.25"/>
        <n v="70.31"/>
        <n v="312.68"/>
        <n v="-52.45"/>
        <n v="-6.63"/>
        <n v="-14.99"/>
        <n v="2504.2199999999998"/>
        <n v="72.64"/>
        <n v="25.23"/>
        <n v="-93.08"/>
        <n v="37.56"/>
        <n v="130.49"/>
        <n v="33.65"/>
        <n v="18.7"/>
        <n v="30.47"/>
        <n v="-28.63"/>
        <n v="152.09"/>
        <n v="49.5"/>
        <n v="90.64"/>
        <n v="1379.98"/>
        <n v="21.1"/>
        <n v="-3.62"/>
        <n v="1.82"/>
        <n v="24.46"/>
        <n v="764.38"/>
        <n v="-9"/>
        <n v="26.4"/>
        <n v="157.47"/>
        <n v="-20.62"/>
        <n v="9.14"/>
        <n v="5.73"/>
        <n v="-13.59"/>
        <n v="-68.11"/>
        <n v="250.4"/>
        <n v="-11.99"/>
        <n v="29.33"/>
        <n v="38.93"/>
        <n v="12.63"/>
        <n v="35.69"/>
        <n v="-26.09"/>
        <n v="-426.99"/>
        <n v="79.19"/>
        <n v="65.959999999999994"/>
        <n v="-417.09"/>
        <n v="-2.69"/>
        <n v="-32.479999999999997"/>
        <n v="7.73"/>
        <n v="108.35"/>
        <n v="343.98"/>
        <n v="21.51"/>
        <n v="-3.65"/>
        <n v="-269.33999999999997"/>
        <n v="39.950000000000003"/>
        <n v="-17.03"/>
        <n v="-106.39"/>
        <n v="-12.85"/>
        <n v="47.1"/>
        <n v="361.3"/>
        <n v="-6.4"/>
        <n v="-185.72"/>
        <n v="-3.8"/>
        <n v="214.47"/>
        <n v="66.72"/>
        <n v="99.9"/>
        <n v="-20.170000000000002"/>
        <n v="52.79"/>
        <n v="101.65"/>
        <n v="33.340000000000003"/>
        <n v="-12.35"/>
        <n v="19.66"/>
        <n v="47.05"/>
        <n v="440.76"/>
        <n v="-77.63"/>
        <n v="62.7"/>
        <n v="112.49"/>
        <n v="16.55"/>
        <n v="16.95"/>
        <n v="140.6"/>
        <n v="23.22"/>
        <n v="42.13"/>
        <n v="168.44"/>
        <n v="9.64"/>
        <n v="-8.3800000000000008"/>
        <n v="11.52"/>
        <n v="21.27"/>
        <n v="-173.35"/>
        <n v="421.08"/>
        <n v="-181.27"/>
        <n v="-8.61"/>
        <n v="-46.43"/>
        <n v="32.17"/>
        <n v="18.59"/>
        <n v="25.42"/>
        <n v="49.26"/>
        <n v="88.13"/>
        <n v="138.36000000000001"/>
        <n v="-299.81"/>
        <n v="-7.3"/>
        <n v="15.44"/>
        <n v="120.94"/>
        <n v="12.48"/>
        <n v="81.92"/>
        <n v="-81.66"/>
        <n v="-7.4"/>
        <n v="22.9"/>
        <n v="31.12"/>
        <n v="18.260000000000002"/>
        <n v="13.6"/>
        <n v="27.93"/>
        <n v="22.46"/>
        <n v="-22.04"/>
        <n v="-7.39"/>
        <n v="-41.26"/>
        <n v="-320.24"/>
        <n v="47.04"/>
        <n v="26.35"/>
        <n v="6.69"/>
        <n v="-131.5"/>
        <n v="10.95"/>
        <n v="12.68"/>
        <n v="9.2799999999999994"/>
        <n v="106.78"/>
        <n v="2.41"/>
        <n v="63.82"/>
        <n v="102.77"/>
        <n v="133.15"/>
        <n v="2.83"/>
        <n v="523.71"/>
        <n v="76.260000000000005"/>
        <n v="-32.340000000000003"/>
        <n v="11.3"/>
        <n v="6719.98"/>
        <n v="106.52"/>
        <n v="22.09"/>
        <n v="136.30000000000001"/>
        <n v="45.77"/>
        <n v="62.75"/>
        <n v="427.44"/>
        <n v="40.590000000000003"/>
        <n v="6.93"/>
        <n v="-28.98"/>
        <n v="569.99"/>
        <n v="-226.64"/>
        <n v="5.97"/>
        <n v="58.42"/>
        <n v="55.65"/>
        <n v="-30.1"/>
        <n v="-66.39"/>
        <n v="-48.12"/>
        <n v="21.16"/>
        <n v="149.9"/>
        <n v="16.73"/>
        <n v="18.54"/>
        <n v="39.56"/>
        <n v="-36.24"/>
        <n v="176.17"/>
        <n v="36.020000000000003"/>
        <n v="25.62"/>
        <n v="188.14"/>
        <n v="-22.9"/>
        <n v="17.27"/>
        <n v="1439.98"/>
        <n v="-90.77"/>
        <n v="23.55"/>
        <n v="38.03"/>
        <n v="360"/>
        <n v="19.32"/>
        <n v="-19.11"/>
        <n v="70.010000000000005"/>
        <n v="47.98"/>
        <n v="11.13"/>
        <n v="33.33"/>
        <n v="-102.05"/>
        <n v="-248.25"/>
        <n v="-3.55"/>
        <n v="1.22"/>
        <n v="1264.76"/>
        <n v="621.97"/>
        <n v="10.49"/>
        <n v="114.94"/>
        <n v="97.88"/>
        <n v="79.790000000000006"/>
        <n v="-13.36"/>
        <n v="88.07"/>
        <n v="219.99"/>
        <n v="-29.05"/>
        <n v="20.34"/>
        <n v="71.540000000000006"/>
        <n v="21.95"/>
        <n v="2.36"/>
        <n v="302.37"/>
        <n v="-38.21"/>
        <n v="21.34"/>
        <n v="9.09"/>
        <n v="-32.22"/>
        <n v="70.72"/>
        <n v="-11.94"/>
        <n v="-6.05"/>
        <n v="-4.78"/>
        <n v="-9.2200000000000006"/>
        <n v="-3399.98"/>
        <n v="-15.84"/>
        <n v="13.51"/>
        <n v="46.73"/>
        <n v="11.29"/>
        <n v="-43.91"/>
        <n v="-52.17"/>
        <n v="33.270000000000003"/>
        <n v="-6.19"/>
        <n v="18.28"/>
        <n v="-21.21"/>
        <n v="-6.38"/>
        <n v="-243.16"/>
        <n v="-4.71"/>
        <n v="34.15"/>
        <n v="227.21"/>
        <n v="87.76"/>
        <n v="35.36"/>
        <n v="36.81"/>
        <n v="55.92"/>
        <n v="-7.84"/>
        <n v="26.54"/>
        <n v="-14.52"/>
        <n v="-11.69"/>
        <n v="12.41"/>
        <n v="-0.99"/>
        <n v="-21.29"/>
        <n v="4.9000000000000004"/>
        <n v="8.76"/>
        <n v="27.5"/>
        <n v="19.25"/>
        <n v="-42.11"/>
        <n v="33.46"/>
        <n v="39.08"/>
        <n v="0.77"/>
        <n v="5.27"/>
        <n v="84.6"/>
        <n v="-69.89"/>
        <n v="28.33"/>
        <n v="-158.1"/>
        <n v="-9.26"/>
        <n v="4.8499999999999996"/>
        <n v="-69.400000000000006"/>
        <n v="80.34"/>
        <n v="21.44"/>
        <n v="4.01"/>
        <n v="7.55"/>
        <n v="-458.15"/>
        <n v="-15.72"/>
        <n v="45.81"/>
        <n v="-17.59"/>
        <n v="-112.04"/>
        <n v="-44.94"/>
        <n v="11.28"/>
        <n v="165.72"/>
        <n v="-1.54"/>
        <n v="-7.52"/>
        <n v="72.95"/>
        <n v="-7.32"/>
        <n v="-152.97999999999999"/>
        <n v="0.64"/>
        <n v="29.6"/>
        <n v="18.04"/>
        <n v="-18.8"/>
        <n v="-119.19"/>
        <n v="-57.95"/>
        <n v="-52.55"/>
        <n v="423.01"/>
        <n v="119.2"/>
        <n v="1049.99"/>
        <n v="22.7"/>
        <n v="22.02"/>
        <n v="46.23"/>
        <n v="63.11"/>
        <n v="87.99"/>
        <n v="9.44"/>
        <n v="-14.88"/>
        <n v="-7"/>
        <n v="-356.96"/>
        <n v="-53.07"/>
        <n v="-10.71"/>
        <n v="15.43"/>
        <n v="411.74"/>
        <n v="158.75"/>
        <n v="95.46"/>
        <n v="7.32"/>
        <n v="149.76"/>
        <n v="-124.43"/>
        <n v="23.86"/>
        <n v="134.99"/>
        <n v="206.89"/>
        <n v="23.58"/>
        <n v="37"/>
        <n v="-46.54"/>
        <n v="17.18"/>
        <n v="-0.9"/>
        <n v="-10.65"/>
        <n v="-3.29"/>
        <n v="75.739999999999995"/>
        <n v="15.67"/>
        <n v="28.18"/>
        <n v="113.99"/>
        <n v="98.27"/>
        <n v="374.63"/>
        <n v="13.78"/>
        <n v="10.11"/>
        <n v="49.92"/>
        <n v="162.09"/>
        <n v="-97.18"/>
        <n v="38.61"/>
        <n v="18.82"/>
        <n v="72.81"/>
        <n v="5.21"/>
        <n v="25.33"/>
        <n v="18.829999999999998"/>
        <n v="-6.42"/>
        <n v="0.62"/>
        <n v="-46.72"/>
        <n v="-1.96"/>
        <n v="207.48"/>
        <n v="-11.28"/>
        <n v="62.53"/>
        <n v="7.86"/>
        <n v="14.7"/>
        <n v="28.63"/>
        <n v="138.41999999999999"/>
        <n v="101.45"/>
        <n v="-29.01"/>
        <n v="19.600000000000001"/>
        <n v="54.39"/>
        <n v="-64.94"/>
        <n v="33.869999999999997"/>
        <n v="10.18"/>
        <n v="-2.66"/>
        <n v="-34.31"/>
        <n v="25.87"/>
        <n v="-77.13"/>
        <n v="539.25"/>
        <n v="793.72"/>
        <n v="-0.64"/>
        <n v="-3.49"/>
        <n v="1.84"/>
        <n v="-4.1399999999999997"/>
        <n v="-115.43"/>
        <n v="22.23"/>
        <n v="54.04"/>
        <n v="-17.440000000000001"/>
        <n v="52.92"/>
        <n v="-4.47"/>
        <n v="2.08"/>
        <n v="140.96"/>
        <n v="-3.5"/>
        <n v="-71.89"/>
        <n v="11.36"/>
        <n v="54.06"/>
        <n v="-30.25"/>
        <n v="17.5"/>
        <n v="54.33"/>
        <n v="15.01"/>
        <n v="84.22"/>
        <n v="-48.51"/>
        <n v="130.21"/>
        <n v="41.86"/>
        <n v="-3.81"/>
        <n v="41.95"/>
        <n v="67.94"/>
        <n v="143.04"/>
        <n v="-39.119999999999997"/>
        <n v="-87.34"/>
        <n v="50.92"/>
        <n v="-25.47"/>
        <n v="22.83"/>
        <n v="223.99"/>
        <n v="-3.89"/>
        <n v="90.59"/>
        <n v="50.58"/>
        <n v="90.97"/>
        <n v="-8.9"/>
        <n v="107.99"/>
        <n v="46.58"/>
        <n v="-3.57"/>
        <n v="-16.38"/>
        <n v="-32.93"/>
        <n v="1668.21"/>
        <n v="75.59"/>
        <n v="19.05"/>
        <n v="-32.64"/>
        <n v="-5.21"/>
        <n v="-1.1100000000000001"/>
        <n v="47.51"/>
        <n v="-43.44"/>
        <n v="-11.02"/>
        <n v="-84.96"/>
        <n v="21.13"/>
        <n v="15"/>
        <n v="2.46"/>
        <n v="-34.380000000000003"/>
        <n v="40.380000000000003"/>
        <n v="-5.01"/>
        <n v="25.9"/>
        <n v="111.82"/>
        <n v="11.82"/>
        <n v="49.8"/>
        <n v="48.38"/>
        <n v="26.64"/>
        <n v="-2.12"/>
        <n v="148.13999999999999"/>
        <n v="135.97999999999999"/>
        <n v="31.59"/>
        <n v="72.790000000000006"/>
        <n v="37.11"/>
        <n v="8.24"/>
        <n v="214.16"/>
        <n v="31.94"/>
        <n v="40.42"/>
        <n v="310.99"/>
        <n v="90.74"/>
        <n v="101.58"/>
        <n v="39.21"/>
        <n v="185.26"/>
        <n v="-54.55"/>
        <n v="-39.51"/>
        <n v="-96.47"/>
        <n v="25.58"/>
        <n v="-295.98"/>
        <n v="67.11"/>
        <n v="-178.85"/>
        <n v="-10.31"/>
        <n v="78.2"/>
        <n v="59.44"/>
        <n v="-8.11"/>
        <n v="92.44"/>
        <n v="49.76"/>
        <n v="114.63"/>
        <n v="-103.99"/>
        <n v="209.58"/>
        <n v="93.2"/>
        <n v="54.34"/>
        <n v="-348.63"/>
        <n v="-17.66"/>
        <n v="22.39"/>
        <n v="-2.2599999999999998"/>
        <n v="-13.74"/>
        <n v="93.24"/>
        <n v="-45.35"/>
        <n v="-114"/>
        <n v="85.79"/>
        <n v="4.1500000000000004"/>
        <n v="99.23"/>
        <n v="385.38"/>
        <n v="30.23"/>
        <n v="-146.16"/>
        <n v="48.81"/>
        <n v="26.12"/>
        <n v="17.239999999999998"/>
        <n v="43.71"/>
        <n v="-7.26"/>
        <n v="19.34"/>
        <n v="20.86"/>
        <n v="19.739999999999998"/>
        <n v="-377.99"/>
        <n v="148.85"/>
        <n v="13.01"/>
        <n v="-48.78"/>
        <n v="88.55"/>
        <n v="157.13"/>
        <n v="-1.02"/>
        <n v="67.5"/>
        <n v="47.95"/>
        <n v="28.95"/>
        <n v="210.74"/>
        <n v="-448.9"/>
        <n v="-42.9"/>
        <n v="112.41"/>
        <n v="20.21"/>
        <n v="30.42"/>
        <n v="25.01"/>
        <n v="-52.64"/>
        <n v="29.56"/>
        <n v="69.680000000000007"/>
        <n v="7.17"/>
        <n v="121.96"/>
        <n v="-21.33"/>
        <n v="-164.84"/>
        <n v="-3.38"/>
        <n v="14.09"/>
        <n v="-75.19"/>
        <n v="143.97999999999999"/>
        <n v="5.51"/>
        <n v="839.99"/>
        <n v="4.25"/>
        <n v="-34.65"/>
        <n v="-25.99"/>
        <n v="-4.26"/>
        <n v="12.05"/>
        <n v="32.89"/>
        <n v="100.24"/>
        <n v="16.41"/>
        <n v="133.97"/>
        <n v="25.51"/>
        <n v="-53.74"/>
        <n v="15.27"/>
        <n v="11.46"/>
        <n v="54.56"/>
        <n v="-57.12"/>
        <n v="390.98"/>
        <n v="-264"/>
        <n v="-36.67"/>
        <n v="-5.64"/>
        <n v="60.42"/>
        <n v="29.52"/>
        <n v="66.599999999999994"/>
        <n v="247.49"/>
        <n v="11.83"/>
        <n v="26.2"/>
        <n v="4.6399999999999997"/>
        <n v="-13.44"/>
        <n v="44.24"/>
        <n v="11.67"/>
        <n v="7.81"/>
        <n v="412.47"/>
        <n v="35.04"/>
        <n v="378.17"/>
        <n v="2.87"/>
        <n v="-22.51"/>
        <n v="219.65"/>
        <n v="373.78"/>
        <n v="59.37"/>
        <n v="27.3"/>
        <n v="12.25"/>
        <n v="11.71"/>
        <n v="30.61"/>
        <n v="-1237.8499999999999"/>
        <n v="47.66"/>
        <n v="25.44"/>
        <n v="23.18"/>
        <n v="-11.19"/>
        <n v="-0.84"/>
        <n v="97.65"/>
        <n v="-22.24"/>
        <n v="-99.1"/>
        <n v="-630.88"/>
        <n v="654.76"/>
        <n v="77.37"/>
        <n v="15.79"/>
        <n v="33.57"/>
        <n v="10.99"/>
        <n v="27.29"/>
        <n v="12.5"/>
        <n v="-33.14"/>
        <n v="-11.46"/>
        <n v="224.42"/>
        <n v="942.82"/>
        <n v="290.01"/>
        <n v="22.42"/>
        <n v="-7.91"/>
        <n v="7.65"/>
        <n v="182.36"/>
        <n v="37.24"/>
        <n v="77.709999999999994"/>
        <n v="5.17"/>
        <n v="42.46"/>
        <n v="54.95"/>
        <n v="31.25"/>
        <n v="38.869999999999997"/>
        <n v="11.61"/>
        <n v="1453.12"/>
        <n v="7.11"/>
        <n v="2.09"/>
        <n v="-83.88"/>
        <n v="327.58999999999997"/>
        <n v="7.71"/>
        <n v="64.63"/>
        <n v="67.260000000000005"/>
        <n v="-89.07"/>
        <n v="-43.85"/>
        <n v="-297.68"/>
        <n v="16.600000000000001"/>
        <n v="100.91"/>
        <n v="11.57"/>
        <n v="96.58"/>
        <n v="209.98"/>
        <n v="33.159999999999997"/>
        <n v="11.43"/>
        <n v="250.31"/>
        <n v="26.56"/>
        <n v="41.45"/>
        <n v="83.21"/>
        <n v="166.07"/>
        <n v="77.56"/>
        <n v="7.12"/>
        <n v="43.42"/>
        <m/>
      </sharedItems>
    </cacheField>
    <cacheField name="Month" numFmtId="0">
      <sharedItems containsBlank="1" count="13">
        <s v="Jan"/>
        <s v="Feb"/>
        <s v="Mar"/>
        <s v="Apr"/>
        <s v="May"/>
        <s v="Jun"/>
        <s v="Jul"/>
        <s v="Aug"/>
        <s v="Sep"/>
        <s v="Oct"/>
        <s v="Nov"/>
        <s v="Dec"/>
        <m/>
      </sharedItems>
    </cacheField>
    <cacheField name="Year" numFmtId="0">
      <sharedItems containsString="0" containsBlank="1" containsNumber="1" containsInteger="1" minValue="2021" maxValue="2024" count="5">
        <n v="2021"/>
        <n v="2022"/>
        <n v="2023"/>
        <n v="2024"/>
        <m/>
      </sharedItems>
    </cacheField>
  </cacheFields>
  <extLst>
    <ext xmlns:x14="http://schemas.microsoft.com/office/spreadsheetml/2009/9/main" uri="{725AE2AE-9491-48be-B2B4-4EB974FC3084}">
      <x14:pivotCacheDefinition pivotCacheId="149096397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DRAKALA M" refreshedDate="45972.406335763888" createdVersion="8" refreshedVersion="8" minRefreshableVersion="3" recordCount="2319" xr:uid="{726E5620-5032-4C5D-98BE-EC65F92AE00A}">
  <cacheSource type="worksheet">
    <worksheetSource ref="O1:P2320" sheet="Sheet2" r:id="rId2"/>
  </cacheSource>
  <cacheFields count="2">
    <cacheField name="Customer Name" numFmtId="0">
      <sharedItems/>
    </cacheField>
    <cacheField name="Year" numFmtId="0">
      <sharedItems containsSemiMixedTypes="0" containsString="0" containsNumber="1" containsInteger="1" minValue="2021" maxValue="2024" count="4">
        <n v="2021"/>
        <n v="2022"/>
        <n v="2023"/>
        <n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5">
  <r>
    <n v="44199"/>
    <x v="0"/>
    <x v="0"/>
    <x v="0"/>
    <x v="0"/>
    <s v="Message Book, Wirebound, Four 5 1/2&quot; X 4&quot; Forms/Pg., 200 Dupl. Sets/Book"/>
    <n v="16.45"/>
    <n v="2"/>
    <x v="0"/>
    <x v="0"/>
    <x v="0"/>
  </r>
  <r>
    <n v="44200"/>
    <x v="1"/>
    <x v="1"/>
    <x v="0"/>
    <x v="1"/>
    <s v="Avery 508"/>
    <n v="11.78"/>
    <n v="3"/>
    <x v="1"/>
    <x v="0"/>
    <x v="0"/>
  </r>
  <r>
    <n v="44200"/>
    <x v="1"/>
    <x v="1"/>
    <x v="0"/>
    <x v="2"/>
    <s v="SAFCO Boltless Steel Shelving"/>
    <n v="272.74"/>
    <n v="3"/>
    <x v="2"/>
    <x v="0"/>
    <x v="0"/>
  </r>
  <r>
    <n v="44200"/>
    <x v="1"/>
    <x v="1"/>
    <x v="0"/>
    <x v="3"/>
    <s v="GBC Standard Plastic Binding Systems Combs"/>
    <n v="3.54"/>
    <n v="2"/>
    <x v="3"/>
    <x v="0"/>
    <x v="0"/>
  </r>
  <r>
    <n v="44201"/>
    <x v="2"/>
    <x v="2"/>
    <x v="0"/>
    <x v="4"/>
    <s v="Avery Hi-Liter EverBold Pen Style Fluorescent Highlighters, 4/Pack"/>
    <n v="19.54"/>
    <n v="3"/>
    <x v="4"/>
    <x v="0"/>
    <x v="0"/>
  </r>
  <r>
    <n v="44202"/>
    <x v="3"/>
    <x v="3"/>
    <x v="0"/>
    <x v="0"/>
    <s v="Xerox 225"/>
    <n v="19.440000000000001"/>
    <n v="3"/>
    <x v="5"/>
    <x v="0"/>
    <x v="0"/>
  </r>
  <r>
    <n v="44202"/>
    <x v="4"/>
    <x v="4"/>
    <x v="0"/>
    <x v="4"/>
    <s v="Dixon Prang Watercolor Pencils, 10-Color Set with Brush"/>
    <n v="12.78"/>
    <n v="3"/>
    <x v="6"/>
    <x v="0"/>
    <x v="0"/>
  </r>
  <r>
    <n v="44202"/>
    <x v="5"/>
    <x v="5"/>
    <x v="1"/>
    <x v="5"/>
    <s v="Global Deluxe High-Back Manager's Chair"/>
    <n v="2573.8200000000002"/>
    <n v="9"/>
    <x v="7"/>
    <x v="0"/>
    <x v="0"/>
  </r>
  <r>
    <n v="44202"/>
    <x v="5"/>
    <x v="5"/>
    <x v="0"/>
    <x v="3"/>
    <s v="Ibico Hi-Tech Manual Binding System"/>
    <n v="609.98"/>
    <n v="2"/>
    <x v="8"/>
    <x v="0"/>
    <x v="0"/>
  </r>
  <r>
    <n v="44202"/>
    <x v="5"/>
    <x v="5"/>
    <x v="0"/>
    <x v="4"/>
    <s v="Rogers Handheld Barrel Pencil Sharpener"/>
    <n v="5.48"/>
    <n v="2"/>
    <x v="9"/>
    <x v="0"/>
    <x v="0"/>
  </r>
  <r>
    <n v="44202"/>
    <x v="5"/>
    <x v="5"/>
    <x v="2"/>
    <x v="6"/>
    <s v="GE 30524EE4"/>
    <n v="391.98"/>
    <n v="2"/>
    <x v="10"/>
    <x v="0"/>
    <x v="0"/>
  </r>
  <r>
    <n v="44202"/>
    <x v="5"/>
    <x v="5"/>
    <x v="2"/>
    <x v="6"/>
    <s v="Wireless Extenders zBoost YX545 SOHO Signal Booster"/>
    <n v="755.96"/>
    <n v="4"/>
    <x v="11"/>
    <x v="0"/>
    <x v="0"/>
  </r>
  <r>
    <n v="44202"/>
    <x v="5"/>
    <x v="5"/>
    <x v="0"/>
    <x v="7"/>
    <s v="Alliance Super-Size Bands, Assorted Sizes"/>
    <n v="31.12"/>
    <n v="4"/>
    <x v="12"/>
    <x v="0"/>
    <x v="0"/>
  </r>
  <r>
    <n v="44202"/>
    <x v="5"/>
    <x v="5"/>
    <x v="0"/>
    <x v="0"/>
    <s v="Southworth 25% Cotton Granite Paper &amp; Envelopes"/>
    <n v="6.54"/>
    <n v="1"/>
    <x v="13"/>
    <x v="0"/>
    <x v="0"/>
  </r>
  <r>
    <n v="44203"/>
    <x v="6"/>
    <x v="0"/>
    <x v="1"/>
    <x v="8"/>
    <s v="Howard Miller 14-1/2&quot; Diameter Chrome Round Wall Clock"/>
    <n v="76.73"/>
    <n v="3"/>
    <x v="14"/>
    <x v="0"/>
    <x v="0"/>
  </r>
  <r>
    <n v="44203"/>
    <x v="6"/>
    <x v="0"/>
    <x v="0"/>
    <x v="3"/>
    <s v="Acco Four Pocket Poly Ring Binder with Label Holder, Smoke, 1&quot;"/>
    <n v="10.43"/>
    <n v="7"/>
    <x v="15"/>
    <x v="0"/>
    <x v="0"/>
  </r>
  <r>
    <n v="44205"/>
    <x v="7"/>
    <x v="0"/>
    <x v="0"/>
    <x v="4"/>
    <s v="Newell 312"/>
    <n v="9.34"/>
    <n v="2"/>
    <x v="16"/>
    <x v="0"/>
    <x v="0"/>
  </r>
  <r>
    <n v="44205"/>
    <x v="7"/>
    <x v="0"/>
    <x v="2"/>
    <x v="9"/>
    <s v="Memorex Micro Travel Drive 8 GB"/>
    <n v="31.2"/>
    <n v="3"/>
    <x v="17"/>
    <x v="0"/>
    <x v="0"/>
  </r>
  <r>
    <n v="44206"/>
    <x v="8"/>
    <x v="6"/>
    <x v="0"/>
    <x v="1"/>
    <s v="Avery 482"/>
    <n v="2.89"/>
    <n v="1"/>
    <x v="18"/>
    <x v="0"/>
    <x v="0"/>
  </r>
  <r>
    <n v="44206"/>
    <x v="8"/>
    <x v="6"/>
    <x v="1"/>
    <x v="8"/>
    <s v="Howard Miller 11-1/2&quot; Diameter Ridgewood Wall Clock"/>
    <n v="51.94"/>
    <n v="1"/>
    <x v="19"/>
    <x v="0"/>
    <x v="0"/>
  </r>
  <r>
    <n v="44207"/>
    <x v="9"/>
    <x v="7"/>
    <x v="1"/>
    <x v="8"/>
    <s v="DAX Value U-Channel Document Frames, Easel Back"/>
    <n v="9.94"/>
    <n v="2"/>
    <x v="20"/>
    <x v="0"/>
    <x v="0"/>
  </r>
  <r>
    <n v="44209"/>
    <x v="10"/>
    <x v="8"/>
    <x v="0"/>
    <x v="10"/>
    <s v="Staple envelope"/>
    <n v="11.36"/>
    <n v="2"/>
    <x v="21"/>
    <x v="0"/>
    <x v="0"/>
  </r>
  <r>
    <n v="44209"/>
    <x v="10"/>
    <x v="8"/>
    <x v="0"/>
    <x v="10"/>
    <s v="Brown Kraft Recycled Envelopes"/>
    <n v="50.94"/>
    <n v="3"/>
    <x v="22"/>
    <x v="0"/>
    <x v="0"/>
  </r>
  <r>
    <n v="44209"/>
    <x v="10"/>
    <x v="8"/>
    <x v="2"/>
    <x v="9"/>
    <s v="Plantronics S12 Corded Telephone Headset System"/>
    <n v="646.74"/>
    <n v="6"/>
    <x v="23"/>
    <x v="0"/>
    <x v="0"/>
  </r>
  <r>
    <n v="44209"/>
    <x v="10"/>
    <x v="8"/>
    <x v="0"/>
    <x v="3"/>
    <s v="3-ring staple pack"/>
    <n v="5.64"/>
    <n v="3"/>
    <x v="24"/>
    <x v="0"/>
    <x v="0"/>
  </r>
  <r>
    <n v="44209"/>
    <x v="10"/>
    <x v="8"/>
    <x v="0"/>
    <x v="2"/>
    <s v="Fellowes Stor/Drawer Steel Plus Storage Drawers"/>
    <n v="572.58000000000004"/>
    <n v="6"/>
    <x v="25"/>
    <x v="0"/>
    <x v="0"/>
  </r>
  <r>
    <n v="44209"/>
    <x v="11"/>
    <x v="9"/>
    <x v="1"/>
    <x v="5"/>
    <s v="Global Highback Leather Tilter in Burgundy"/>
    <n v="545.94000000000005"/>
    <n v="6"/>
    <x v="26"/>
    <x v="0"/>
    <x v="0"/>
  </r>
  <r>
    <n v="44209"/>
    <x v="12"/>
    <x v="3"/>
    <x v="0"/>
    <x v="2"/>
    <s v="Tennsco 6- and 18-Compartment Lockers"/>
    <n v="1325.85"/>
    <n v="5"/>
    <x v="27"/>
    <x v="0"/>
    <x v="0"/>
  </r>
  <r>
    <n v="44209"/>
    <x v="12"/>
    <x v="3"/>
    <x v="1"/>
    <x v="11"/>
    <s v="O'Sullivan Elevations Bookcase, Cherry Finish"/>
    <n v="334"/>
    <n v="3"/>
    <x v="28"/>
    <x v="0"/>
    <x v="0"/>
  </r>
  <r>
    <n v="44209"/>
    <x v="12"/>
    <x v="3"/>
    <x v="0"/>
    <x v="4"/>
    <s v="4009 Highlighters by Sanford"/>
    <n v="19.899999999999999"/>
    <n v="5"/>
    <x v="29"/>
    <x v="0"/>
    <x v="0"/>
  </r>
  <r>
    <n v="44209"/>
    <x v="13"/>
    <x v="10"/>
    <x v="0"/>
    <x v="0"/>
    <s v="Xerox 1923"/>
    <n v="37.409999999999997"/>
    <n v="7"/>
    <x v="30"/>
    <x v="0"/>
    <x v="0"/>
  </r>
  <r>
    <n v="44209"/>
    <x v="13"/>
    <x v="10"/>
    <x v="0"/>
    <x v="3"/>
    <s v="Avery Metallic Poly Binders"/>
    <n v="3.44"/>
    <n v="2"/>
    <x v="31"/>
    <x v="0"/>
    <x v="0"/>
  </r>
  <r>
    <n v="44210"/>
    <x v="14"/>
    <x v="2"/>
    <x v="1"/>
    <x v="11"/>
    <s v="Sauder Cornerstone Collection Library"/>
    <n v="61.96"/>
    <n v="4"/>
    <x v="32"/>
    <x v="0"/>
    <x v="0"/>
  </r>
  <r>
    <n v="44211"/>
    <x v="15"/>
    <x v="4"/>
    <x v="2"/>
    <x v="9"/>
    <s v="Logitech 910-002974 M325 Wireless Mouse for Web Scrolling"/>
    <n v="149.94999999999999"/>
    <n v="5"/>
    <x v="33"/>
    <x v="0"/>
    <x v="0"/>
  </r>
  <r>
    <n v="44212"/>
    <x v="16"/>
    <x v="2"/>
    <x v="1"/>
    <x v="8"/>
    <s v="DAX Black Cherry Wood-Tone Poster Frame"/>
    <n v="127.1"/>
    <n v="6"/>
    <x v="34"/>
    <x v="0"/>
    <x v="0"/>
  </r>
  <r>
    <n v="44212"/>
    <x v="16"/>
    <x v="2"/>
    <x v="2"/>
    <x v="6"/>
    <s v="AT&amp;T 841000 Phone"/>
    <n v="124.2"/>
    <n v="3"/>
    <x v="35"/>
    <x v="0"/>
    <x v="0"/>
  </r>
  <r>
    <n v="44212"/>
    <x v="16"/>
    <x v="2"/>
    <x v="0"/>
    <x v="3"/>
    <s v="GBC Linen Binding Covers"/>
    <n v="18.59"/>
    <n v="2"/>
    <x v="36"/>
    <x v="0"/>
    <x v="0"/>
  </r>
  <r>
    <n v="44212"/>
    <x v="16"/>
    <x v="2"/>
    <x v="0"/>
    <x v="1"/>
    <s v="Round Specialty Laser Printer Labels"/>
    <n v="30.07"/>
    <n v="3"/>
    <x v="37"/>
    <x v="0"/>
    <x v="0"/>
  </r>
  <r>
    <n v="44214"/>
    <x v="17"/>
    <x v="11"/>
    <x v="0"/>
    <x v="12"/>
    <s v="Fellowes Mighty 8 Compact Surge Protector"/>
    <n v="64.86"/>
    <n v="4"/>
    <x v="38"/>
    <x v="0"/>
    <x v="0"/>
  </r>
  <r>
    <n v="44215"/>
    <x v="18"/>
    <x v="12"/>
    <x v="0"/>
    <x v="3"/>
    <s v="GBC Standard Recycled Report Covers, Clear Plastic Sheets"/>
    <n v="32.340000000000003"/>
    <n v="10"/>
    <x v="39"/>
    <x v="0"/>
    <x v="0"/>
  </r>
  <r>
    <n v="44215"/>
    <x v="18"/>
    <x v="12"/>
    <x v="0"/>
    <x v="0"/>
    <s v="TOPS Carbonless Receipt Book, Four 2-3/4 x 7-1/4 Money Receipts per Page"/>
    <n v="56.06"/>
    <n v="4"/>
    <x v="40"/>
    <x v="0"/>
    <x v="0"/>
  </r>
  <r>
    <n v="44215"/>
    <x v="18"/>
    <x v="12"/>
    <x v="0"/>
    <x v="10"/>
    <s v="Tyvek  Top-Opening Peel &amp; Seel Envelopes, Plain White"/>
    <n v="108.72"/>
    <n v="5"/>
    <x v="41"/>
    <x v="0"/>
    <x v="0"/>
  </r>
  <r>
    <n v="44215"/>
    <x v="18"/>
    <x v="12"/>
    <x v="1"/>
    <x v="11"/>
    <s v="O'Sullivan 4-Shelf Bookcase in Odessa Pine"/>
    <n v="181.47"/>
    <n v="5"/>
    <x v="42"/>
    <x v="0"/>
    <x v="0"/>
  </r>
  <r>
    <n v="44216"/>
    <x v="19"/>
    <x v="13"/>
    <x v="2"/>
    <x v="6"/>
    <s v="Apple iPhone 5C"/>
    <n v="699.93"/>
    <n v="7"/>
    <x v="43"/>
    <x v="0"/>
    <x v="0"/>
  </r>
  <r>
    <n v="44216"/>
    <x v="19"/>
    <x v="13"/>
    <x v="0"/>
    <x v="4"/>
    <s v="Newell 351"/>
    <n v="22.96"/>
    <n v="7"/>
    <x v="44"/>
    <x v="0"/>
    <x v="0"/>
  </r>
  <r>
    <n v="44216"/>
    <x v="19"/>
    <x v="13"/>
    <x v="1"/>
    <x v="8"/>
    <s v="Eldon Expressions Desk Accessory, Wood Pencil Holder, Oak"/>
    <n v="38.6"/>
    <n v="4"/>
    <x v="45"/>
    <x v="0"/>
    <x v="0"/>
  </r>
  <r>
    <n v="44216"/>
    <x v="19"/>
    <x v="13"/>
    <x v="0"/>
    <x v="4"/>
    <s v="Newell 327"/>
    <n v="6.63"/>
    <n v="3"/>
    <x v="46"/>
    <x v="0"/>
    <x v="0"/>
  </r>
  <r>
    <n v="44216"/>
    <x v="19"/>
    <x v="13"/>
    <x v="0"/>
    <x v="10"/>
    <s v="Staple envelope"/>
    <n v="23.34"/>
    <n v="3"/>
    <x v="47"/>
    <x v="0"/>
    <x v="0"/>
  </r>
  <r>
    <n v="44216"/>
    <x v="19"/>
    <x v="13"/>
    <x v="1"/>
    <x v="5"/>
    <s v="Hon 4700 Series Mobuis Mid-Back Task Chairs with Adjustable Arms"/>
    <n v="1067.94"/>
    <n v="3"/>
    <x v="48"/>
    <x v="0"/>
    <x v="0"/>
  </r>
  <r>
    <n v="44216"/>
    <x v="20"/>
    <x v="3"/>
    <x v="0"/>
    <x v="0"/>
    <s v="Wirebound Service Call Books, 5 1/2&quot; x 4&quot;"/>
    <n v="19.36"/>
    <n v="2"/>
    <x v="49"/>
    <x v="0"/>
    <x v="0"/>
  </r>
  <r>
    <n v="44216"/>
    <x v="20"/>
    <x v="3"/>
    <x v="1"/>
    <x v="8"/>
    <s v="Eldon Expressions Desk Accessory, Wood Pencil Holder, Oak"/>
    <n v="19.3"/>
    <n v="2"/>
    <x v="50"/>
    <x v="0"/>
    <x v="0"/>
  </r>
  <r>
    <n v="44216"/>
    <x v="21"/>
    <x v="14"/>
    <x v="0"/>
    <x v="2"/>
    <s v="Eldon Fold 'N Roll Cart System"/>
    <n v="13.98"/>
    <n v="1"/>
    <x v="51"/>
    <x v="0"/>
    <x v="0"/>
  </r>
  <r>
    <n v="44216"/>
    <x v="21"/>
    <x v="14"/>
    <x v="1"/>
    <x v="8"/>
    <s v="Eldon ClusterMat Chair Mat with Cordless Antistatic Protection"/>
    <n v="272.94"/>
    <n v="3"/>
    <x v="52"/>
    <x v="0"/>
    <x v="0"/>
  </r>
  <r>
    <n v="44216"/>
    <x v="21"/>
    <x v="14"/>
    <x v="0"/>
    <x v="3"/>
    <s v="Acco Pressboard Covers with Storage Hooks, 9 1/2&quot; x 11&quot;, Executive Red"/>
    <n v="19.05"/>
    <n v="5"/>
    <x v="53"/>
    <x v="0"/>
    <x v="0"/>
  </r>
  <r>
    <n v="44216"/>
    <x v="21"/>
    <x v="14"/>
    <x v="0"/>
    <x v="12"/>
    <s v="Holmes Replacement Filter for HEPA Air Cleaner, Very Large Room, HEPA Filter"/>
    <n v="247.72"/>
    <n v="4"/>
    <x v="54"/>
    <x v="0"/>
    <x v="0"/>
  </r>
  <r>
    <n v="44216"/>
    <x v="21"/>
    <x v="14"/>
    <x v="0"/>
    <x v="2"/>
    <s v="Fellowes Bases and Tops For Staxonsteel/High-Stak Systems"/>
    <n v="66.58"/>
    <n v="2"/>
    <x v="55"/>
    <x v="0"/>
    <x v="0"/>
  </r>
  <r>
    <n v="44216"/>
    <x v="21"/>
    <x v="14"/>
    <x v="0"/>
    <x v="4"/>
    <s v="Panasonic KP-4ABK Battery-Operated Pencil Sharpener"/>
    <n v="43.92"/>
    <n v="3"/>
    <x v="56"/>
    <x v="0"/>
    <x v="0"/>
  </r>
  <r>
    <n v="44216"/>
    <x v="21"/>
    <x v="14"/>
    <x v="1"/>
    <x v="8"/>
    <s v="Ultra Door Push Plate"/>
    <n v="14.73"/>
    <n v="3"/>
    <x v="57"/>
    <x v="0"/>
    <x v="0"/>
  </r>
  <r>
    <n v="44216"/>
    <x v="21"/>
    <x v="14"/>
    <x v="0"/>
    <x v="3"/>
    <s v="Storex Dura Pro Binders"/>
    <n v="29.7"/>
    <n v="5"/>
    <x v="58"/>
    <x v="0"/>
    <x v="0"/>
  </r>
  <r>
    <n v="44216"/>
    <x v="22"/>
    <x v="15"/>
    <x v="0"/>
    <x v="3"/>
    <s v="GBC DocuBind TL200 Manual Binding Machine"/>
    <n v="67.19"/>
    <n v="1"/>
    <x v="59"/>
    <x v="0"/>
    <x v="0"/>
  </r>
  <r>
    <n v="44217"/>
    <x v="23"/>
    <x v="16"/>
    <x v="1"/>
    <x v="8"/>
    <s v="Ultra Door Pull Handle"/>
    <n v="25.25"/>
    <n v="3"/>
    <x v="60"/>
    <x v="0"/>
    <x v="0"/>
  </r>
  <r>
    <n v="44219"/>
    <x v="24"/>
    <x v="17"/>
    <x v="0"/>
    <x v="0"/>
    <s v="Xerox 195"/>
    <n v="40.08"/>
    <n v="6"/>
    <x v="61"/>
    <x v="0"/>
    <x v="0"/>
  </r>
  <r>
    <n v="44219"/>
    <x v="25"/>
    <x v="18"/>
    <x v="0"/>
    <x v="7"/>
    <s v="Alliance Big Bands Rubber Bands, 12/Pack"/>
    <n v="5.94"/>
    <n v="3"/>
    <x v="62"/>
    <x v="0"/>
    <x v="0"/>
  </r>
  <r>
    <n v="44222"/>
    <x v="26"/>
    <x v="6"/>
    <x v="1"/>
    <x v="8"/>
    <s v="GE General Use Halogen Bulbs, 100 Watts, 1 Bulb per Pack"/>
    <n v="62.82"/>
    <n v="3"/>
    <x v="63"/>
    <x v="0"/>
    <x v="0"/>
  </r>
  <r>
    <n v="44222"/>
    <x v="26"/>
    <x v="6"/>
    <x v="0"/>
    <x v="2"/>
    <s v="SAFCO Commercial Wire Shelving, 72h"/>
    <n v="489.92"/>
    <n v="8"/>
    <x v="62"/>
    <x v="0"/>
    <x v="0"/>
  </r>
  <r>
    <n v="44222"/>
    <x v="26"/>
    <x v="6"/>
    <x v="0"/>
    <x v="0"/>
    <s v="Eureka Recycled Copy Paper 8 1/2&quot; x 11&quot;, Ream"/>
    <n v="19.440000000000001"/>
    <n v="3"/>
    <x v="5"/>
    <x v="0"/>
    <x v="0"/>
  </r>
  <r>
    <n v="44222"/>
    <x v="26"/>
    <x v="6"/>
    <x v="0"/>
    <x v="0"/>
    <s v="REDIFORM Incoming/Outgoing Call Register, 11&quot; X 8 1/2&quot;, 100 Messages"/>
    <n v="16.68"/>
    <n v="2"/>
    <x v="64"/>
    <x v="0"/>
    <x v="0"/>
  </r>
  <r>
    <n v="44222"/>
    <x v="26"/>
    <x v="6"/>
    <x v="2"/>
    <x v="6"/>
    <s v="Macally Suction Cup Mount"/>
    <n v="155.35"/>
    <n v="13"/>
    <x v="62"/>
    <x v="0"/>
    <x v="0"/>
  </r>
  <r>
    <n v="44222"/>
    <x v="26"/>
    <x v="6"/>
    <x v="1"/>
    <x v="8"/>
    <s v="Eldon Image Series Black Desk Accessories"/>
    <n v="12.42"/>
    <n v="3"/>
    <x v="65"/>
    <x v="0"/>
    <x v="0"/>
  </r>
  <r>
    <n v="44222"/>
    <x v="26"/>
    <x v="6"/>
    <x v="2"/>
    <x v="6"/>
    <s v="Jabra SPEAK 410"/>
    <n v="187.98"/>
    <n v="2"/>
    <x v="66"/>
    <x v="0"/>
    <x v="0"/>
  </r>
  <r>
    <n v="44222"/>
    <x v="27"/>
    <x v="19"/>
    <x v="0"/>
    <x v="3"/>
    <s v="Wilson Jones 14 Line Acrylic Coated Pressboard Data Binders"/>
    <n v="10.68"/>
    <n v="2"/>
    <x v="67"/>
    <x v="0"/>
    <x v="0"/>
  </r>
  <r>
    <n v="44222"/>
    <x v="27"/>
    <x v="19"/>
    <x v="1"/>
    <x v="11"/>
    <s v="Safco Value Mate Series Steel Bookcases, Baked Enamel Finish on Steel, Gray"/>
    <n v="141.96"/>
    <n v="2"/>
    <x v="68"/>
    <x v="0"/>
    <x v="0"/>
  </r>
  <r>
    <n v="44223"/>
    <x v="28"/>
    <x v="3"/>
    <x v="0"/>
    <x v="2"/>
    <s v="Recycled Steel Personal File for Hanging File Folders"/>
    <n v="57.23"/>
    <n v="1"/>
    <x v="69"/>
    <x v="0"/>
    <x v="0"/>
  </r>
  <r>
    <n v="44223"/>
    <x v="28"/>
    <x v="3"/>
    <x v="1"/>
    <x v="13"/>
    <s v="Balt Split Level Computer Training Table"/>
    <n v="333"/>
    <n v="3"/>
    <x v="70"/>
    <x v="0"/>
    <x v="0"/>
  </r>
  <r>
    <n v="44223"/>
    <x v="28"/>
    <x v="3"/>
    <x v="0"/>
    <x v="4"/>
    <s v="Dixon Ticonderoga Core-Lock Colored Pencils"/>
    <n v="36.44"/>
    <n v="4"/>
    <x v="71"/>
    <x v="0"/>
    <x v="0"/>
  </r>
  <r>
    <n v="44224"/>
    <x v="29"/>
    <x v="20"/>
    <x v="0"/>
    <x v="3"/>
    <s v="Pressboard Covers with Storage Hooks, 9 1/2&quot; x 11&quot;, Light Blue"/>
    <n v="3.93"/>
    <n v="1"/>
    <x v="72"/>
    <x v="0"/>
    <x v="0"/>
  </r>
  <r>
    <n v="44226"/>
    <x v="30"/>
    <x v="14"/>
    <x v="0"/>
    <x v="0"/>
    <s v="Xerox 1972"/>
    <n v="10.56"/>
    <n v="2"/>
    <x v="73"/>
    <x v="0"/>
    <x v="0"/>
  </r>
  <r>
    <n v="44226"/>
    <x v="30"/>
    <x v="14"/>
    <x v="0"/>
    <x v="2"/>
    <s v="Space Solutions HD Industrial Steel Shelving."/>
    <n v="229.94"/>
    <n v="2"/>
    <x v="74"/>
    <x v="0"/>
    <x v="0"/>
  </r>
  <r>
    <n v="44227"/>
    <x v="31"/>
    <x v="3"/>
    <x v="1"/>
    <x v="11"/>
    <s v="Sauder Facets Collection Library, Sky Alder Finish"/>
    <n v="290.67"/>
    <n v="2"/>
    <x v="75"/>
    <x v="0"/>
    <x v="0"/>
  </r>
  <r>
    <n v="44228"/>
    <x v="32"/>
    <x v="21"/>
    <x v="2"/>
    <x v="9"/>
    <s v="Enermax Aurora Lite Keyboard"/>
    <n v="468.9"/>
    <n v="6"/>
    <x v="76"/>
    <x v="1"/>
    <x v="0"/>
  </r>
  <r>
    <n v="44229"/>
    <x v="33"/>
    <x v="3"/>
    <x v="0"/>
    <x v="7"/>
    <s v="Staples"/>
    <n v="12.35"/>
    <n v="5"/>
    <x v="77"/>
    <x v="1"/>
    <x v="0"/>
  </r>
  <r>
    <n v="44229"/>
    <x v="34"/>
    <x v="16"/>
    <x v="0"/>
    <x v="3"/>
    <s v="Surelock Post Binders"/>
    <n v="18.34"/>
    <n v="2"/>
    <x v="78"/>
    <x v="1"/>
    <x v="0"/>
  </r>
  <r>
    <n v="44229"/>
    <x v="34"/>
    <x v="16"/>
    <x v="2"/>
    <x v="6"/>
    <s v="AT&amp;T 17929 Lendline Telephone"/>
    <n v="180.96"/>
    <n v="5"/>
    <x v="79"/>
    <x v="1"/>
    <x v="0"/>
  </r>
  <r>
    <n v="44230"/>
    <x v="23"/>
    <x v="22"/>
    <x v="0"/>
    <x v="3"/>
    <s v="Ibico Laser Imprintable Binding System Covers"/>
    <n v="83.84"/>
    <n v="2"/>
    <x v="80"/>
    <x v="1"/>
    <x v="0"/>
  </r>
  <r>
    <n v="44230"/>
    <x v="23"/>
    <x v="22"/>
    <x v="0"/>
    <x v="3"/>
    <s v="Avery Durable Poly Binders"/>
    <n v="13.27"/>
    <n v="3"/>
    <x v="81"/>
    <x v="1"/>
    <x v="0"/>
  </r>
  <r>
    <n v="44231"/>
    <x v="35"/>
    <x v="3"/>
    <x v="0"/>
    <x v="3"/>
    <s v="GBC Recycled Grain Textured Covers"/>
    <n v="82.9"/>
    <n v="3"/>
    <x v="82"/>
    <x v="1"/>
    <x v="0"/>
  </r>
  <r>
    <n v="44231"/>
    <x v="35"/>
    <x v="3"/>
    <x v="0"/>
    <x v="0"/>
    <s v="Message Book, Standard Line &quot;While You Were Out&quot;, 5 1/2&quot; X 4&quot;, 200 Sets/Book"/>
    <n v="34.24"/>
    <n v="4"/>
    <x v="83"/>
    <x v="1"/>
    <x v="0"/>
  </r>
  <r>
    <n v="44231"/>
    <x v="36"/>
    <x v="3"/>
    <x v="0"/>
    <x v="3"/>
    <s v="GBC Standard Recycled Report Covers, Clear Plastic Sheets"/>
    <n v="17.25"/>
    <n v="2"/>
    <x v="84"/>
    <x v="1"/>
    <x v="0"/>
  </r>
  <r>
    <n v="44233"/>
    <x v="37"/>
    <x v="6"/>
    <x v="0"/>
    <x v="1"/>
    <s v="Avery 480"/>
    <n v="15"/>
    <n v="4"/>
    <x v="85"/>
    <x v="1"/>
    <x v="0"/>
  </r>
  <r>
    <n v="44233"/>
    <x v="37"/>
    <x v="6"/>
    <x v="2"/>
    <x v="6"/>
    <s v="Aastra 57i VoIP phone"/>
    <n v="161.61000000000001"/>
    <n v="1"/>
    <x v="86"/>
    <x v="1"/>
    <x v="0"/>
  </r>
  <r>
    <n v="44233"/>
    <x v="37"/>
    <x v="6"/>
    <x v="2"/>
    <x v="6"/>
    <s v="AT&amp;T CL82213"/>
    <n v="144.94999999999999"/>
    <n v="5"/>
    <x v="87"/>
    <x v="1"/>
    <x v="0"/>
  </r>
  <r>
    <n v="44233"/>
    <x v="16"/>
    <x v="1"/>
    <x v="0"/>
    <x v="3"/>
    <s v="Avery Flip-Chart Easel Binder, Black"/>
    <n v="8.9499999999999993"/>
    <n v="2"/>
    <x v="88"/>
    <x v="1"/>
    <x v="0"/>
  </r>
  <r>
    <n v="44234"/>
    <x v="38"/>
    <x v="23"/>
    <x v="2"/>
    <x v="9"/>
    <s v="Maxell DVD-RAM Discs"/>
    <n v="115.36"/>
    <n v="7"/>
    <x v="89"/>
    <x v="1"/>
    <x v="0"/>
  </r>
  <r>
    <n v="44234"/>
    <x v="10"/>
    <x v="20"/>
    <x v="0"/>
    <x v="2"/>
    <s v="Acco Perma 4000 Stacking Storage Drawers"/>
    <n v="64.959999999999994"/>
    <n v="4"/>
    <x v="90"/>
    <x v="1"/>
    <x v="0"/>
  </r>
  <r>
    <n v="44235"/>
    <x v="39"/>
    <x v="17"/>
    <x v="1"/>
    <x v="8"/>
    <s v="Master Caster Door Stop, Large Brown"/>
    <n v="14.56"/>
    <n v="2"/>
    <x v="91"/>
    <x v="1"/>
    <x v="0"/>
  </r>
  <r>
    <n v="44238"/>
    <x v="40"/>
    <x v="6"/>
    <x v="2"/>
    <x v="9"/>
    <s v="Enermax Aurora Lite Keyboard"/>
    <n v="234.45"/>
    <n v="3"/>
    <x v="92"/>
    <x v="1"/>
    <x v="0"/>
  </r>
  <r>
    <n v="44238"/>
    <x v="40"/>
    <x v="6"/>
    <x v="1"/>
    <x v="13"/>
    <s v="Hon 2111 Invitation Series Corner Table"/>
    <n v="1256.22"/>
    <n v="6"/>
    <x v="93"/>
    <x v="1"/>
    <x v="0"/>
  </r>
  <r>
    <n v="44238"/>
    <x v="40"/>
    <x v="6"/>
    <x v="0"/>
    <x v="3"/>
    <s v="Wilson Jones Leather-Like Binders with DublLock Round Rings"/>
    <n v="17.46"/>
    <n v="2"/>
    <x v="94"/>
    <x v="1"/>
    <x v="0"/>
  </r>
  <r>
    <n v="44238"/>
    <x v="41"/>
    <x v="24"/>
    <x v="1"/>
    <x v="5"/>
    <s v="Global Value Mid-Back Manager's Chair, Gray"/>
    <n v="60.89"/>
    <n v="1"/>
    <x v="95"/>
    <x v="1"/>
    <x v="0"/>
  </r>
  <r>
    <n v="44238"/>
    <x v="41"/>
    <x v="24"/>
    <x v="0"/>
    <x v="1"/>
    <s v="Avery 483"/>
    <n v="14.94"/>
    <n v="3"/>
    <x v="96"/>
    <x v="1"/>
    <x v="0"/>
  </r>
  <r>
    <n v="44238"/>
    <x v="41"/>
    <x v="24"/>
    <x v="0"/>
    <x v="3"/>
    <s v="Wilson Jones Turn Tabs Binder Tool for Ring Binders"/>
    <n v="9.64"/>
    <n v="2"/>
    <x v="97"/>
    <x v="1"/>
    <x v="0"/>
  </r>
  <r>
    <n v="44238"/>
    <x v="41"/>
    <x v="24"/>
    <x v="1"/>
    <x v="8"/>
    <s v="Rubbermaid ClusterMat Chairmats, Mat Size- 66&quot; x 60&quot;, Lip 20&quot; x 11&quot; -90 Degree Angle"/>
    <n v="332.94"/>
    <n v="3"/>
    <x v="98"/>
    <x v="1"/>
    <x v="0"/>
  </r>
  <r>
    <n v="44238"/>
    <x v="41"/>
    <x v="24"/>
    <x v="0"/>
    <x v="3"/>
    <s v="VariCap6 Expandable Binder"/>
    <n v="51.9"/>
    <n v="3"/>
    <x v="99"/>
    <x v="1"/>
    <x v="0"/>
  </r>
  <r>
    <n v="44238"/>
    <x v="41"/>
    <x v="24"/>
    <x v="0"/>
    <x v="2"/>
    <s v="Fellowes Neat Ideas Storage Cubes"/>
    <n v="64.959999999999994"/>
    <n v="2"/>
    <x v="100"/>
    <x v="1"/>
    <x v="0"/>
  </r>
  <r>
    <n v="44239"/>
    <x v="42"/>
    <x v="3"/>
    <x v="1"/>
    <x v="5"/>
    <s v="Global Geo Office Task Chair, Gray"/>
    <n v="129.57"/>
    <n v="2"/>
    <x v="101"/>
    <x v="1"/>
    <x v="0"/>
  </r>
  <r>
    <n v="44241"/>
    <x v="43"/>
    <x v="0"/>
    <x v="0"/>
    <x v="0"/>
    <s v="Memo Book, 100 Message Capacity, 5 3/8Â” x 11Â”"/>
    <n v="16.18"/>
    <n v="3"/>
    <x v="102"/>
    <x v="1"/>
    <x v="0"/>
  </r>
  <r>
    <n v="44241"/>
    <x v="44"/>
    <x v="22"/>
    <x v="2"/>
    <x v="9"/>
    <s v="Logitech G600 MMO Gaming Mouse"/>
    <n v="239.97"/>
    <n v="3"/>
    <x v="103"/>
    <x v="1"/>
    <x v="0"/>
  </r>
  <r>
    <n v="44241"/>
    <x v="44"/>
    <x v="22"/>
    <x v="0"/>
    <x v="12"/>
    <s v="Belkin 8 Outlet Surge Protector"/>
    <n v="81.96"/>
    <n v="2"/>
    <x v="104"/>
    <x v="1"/>
    <x v="0"/>
  </r>
  <r>
    <n v="44241"/>
    <x v="44"/>
    <x v="22"/>
    <x v="0"/>
    <x v="14"/>
    <s v="Compact Automatic Electric Letter Opener"/>
    <n v="238.62"/>
    <n v="2"/>
    <x v="105"/>
    <x v="1"/>
    <x v="0"/>
  </r>
  <r>
    <n v="44242"/>
    <x v="45"/>
    <x v="22"/>
    <x v="0"/>
    <x v="3"/>
    <s v="Pressboard Data Binders by Wilson Jones"/>
    <n v="21.36"/>
    <n v="5"/>
    <x v="106"/>
    <x v="1"/>
    <x v="0"/>
  </r>
  <r>
    <n v="44243"/>
    <x v="46"/>
    <x v="0"/>
    <x v="0"/>
    <x v="3"/>
    <s v="Wilson Jones Easy Flow II Sheet Lifters"/>
    <n v="1.08"/>
    <n v="3"/>
    <x v="107"/>
    <x v="1"/>
    <x v="0"/>
  </r>
  <r>
    <n v="44243"/>
    <x v="46"/>
    <x v="0"/>
    <x v="0"/>
    <x v="12"/>
    <s v="Holmes Cool Mist Humidifier for the Whole House with 8-Gallon Output per Day, Extended Life Filter"/>
    <n v="7.96"/>
    <n v="2"/>
    <x v="108"/>
    <x v="1"/>
    <x v="0"/>
  </r>
  <r>
    <n v="44244"/>
    <x v="16"/>
    <x v="1"/>
    <x v="0"/>
    <x v="4"/>
    <s v="Staples in misc. colors"/>
    <n v="54.21"/>
    <n v="14"/>
    <x v="109"/>
    <x v="1"/>
    <x v="0"/>
  </r>
  <r>
    <n v="44245"/>
    <x v="47"/>
    <x v="0"/>
    <x v="1"/>
    <x v="8"/>
    <s v="DAX Copper Panel Document Frame, 5 x 7 Size"/>
    <n v="25.16"/>
    <n v="5"/>
    <x v="110"/>
    <x v="1"/>
    <x v="0"/>
  </r>
  <r>
    <n v="44245"/>
    <x v="48"/>
    <x v="0"/>
    <x v="0"/>
    <x v="2"/>
    <s v="Akro Stacking Bins"/>
    <n v="12.62"/>
    <n v="2"/>
    <x v="31"/>
    <x v="1"/>
    <x v="0"/>
  </r>
  <r>
    <n v="44247"/>
    <x v="49"/>
    <x v="18"/>
    <x v="2"/>
    <x v="9"/>
    <s v="Enermax Briskie RF Wireless Keyboard and Mouse Combo"/>
    <n v="62.31"/>
    <n v="3"/>
    <x v="111"/>
    <x v="1"/>
    <x v="0"/>
  </r>
  <r>
    <n v="44247"/>
    <x v="49"/>
    <x v="18"/>
    <x v="1"/>
    <x v="8"/>
    <s v="Master Caster Door Stop, Brown"/>
    <n v="20.32"/>
    <n v="4"/>
    <x v="112"/>
    <x v="1"/>
    <x v="0"/>
  </r>
  <r>
    <n v="44247"/>
    <x v="50"/>
    <x v="3"/>
    <x v="0"/>
    <x v="0"/>
    <s v="Xerox 204"/>
    <n v="12.96"/>
    <n v="2"/>
    <x v="113"/>
    <x v="1"/>
    <x v="0"/>
  </r>
  <r>
    <n v="44248"/>
    <x v="51"/>
    <x v="1"/>
    <x v="0"/>
    <x v="3"/>
    <s v="GBC Standard Plastic Binding Systems Combs"/>
    <n v="8.85"/>
    <n v="5"/>
    <x v="114"/>
    <x v="1"/>
    <x v="0"/>
  </r>
  <r>
    <n v="44249"/>
    <x v="52"/>
    <x v="3"/>
    <x v="0"/>
    <x v="0"/>
    <s v="Xerox 220"/>
    <n v="19.440000000000001"/>
    <n v="3"/>
    <x v="5"/>
    <x v="1"/>
    <x v="0"/>
  </r>
  <r>
    <n v="44250"/>
    <x v="53"/>
    <x v="0"/>
    <x v="0"/>
    <x v="1"/>
    <s v="Staple-on labels"/>
    <n v="6.94"/>
    <n v="3"/>
    <x v="115"/>
    <x v="1"/>
    <x v="0"/>
  </r>
  <r>
    <n v="44250"/>
    <x v="53"/>
    <x v="0"/>
    <x v="0"/>
    <x v="3"/>
    <s v="GBC Plastic Binding Combs"/>
    <n v="4.43"/>
    <n v="3"/>
    <x v="116"/>
    <x v="1"/>
    <x v="0"/>
  </r>
  <r>
    <n v="44251"/>
    <x v="54"/>
    <x v="11"/>
    <x v="0"/>
    <x v="0"/>
    <s v="Message Book, Wirebound, Four 5 1/2&quot; X 4&quot; Forms/Pg., 200 Dupl. Sets/Book"/>
    <n v="32.9"/>
    <n v="4"/>
    <x v="117"/>
    <x v="1"/>
    <x v="0"/>
  </r>
  <r>
    <n v="44251"/>
    <x v="54"/>
    <x v="11"/>
    <x v="0"/>
    <x v="0"/>
    <s v="TOPS 4 x 6 Fluorescent Color Memo Sheets, 500 Sheets per Pack"/>
    <n v="22.78"/>
    <n v="3"/>
    <x v="118"/>
    <x v="1"/>
    <x v="0"/>
  </r>
  <r>
    <n v="44254"/>
    <x v="55"/>
    <x v="10"/>
    <x v="0"/>
    <x v="4"/>
    <s v="Zebra Zazzle Fluorescent Highlighters"/>
    <n v="19.46"/>
    <n v="4"/>
    <x v="119"/>
    <x v="1"/>
    <x v="0"/>
  </r>
  <r>
    <n v="44256"/>
    <x v="56"/>
    <x v="22"/>
    <x v="1"/>
    <x v="5"/>
    <s v="Global Deluxe High-Back Manager's Chair"/>
    <n v="457.57"/>
    <n v="2"/>
    <x v="120"/>
    <x v="2"/>
    <x v="0"/>
  </r>
  <r>
    <n v="44256"/>
    <x v="57"/>
    <x v="20"/>
    <x v="2"/>
    <x v="6"/>
    <s v="Sannysis Cute Owl Design Soft Skin Case Cover for Samsung Galaxy S4"/>
    <n v="5.94"/>
    <n v="3"/>
    <x v="121"/>
    <x v="2"/>
    <x v="0"/>
  </r>
  <r>
    <n v="44256"/>
    <x v="58"/>
    <x v="1"/>
    <x v="1"/>
    <x v="5"/>
    <s v="Novimex Swivel Fabric Task Chair"/>
    <n v="634.12"/>
    <n v="6"/>
    <x v="122"/>
    <x v="2"/>
    <x v="0"/>
  </r>
  <r>
    <n v="44256"/>
    <x v="58"/>
    <x v="1"/>
    <x v="0"/>
    <x v="0"/>
    <s v="Black Print Carbonless 8 1/2&quot; x 8 1/4&quot; Rapid Memo Book"/>
    <n v="17.47"/>
    <n v="3"/>
    <x v="123"/>
    <x v="2"/>
    <x v="0"/>
  </r>
  <r>
    <n v="44256"/>
    <x v="59"/>
    <x v="0"/>
    <x v="0"/>
    <x v="7"/>
    <s v="Plymouth Boxed Rubber Bands by Plymouth"/>
    <n v="18.84"/>
    <n v="5"/>
    <x v="124"/>
    <x v="2"/>
    <x v="0"/>
  </r>
  <r>
    <n v="44256"/>
    <x v="59"/>
    <x v="0"/>
    <x v="1"/>
    <x v="5"/>
    <s v="Harbour Creations Steel Folding Chair"/>
    <n v="362.25"/>
    <n v="6"/>
    <x v="62"/>
    <x v="2"/>
    <x v="0"/>
  </r>
  <r>
    <n v="44256"/>
    <x v="59"/>
    <x v="0"/>
    <x v="1"/>
    <x v="8"/>
    <s v="DAX Black Cherry Wood-Tone Poster Frame"/>
    <n v="63.55"/>
    <n v="6"/>
    <x v="125"/>
    <x v="2"/>
    <x v="0"/>
  </r>
  <r>
    <n v="44256"/>
    <x v="59"/>
    <x v="0"/>
    <x v="0"/>
    <x v="2"/>
    <s v="Fellowes Bankers Box Recycled Super Stor/Drawer"/>
    <n v="129.55000000000001"/>
    <n v="3"/>
    <x v="126"/>
    <x v="2"/>
    <x v="0"/>
  </r>
  <r>
    <n v="44256"/>
    <x v="60"/>
    <x v="0"/>
    <x v="0"/>
    <x v="2"/>
    <s v="Recycled Steel Personal File for Hanging File Folders"/>
    <n v="137.35"/>
    <n v="3"/>
    <x v="127"/>
    <x v="2"/>
    <x v="0"/>
  </r>
  <r>
    <n v="44256"/>
    <x v="60"/>
    <x v="0"/>
    <x v="1"/>
    <x v="13"/>
    <s v="Bevis Round Conference Room Tables and Bases"/>
    <n v="376.51"/>
    <n v="3"/>
    <x v="128"/>
    <x v="2"/>
    <x v="0"/>
  </r>
  <r>
    <n v="44257"/>
    <x v="61"/>
    <x v="20"/>
    <x v="0"/>
    <x v="10"/>
    <s v="Staple envelope"/>
    <n v="11.36"/>
    <n v="2"/>
    <x v="21"/>
    <x v="2"/>
    <x v="0"/>
  </r>
  <r>
    <n v="44257"/>
    <x v="61"/>
    <x v="20"/>
    <x v="0"/>
    <x v="0"/>
    <s v="Array Parchment Paper, Assorted Colors"/>
    <n v="36.4"/>
    <n v="5"/>
    <x v="129"/>
    <x v="2"/>
    <x v="0"/>
  </r>
  <r>
    <n v="44257"/>
    <x v="62"/>
    <x v="2"/>
    <x v="0"/>
    <x v="0"/>
    <s v="Xerox 1971"/>
    <n v="3.42"/>
    <n v="1"/>
    <x v="130"/>
    <x v="2"/>
    <x v="0"/>
  </r>
  <r>
    <n v="44257"/>
    <x v="62"/>
    <x v="2"/>
    <x v="2"/>
    <x v="9"/>
    <s v="Hypercom P1300 Pinpad"/>
    <n v="151.19999999999999"/>
    <n v="3"/>
    <x v="131"/>
    <x v="2"/>
    <x v="0"/>
  </r>
  <r>
    <n v="44258"/>
    <x v="63"/>
    <x v="25"/>
    <x v="0"/>
    <x v="4"/>
    <s v="Zebra Zazzle Fluorescent Highlighters"/>
    <n v="19.46"/>
    <n v="4"/>
    <x v="119"/>
    <x v="2"/>
    <x v="0"/>
  </r>
  <r>
    <n v="44258"/>
    <x v="64"/>
    <x v="20"/>
    <x v="2"/>
    <x v="6"/>
    <s v="PowerGen Dual USB Car Charger"/>
    <n v="9.99"/>
    <n v="1"/>
    <x v="132"/>
    <x v="2"/>
    <x v="0"/>
  </r>
  <r>
    <n v="44258"/>
    <x v="64"/>
    <x v="20"/>
    <x v="0"/>
    <x v="3"/>
    <s v="Ibico Laser Imprintable Binding System Covers"/>
    <n v="125.76"/>
    <n v="3"/>
    <x v="133"/>
    <x v="2"/>
    <x v="0"/>
  </r>
  <r>
    <n v="44258"/>
    <x v="64"/>
    <x v="20"/>
    <x v="0"/>
    <x v="3"/>
    <s v="Cardinal HOLDit! Binder Insert Strips,Extra Strips"/>
    <n v="25.32"/>
    <n v="5"/>
    <x v="134"/>
    <x v="2"/>
    <x v="0"/>
  </r>
  <r>
    <n v="44258"/>
    <x v="65"/>
    <x v="10"/>
    <x v="0"/>
    <x v="1"/>
    <s v="Avery 495"/>
    <n v="15.12"/>
    <n v="3"/>
    <x v="135"/>
    <x v="2"/>
    <x v="0"/>
  </r>
  <r>
    <n v="44258"/>
    <x v="65"/>
    <x v="10"/>
    <x v="1"/>
    <x v="11"/>
    <s v="O'Sullivan 4-Shelf Bookcase in Odessa Pine"/>
    <n v="302.45"/>
    <n v="5"/>
    <x v="136"/>
    <x v="2"/>
    <x v="0"/>
  </r>
  <r>
    <n v="44258"/>
    <x v="65"/>
    <x v="10"/>
    <x v="0"/>
    <x v="2"/>
    <s v="Eldon Shelf Savers Cubes and Bins"/>
    <n v="44.67"/>
    <n v="8"/>
    <x v="137"/>
    <x v="2"/>
    <x v="0"/>
  </r>
  <r>
    <n v="44258"/>
    <x v="66"/>
    <x v="0"/>
    <x v="0"/>
    <x v="12"/>
    <s v="3.6 Cubic Foot Counter Height Office Refrigerator"/>
    <n v="176.77"/>
    <n v="3"/>
    <x v="138"/>
    <x v="2"/>
    <x v="0"/>
  </r>
  <r>
    <n v="44258"/>
    <x v="67"/>
    <x v="3"/>
    <x v="1"/>
    <x v="13"/>
    <s v="Bevis Oval Conference Table, Walnut"/>
    <n v="626.35"/>
    <n v="3"/>
    <x v="139"/>
    <x v="2"/>
    <x v="0"/>
  </r>
  <r>
    <n v="44259"/>
    <x v="68"/>
    <x v="9"/>
    <x v="0"/>
    <x v="2"/>
    <s v="Sensible Storage WireTech Storage Systems"/>
    <n v="354.9"/>
    <n v="5"/>
    <x v="140"/>
    <x v="2"/>
    <x v="0"/>
  </r>
  <r>
    <n v="44259"/>
    <x v="42"/>
    <x v="16"/>
    <x v="0"/>
    <x v="4"/>
    <s v="BIC Brite Liner Highlighters, Chisel Tip"/>
    <n v="15.55"/>
    <n v="3"/>
    <x v="141"/>
    <x v="2"/>
    <x v="0"/>
  </r>
  <r>
    <n v="44260"/>
    <x v="69"/>
    <x v="20"/>
    <x v="0"/>
    <x v="4"/>
    <s v="Newell 345"/>
    <n v="59.52"/>
    <n v="3"/>
    <x v="142"/>
    <x v="2"/>
    <x v="0"/>
  </r>
  <r>
    <n v="44260"/>
    <x v="69"/>
    <x v="20"/>
    <x v="2"/>
    <x v="9"/>
    <s v="Logitech Wireless Gaming Headset G930"/>
    <n v="479.97"/>
    <n v="3"/>
    <x v="143"/>
    <x v="2"/>
    <x v="0"/>
  </r>
  <r>
    <n v="44260"/>
    <x v="69"/>
    <x v="20"/>
    <x v="0"/>
    <x v="14"/>
    <s v="Acme Forged Steel Scissors with Black Enamel Handles"/>
    <n v="18.62"/>
    <n v="2"/>
    <x v="144"/>
    <x v="2"/>
    <x v="0"/>
  </r>
  <r>
    <n v="44260"/>
    <x v="69"/>
    <x v="20"/>
    <x v="0"/>
    <x v="3"/>
    <s v="GBC Wire Binding Combs"/>
    <n v="49.63"/>
    <n v="6"/>
    <x v="145"/>
    <x v="2"/>
    <x v="0"/>
  </r>
  <r>
    <n v="44260"/>
    <x v="69"/>
    <x v="20"/>
    <x v="0"/>
    <x v="0"/>
    <s v="Xerox 1891"/>
    <n v="97.82"/>
    <n v="2"/>
    <x v="146"/>
    <x v="2"/>
    <x v="0"/>
  </r>
  <r>
    <n v="44262"/>
    <x v="48"/>
    <x v="22"/>
    <x v="1"/>
    <x v="5"/>
    <s v="Global Push Button Manager's Chair, Indigo"/>
    <n v="48.71"/>
    <n v="1"/>
    <x v="147"/>
    <x v="2"/>
    <x v="0"/>
  </r>
  <r>
    <n v="44262"/>
    <x v="48"/>
    <x v="22"/>
    <x v="0"/>
    <x v="4"/>
    <s v="Newell 330"/>
    <n v="17.940000000000001"/>
    <n v="3"/>
    <x v="148"/>
    <x v="2"/>
    <x v="0"/>
  </r>
  <r>
    <n v="44262"/>
    <x v="48"/>
    <x v="22"/>
    <x v="0"/>
    <x v="2"/>
    <s v="Carina 42&quot;Hx23 3/4&quot;W Media Storage Unit"/>
    <n v="242.94"/>
    <n v="3"/>
    <x v="57"/>
    <x v="2"/>
    <x v="0"/>
  </r>
  <r>
    <n v="44262"/>
    <x v="70"/>
    <x v="22"/>
    <x v="0"/>
    <x v="3"/>
    <s v="Catalog Binders with Expanding Posts"/>
    <n v="107.65"/>
    <n v="2"/>
    <x v="149"/>
    <x v="2"/>
    <x v="0"/>
  </r>
  <r>
    <n v="44262"/>
    <x v="71"/>
    <x v="22"/>
    <x v="0"/>
    <x v="4"/>
    <s v="Newell Chalk Holder"/>
    <n v="20.65"/>
    <n v="5"/>
    <x v="150"/>
    <x v="2"/>
    <x v="0"/>
  </r>
  <r>
    <n v="44262"/>
    <x v="71"/>
    <x v="22"/>
    <x v="0"/>
    <x v="2"/>
    <s v="Contico 72&quot;H Heavy-Duty Storage System"/>
    <n v="204.9"/>
    <n v="5"/>
    <x v="62"/>
    <x v="2"/>
    <x v="0"/>
  </r>
  <r>
    <n v="44262"/>
    <x v="71"/>
    <x v="22"/>
    <x v="1"/>
    <x v="5"/>
    <s v="Office Star - Task Chair with Contemporary Loop Arms"/>
    <n v="436.7"/>
    <n v="6"/>
    <x v="151"/>
    <x v="2"/>
    <x v="0"/>
  </r>
  <r>
    <n v="44262"/>
    <x v="71"/>
    <x v="22"/>
    <x v="1"/>
    <x v="5"/>
    <s v="Global Leather and Oak Executive Chair, Black"/>
    <n v="481.57"/>
    <n v="2"/>
    <x v="152"/>
    <x v="2"/>
    <x v="0"/>
  </r>
  <r>
    <n v="44265"/>
    <x v="72"/>
    <x v="14"/>
    <x v="0"/>
    <x v="0"/>
    <s v="Geographics Note Cards, Blank, White, 8 1/2&quot; x 11&quot;"/>
    <n v="22.38"/>
    <n v="2"/>
    <x v="153"/>
    <x v="2"/>
    <x v="0"/>
  </r>
  <r>
    <n v="44265"/>
    <x v="73"/>
    <x v="26"/>
    <x v="0"/>
    <x v="2"/>
    <s v="Tennsco 6- and 18-Compartment Lockers"/>
    <n v="636.41"/>
    <n v="3"/>
    <x v="154"/>
    <x v="2"/>
    <x v="0"/>
  </r>
  <r>
    <n v="44265"/>
    <x v="73"/>
    <x v="26"/>
    <x v="0"/>
    <x v="4"/>
    <s v="BOSTON Ranger #55 Pencil Sharpener, Black"/>
    <n v="83.17"/>
    <n v="4"/>
    <x v="155"/>
    <x v="2"/>
    <x v="0"/>
  </r>
  <r>
    <n v="44266"/>
    <x v="74"/>
    <x v="10"/>
    <x v="1"/>
    <x v="8"/>
    <s v="Eldon Wave Desk Accessories"/>
    <n v="8.32"/>
    <n v="5"/>
    <x v="156"/>
    <x v="2"/>
    <x v="0"/>
  </r>
  <r>
    <n v="44266"/>
    <x v="74"/>
    <x v="10"/>
    <x v="0"/>
    <x v="7"/>
    <s v="Stockwell Push Pins"/>
    <n v="10.46"/>
    <n v="6"/>
    <x v="157"/>
    <x v="2"/>
    <x v="0"/>
  </r>
  <r>
    <n v="44266"/>
    <x v="75"/>
    <x v="20"/>
    <x v="0"/>
    <x v="0"/>
    <s v="Southworth 100% RÃ©sumÃ© Paper, 24lb."/>
    <n v="108.92"/>
    <n v="14"/>
    <x v="158"/>
    <x v="2"/>
    <x v="0"/>
  </r>
  <r>
    <n v="44266"/>
    <x v="76"/>
    <x v="5"/>
    <x v="0"/>
    <x v="12"/>
    <s v="Fellowes Premier Superior Surge Suppressor, 10-Outlet, With Phone and Remote"/>
    <n v="146.76"/>
    <n v="3"/>
    <x v="159"/>
    <x v="2"/>
    <x v="0"/>
  </r>
  <r>
    <n v="44266"/>
    <x v="76"/>
    <x v="5"/>
    <x v="2"/>
    <x v="9"/>
    <s v="Maxell DVD-RAM Discs"/>
    <n v="32.96"/>
    <n v="2"/>
    <x v="160"/>
    <x v="2"/>
    <x v="0"/>
  </r>
  <r>
    <n v="44266"/>
    <x v="76"/>
    <x v="5"/>
    <x v="2"/>
    <x v="6"/>
    <s v="Panasonic KX-TG9471B"/>
    <n v="587.97"/>
    <n v="3"/>
    <x v="161"/>
    <x v="2"/>
    <x v="0"/>
  </r>
  <r>
    <n v="44266"/>
    <x v="76"/>
    <x v="5"/>
    <x v="0"/>
    <x v="0"/>
    <s v="Xerox 198"/>
    <n v="14.94"/>
    <n v="3"/>
    <x v="162"/>
    <x v="2"/>
    <x v="0"/>
  </r>
  <r>
    <n v="44266"/>
    <x v="77"/>
    <x v="3"/>
    <x v="0"/>
    <x v="4"/>
    <s v="Economy #2 Pencils"/>
    <n v="7.98"/>
    <n v="3"/>
    <x v="163"/>
    <x v="2"/>
    <x v="0"/>
  </r>
  <r>
    <n v="44269"/>
    <x v="78"/>
    <x v="3"/>
    <x v="0"/>
    <x v="0"/>
    <s v="Xerox 1972"/>
    <n v="10.56"/>
    <n v="2"/>
    <x v="73"/>
    <x v="2"/>
    <x v="0"/>
  </r>
  <r>
    <n v="44269"/>
    <x v="78"/>
    <x v="3"/>
    <x v="0"/>
    <x v="4"/>
    <s v="Avery Hi-Liter Fluorescent Desk Style Markers"/>
    <n v="3.38"/>
    <n v="1"/>
    <x v="164"/>
    <x v="2"/>
    <x v="0"/>
  </r>
  <r>
    <n v="44269"/>
    <x v="79"/>
    <x v="6"/>
    <x v="1"/>
    <x v="5"/>
    <s v="Global Commerce Series High-Back Swivel/Tilt Chairs"/>
    <n v="1139.92"/>
    <n v="4"/>
    <x v="165"/>
    <x v="2"/>
    <x v="0"/>
  </r>
  <r>
    <n v="44269"/>
    <x v="80"/>
    <x v="27"/>
    <x v="0"/>
    <x v="3"/>
    <s v="GBC Wire Binding Combs"/>
    <n v="33.090000000000003"/>
    <n v="4"/>
    <x v="166"/>
    <x v="2"/>
    <x v="0"/>
  </r>
  <r>
    <n v="44269"/>
    <x v="80"/>
    <x v="27"/>
    <x v="0"/>
    <x v="2"/>
    <s v="Carina Double Wide Media Storage Towers in Natural &amp; Black"/>
    <n v="80.98"/>
    <n v="1"/>
    <x v="167"/>
    <x v="2"/>
    <x v="0"/>
  </r>
  <r>
    <n v="44269"/>
    <x v="80"/>
    <x v="27"/>
    <x v="2"/>
    <x v="9"/>
    <s v="ImationÂ 30456 USBÂ Flash DriveÂ 8GB"/>
    <n v="82.8"/>
    <n v="12"/>
    <x v="168"/>
    <x v="2"/>
    <x v="0"/>
  </r>
  <r>
    <n v="44269"/>
    <x v="80"/>
    <x v="27"/>
    <x v="0"/>
    <x v="2"/>
    <s v="Staple magnet"/>
    <n v="21.36"/>
    <n v="2"/>
    <x v="169"/>
    <x v="2"/>
    <x v="0"/>
  </r>
  <r>
    <n v="44269"/>
    <x v="80"/>
    <x v="27"/>
    <x v="0"/>
    <x v="3"/>
    <s v="Premium Transparent Presentation Covers, No Pattern/Clear, 8 1/2&quot; x 11&quot;"/>
    <n v="62.05"/>
    <n v="2"/>
    <x v="170"/>
    <x v="2"/>
    <x v="0"/>
  </r>
  <r>
    <n v="44269"/>
    <x v="81"/>
    <x v="1"/>
    <x v="2"/>
    <x v="15"/>
    <s v="Hewlett-Packard Deskjet 6540 Color Inkjet Printer"/>
    <n v="574.91"/>
    <n v="2"/>
    <x v="171"/>
    <x v="2"/>
    <x v="0"/>
  </r>
  <r>
    <n v="44269"/>
    <x v="81"/>
    <x v="1"/>
    <x v="0"/>
    <x v="0"/>
    <s v="Xerox 1963"/>
    <n v="8.4499999999999993"/>
    <n v="2"/>
    <x v="172"/>
    <x v="2"/>
    <x v="0"/>
  </r>
  <r>
    <n v="44269"/>
    <x v="82"/>
    <x v="16"/>
    <x v="0"/>
    <x v="0"/>
    <s v="Xerox 1887"/>
    <n v="91.06"/>
    <n v="6"/>
    <x v="173"/>
    <x v="2"/>
    <x v="0"/>
  </r>
  <r>
    <n v="44270"/>
    <x v="83"/>
    <x v="16"/>
    <x v="0"/>
    <x v="2"/>
    <s v="Hot File 7-Pocket, Floor Stand"/>
    <n v="142.78"/>
    <n v="1"/>
    <x v="174"/>
    <x v="2"/>
    <x v="0"/>
  </r>
  <r>
    <n v="44270"/>
    <x v="83"/>
    <x v="16"/>
    <x v="1"/>
    <x v="8"/>
    <s v="Eldon Expressions Desk Accessory, Wood Photo Frame, Mahogany"/>
    <n v="45.7"/>
    <n v="3"/>
    <x v="175"/>
    <x v="2"/>
    <x v="0"/>
  </r>
  <r>
    <n v="44270"/>
    <x v="83"/>
    <x v="16"/>
    <x v="0"/>
    <x v="3"/>
    <s v="Insertable Tab Post Binder Dividers"/>
    <n v="7.22"/>
    <n v="3"/>
    <x v="176"/>
    <x v="2"/>
    <x v="0"/>
  </r>
  <r>
    <n v="44270"/>
    <x v="83"/>
    <x v="16"/>
    <x v="0"/>
    <x v="3"/>
    <s v="GBC VeloBinder Manual Binding System"/>
    <n v="43.19"/>
    <n v="4"/>
    <x v="177"/>
    <x v="2"/>
    <x v="0"/>
  </r>
  <r>
    <n v="44270"/>
    <x v="83"/>
    <x v="16"/>
    <x v="0"/>
    <x v="0"/>
    <s v="Xerox 1889"/>
    <n v="131.9"/>
    <n v="3"/>
    <x v="178"/>
    <x v="2"/>
    <x v="0"/>
  </r>
  <r>
    <n v="44271"/>
    <x v="61"/>
    <x v="25"/>
    <x v="2"/>
    <x v="6"/>
    <s v="Polycom VoiceStation 500 ConferenceÂ phone"/>
    <n v="471.92"/>
    <n v="2"/>
    <x v="179"/>
    <x v="2"/>
    <x v="0"/>
  </r>
  <r>
    <n v="44272"/>
    <x v="84"/>
    <x v="28"/>
    <x v="0"/>
    <x v="12"/>
    <s v="Bionaire Personal Warm Mist Humidifier/Vaporizer"/>
    <n v="93.78"/>
    <n v="2"/>
    <x v="180"/>
    <x v="2"/>
    <x v="0"/>
  </r>
  <r>
    <n v="44272"/>
    <x v="84"/>
    <x v="28"/>
    <x v="0"/>
    <x v="0"/>
    <s v="Memo Book, 100 Message Capacity, 5 3/8Â” x 11Â”"/>
    <n v="47.18"/>
    <n v="7"/>
    <x v="181"/>
    <x v="2"/>
    <x v="0"/>
  </r>
  <r>
    <n v="44272"/>
    <x v="84"/>
    <x v="28"/>
    <x v="0"/>
    <x v="4"/>
    <s v="Newell 35"/>
    <n v="19.68"/>
    <n v="6"/>
    <x v="182"/>
    <x v="2"/>
    <x v="0"/>
  </r>
  <r>
    <n v="44272"/>
    <x v="84"/>
    <x v="28"/>
    <x v="0"/>
    <x v="3"/>
    <s v="Wilson Jones 14 Line Acrylic Coated Pressboard Data Binders"/>
    <n v="53.4"/>
    <n v="10"/>
    <x v="183"/>
    <x v="2"/>
    <x v="0"/>
  </r>
  <r>
    <n v="44272"/>
    <x v="84"/>
    <x v="28"/>
    <x v="0"/>
    <x v="3"/>
    <s v="Avery Non-Stick Heavy Duty View Round Locking Ring Binders"/>
    <n v="35.880000000000003"/>
    <n v="6"/>
    <x v="184"/>
    <x v="2"/>
    <x v="0"/>
  </r>
  <r>
    <n v="44272"/>
    <x v="85"/>
    <x v="20"/>
    <x v="1"/>
    <x v="13"/>
    <s v="Bretford Rectangular Conference Table Tops"/>
    <n v="1579.75"/>
    <n v="7"/>
    <x v="185"/>
    <x v="2"/>
    <x v="0"/>
  </r>
  <r>
    <n v="44272"/>
    <x v="85"/>
    <x v="20"/>
    <x v="1"/>
    <x v="13"/>
    <s v="Balt Solid Wood Round Tables"/>
    <n v="1071.58"/>
    <n v="4"/>
    <x v="186"/>
    <x v="2"/>
    <x v="0"/>
  </r>
  <r>
    <n v="44272"/>
    <x v="85"/>
    <x v="20"/>
    <x v="1"/>
    <x v="13"/>
    <s v="Hon 30&quot; x 60&quot; Table with Locking Drawer"/>
    <n v="613.91"/>
    <n v="3"/>
    <x v="187"/>
    <x v="2"/>
    <x v="0"/>
  </r>
  <r>
    <n v="44272"/>
    <x v="85"/>
    <x v="20"/>
    <x v="0"/>
    <x v="0"/>
    <s v="Xerox 1926"/>
    <n v="34.86"/>
    <n v="7"/>
    <x v="188"/>
    <x v="2"/>
    <x v="0"/>
  </r>
  <r>
    <n v="44272"/>
    <x v="85"/>
    <x v="20"/>
    <x v="0"/>
    <x v="0"/>
    <s v="Xerox 1918"/>
    <n v="155.04"/>
    <n v="4"/>
    <x v="189"/>
    <x v="2"/>
    <x v="0"/>
  </r>
  <r>
    <n v="44272"/>
    <x v="86"/>
    <x v="0"/>
    <x v="0"/>
    <x v="4"/>
    <s v="Newell 333"/>
    <n v="4.45"/>
    <n v="2"/>
    <x v="190"/>
    <x v="2"/>
    <x v="0"/>
  </r>
  <r>
    <n v="44272"/>
    <x v="86"/>
    <x v="0"/>
    <x v="0"/>
    <x v="0"/>
    <s v="Xerox 1966"/>
    <n v="5.18"/>
    <n v="1"/>
    <x v="191"/>
    <x v="2"/>
    <x v="0"/>
  </r>
  <r>
    <n v="44272"/>
    <x v="86"/>
    <x v="0"/>
    <x v="0"/>
    <x v="0"/>
    <s v="Xerox 1967"/>
    <n v="15.55"/>
    <n v="3"/>
    <x v="192"/>
    <x v="2"/>
    <x v="0"/>
  </r>
  <r>
    <n v="44272"/>
    <x v="36"/>
    <x v="29"/>
    <x v="0"/>
    <x v="3"/>
    <s v="Acco Pressboard Covers with Storage Hooks, 9 1/2&quot; x 11&quot;, Executive Red"/>
    <n v="11.43"/>
    <n v="3"/>
    <x v="193"/>
    <x v="2"/>
    <x v="0"/>
  </r>
  <r>
    <n v="44272"/>
    <x v="36"/>
    <x v="29"/>
    <x v="0"/>
    <x v="3"/>
    <s v="GBC Twin Loop Wire Binding Elements, 9/16&quot; Spine, Black"/>
    <n v="30.44"/>
    <n v="2"/>
    <x v="194"/>
    <x v="2"/>
    <x v="0"/>
  </r>
  <r>
    <n v="44272"/>
    <x v="36"/>
    <x v="29"/>
    <x v="0"/>
    <x v="0"/>
    <s v="Xerox 1957"/>
    <n v="12.96"/>
    <n v="2"/>
    <x v="195"/>
    <x v="2"/>
    <x v="0"/>
  </r>
  <r>
    <n v="44272"/>
    <x v="36"/>
    <x v="29"/>
    <x v="0"/>
    <x v="0"/>
    <s v="EcoTones Memo Sheets"/>
    <n v="16"/>
    <n v="4"/>
    <x v="196"/>
    <x v="2"/>
    <x v="0"/>
  </r>
  <r>
    <n v="44272"/>
    <x v="36"/>
    <x v="29"/>
    <x v="0"/>
    <x v="12"/>
    <s v="Belkin 6 Outlet Metallic Surge Strip"/>
    <n v="32.67"/>
    <n v="3"/>
    <x v="197"/>
    <x v="2"/>
    <x v="0"/>
  </r>
  <r>
    <n v="44272"/>
    <x v="87"/>
    <x v="2"/>
    <x v="0"/>
    <x v="0"/>
    <s v="Xerox 1909"/>
    <n v="126.62"/>
    <n v="6"/>
    <x v="198"/>
    <x v="2"/>
    <x v="0"/>
  </r>
  <r>
    <n v="44273"/>
    <x v="88"/>
    <x v="16"/>
    <x v="2"/>
    <x v="15"/>
    <s v="Hewlett-Packard Deskjet 6540 Color Inkjet Printer"/>
    <n v="821.3"/>
    <n v="4"/>
    <x v="199"/>
    <x v="2"/>
    <x v="0"/>
  </r>
  <r>
    <n v="44273"/>
    <x v="88"/>
    <x v="16"/>
    <x v="2"/>
    <x v="15"/>
    <s v="Cisco TelePresence System EX90 Videoconferencing Unit"/>
    <n v="22638.48"/>
    <n v="6"/>
    <x v="200"/>
    <x v="2"/>
    <x v="0"/>
  </r>
  <r>
    <n v="44273"/>
    <x v="88"/>
    <x v="16"/>
    <x v="0"/>
    <x v="0"/>
    <s v="Xerox 195"/>
    <n v="21.38"/>
    <n v="4"/>
    <x v="201"/>
    <x v="2"/>
    <x v="0"/>
  </r>
  <r>
    <n v="44273"/>
    <x v="88"/>
    <x v="16"/>
    <x v="0"/>
    <x v="4"/>
    <s v="Avery Fluorescent Highlighter Four-Color Set"/>
    <n v="8.02"/>
    <n v="3"/>
    <x v="202"/>
    <x v="2"/>
    <x v="0"/>
  </r>
  <r>
    <n v="44273"/>
    <x v="88"/>
    <x v="16"/>
    <x v="1"/>
    <x v="8"/>
    <s v="Executive Impressions 13&quot; Clairmont Wall Clock"/>
    <n v="30.77"/>
    <n v="2"/>
    <x v="203"/>
    <x v="2"/>
    <x v="0"/>
  </r>
  <r>
    <n v="44273"/>
    <x v="88"/>
    <x v="16"/>
    <x v="0"/>
    <x v="7"/>
    <s v="Staples"/>
    <n v="18.940000000000001"/>
    <n v="3"/>
    <x v="204"/>
    <x v="2"/>
    <x v="0"/>
  </r>
  <r>
    <n v="44273"/>
    <x v="88"/>
    <x v="16"/>
    <x v="1"/>
    <x v="8"/>
    <s v="Dana Fluorescent Magnifying Lamp, White, 36&quot;"/>
    <n v="122.35"/>
    <n v="3"/>
    <x v="205"/>
    <x v="2"/>
    <x v="0"/>
  </r>
  <r>
    <n v="44273"/>
    <x v="89"/>
    <x v="3"/>
    <x v="1"/>
    <x v="11"/>
    <s v="Bush Heritage Pine Collection 5-Shelf Bookcase, Albany Pine Finish, *Special Order"/>
    <n v="1198.33"/>
    <n v="10"/>
    <x v="206"/>
    <x v="2"/>
    <x v="0"/>
  </r>
  <r>
    <n v="44273"/>
    <x v="90"/>
    <x v="3"/>
    <x v="1"/>
    <x v="8"/>
    <s v="Eldon Cleatmat Chair Mats for Medium Pile Carpets"/>
    <n v="111"/>
    <n v="2"/>
    <x v="207"/>
    <x v="2"/>
    <x v="0"/>
  </r>
  <r>
    <n v="44273"/>
    <x v="90"/>
    <x v="3"/>
    <x v="2"/>
    <x v="15"/>
    <s v="Swingline SM12-08 MicroCut Jam Free Shredder"/>
    <n v="1279.97"/>
    <n v="4"/>
    <x v="208"/>
    <x v="2"/>
    <x v="0"/>
  </r>
  <r>
    <n v="44273"/>
    <x v="90"/>
    <x v="3"/>
    <x v="0"/>
    <x v="2"/>
    <s v="Tennsco 6- and 18-Compartment Lockers"/>
    <n v="1856.19"/>
    <n v="7"/>
    <x v="209"/>
    <x v="2"/>
    <x v="0"/>
  </r>
  <r>
    <n v="44274"/>
    <x v="91"/>
    <x v="16"/>
    <x v="2"/>
    <x v="6"/>
    <s v="Cisco 8x8 Inc. 6753i IP Business Phone System"/>
    <n v="323.98"/>
    <n v="3"/>
    <x v="210"/>
    <x v="2"/>
    <x v="0"/>
  </r>
  <r>
    <n v="44274"/>
    <x v="91"/>
    <x v="16"/>
    <x v="0"/>
    <x v="1"/>
    <s v="Avery 501"/>
    <n v="11.81"/>
    <n v="4"/>
    <x v="211"/>
    <x v="2"/>
    <x v="0"/>
  </r>
  <r>
    <n v="44274"/>
    <x v="91"/>
    <x v="16"/>
    <x v="0"/>
    <x v="2"/>
    <s v="Crate-A-Files"/>
    <n v="26.16"/>
    <n v="3"/>
    <x v="212"/>
    <x v="2"/>
    <x v="0"/>
  </r>
  <r>
    <n v="44274"/>
    <x v="91"/>
    <x v="16"/>
    <x v="0"/>
    <x v="3"/>
    <s v="Avery Flip-Chart Easel Binder, Black"/>
    <n v="33.57"/>
    <n v="5"/>
    <x v="213"/>
    <x v="2"/>
    <x v="0"/>
  </r>
  <r>
    <n v="44274"/>
    <x v="91"/>
    <x v="16"/>
    <x v="1"/>
    <x v="8"/>
    <s v="Eldon Wave Desk Accessories"/>
    <n v="4.99"/>
    <n v="3"/>
    <x v="214"/>
    <x v="2"/>
    <x v="0"/>
  </r>
  <r>
    <n v="44274"/>
    <x v="91"/>
    <x v="16"/>
    <x v="1"/>
    <x v="8"/>
    <s v="Document Clip Frames"/>
    <n v="20.02"/>
    <n v="3"/>
    <x v="215"/>
    <x v="2"/>
    <x v="0"/>
  </r>
  <r>
    <n v="44274"/>
    <x v="91"/>
    <x v="16"/>
    <x v="2"/>
    <x v="9"/>
    <s v="LogitechÂ Wireless Boombox Speaker - portable - wireless, wired"/>
    <n v="170.24"/>
    <n v="2"/>
    <x v="216"/>
    <x v="2"/>
    <x v="0"/>
  </r>
  <r>
    <n v="44276"/>
    <x v="92"/>
    <x v="10"/>
    <x v="0"/>
    <x v="4"/>
    <s v="Binney &amp; Smith Crayola Metallic Colored Pencils, 8-Color Set"/>
    <n v="7.41"/>
    <n v="2"/>
    <x v="217"/>
    <x v="2"/>
    <x v="0"/>
  </r>
  <r>
    <n v="44276"/>
    <x v="92"/>
    <x v="10"/>
    <x v="0"/>
    <x v="4"/>
    <s v="Binney &amp; Smith inkTank Erasable Desk Highlighter, Chisel Tip, Yellow, 12/Box"/>
    <n v="6.05"/>
    <n v="3"/>
    <x v="218"/>
    <x v="2"/>
    <x v="0"/>
  </r>
  <r>
    <n v="44276"/>
    <x v="93"/>
    <x v="25"/>
    <x v="0"/>
    <x v="2"/>
    <s v="Tennsco Commercial Shelving"/>
    <n v="16.27"/>
    <n v="1"/>
    <x v="219"/>
    <x v="2"/>
    <x v="0"/>
  </r>
  <r>
    <n v="44276"/>
    <x v="94"/>
    <x v="6"/>
    <x v="2"/>
    <x v="6"/>
    <s v="Samsung Galaxy S4 Active"/>
    <n v="3499.93"/>
    <n v="7"/>
    <x v="220"/>
    <x v="2"/>
    <x v="0"/>
  </r>
  <r>
    <n v="44276"/>
    <x v="94"/>
    <x v="6"/>
    <x v="0"/>
    <x v="1"/>
    <s v="Avery 492"/>
    <n v="14.4"/>
    <n v="5"/>
    <x v="168"/>
    <x v="2"/>
    <x v="0"/>
  </r>
  <r>
    <n v="44276"/>
    <x v="94"/>
    <x v="6"/>
    <x v="0"/>
    <x v="0"/>
    <s v="Xerox 1919"/>
    <n v="122.97"/>
    <n v="3"/>
    <x v="221"/>
    <x v="2"/>
    <x v="0"/>
  </r>
  <r>
    <n v="44276"/>
    <x v="94"/>
    <x v="6"/>
    <x v="0"/>
    <x v="4"/>
    <s v="American Pencil"/>
    <n v="9.32"/>
    <n v="4"/>
    <x v="222"/>
    <x v="2"/>
    <x v="0"/>
  </r>
  <r>
    <n v="44276"/>
    <x v="94"/>
    <x v="6"/>
    <x v="0"/>
    <x v="3"/>
    <s v="Wilson Jones Ledger-Size, Piano-Hinge Binder, 2&quot;, Blue"/>
    <n v="122.94"/>
    <n v="3"/>
    <x v="223"/>
    <x v="2"/>
    <x v="0"/>
  </r>
  <r>
    <n v="44276"/>
    <x v="95"/>
    <x v="15"/>
    <x v="0"/>
    <x v="1"/>
    <s v="Avery 505"/>
    <n v="59.2"/>
    <n v="5"/>
    <x v="224"/>
    <x v="2"/>
    <x v="0"/>
  </r>
  <r>
    <n v="44276"/>
    <x v="95"/>
    <x v="15"/>
    <x v="1"/>
    <x v="8"/>
    <s v="DAX Wood Document Frame"/>
    <n v="32.950000000000003"/>
    <n v="3"/>
    <x v="225"/>
    <x v="2"/>
    <x v="0"/>
  </r>
  <r>
    <n v="44276"/>
    <x v="95"/>
    <x v="15"/>
    <x v="1"/>
    <x v="5"/>
    <s v="Global Highback Leather Tilter in Burgundy"/>
    <n v="218.38"/>
    <n v="3"/>
    <x v="226"/>
    <x v="2"/>
    <x v="0"/>
  </r>
  <r>
    <n v="44277"/>
    <x v="96"/>
    <x v="25"/>
    <x v="0"/>
    <x v="3"/>
    <s v="C-Line Peel &amp; Stick Add-On Filing Pockets, 8-3/4 x 5-1/8, 10/Pack"/>
    <n v="7.64"/>
    <n v="4"/>
    <x v="227"/>
    <x v="2"/>
    <x v="0"/>
  </r>
  <r>
    <n v="44277"/>
    <x v="96"/>
    <x v="25"/>
    <x v="0"/>
    <x v="3"/>
    <s v="GBC Prestige Therm-A-Bind Covers"/>
    <n v="51.47"/>
    <n v="5"/>
    <x v="228"/>
    <x v="2"/>
    <x v="0"/>
  </r>
  <r>
    <n v="44277"/>
    <x v="97"/>
    <x v="12"/>
    <x v="0"/>
    <x v="0"/>
    <s v="Xerox 1951"/>
    <n v="74.349999999999994"/>
    <n v="3"/>
    <x v="229"/>
    <x v="2"/>
    <x v="0"/>
  </r>
  <r>
    <n v="44277"/>
    <x v="97"/>
    <x v="12"/>
    <x v="1"/>
    <x v="5"/>
    <s v="Office Star - Mesh Screen back chair with Vinyl seat"/>
    <n v="314.35000000000002"/>
    <n v="3"/>
    <x v="230"/>
    <x v="2"/>
    <x v="0"/>
  </r>
  <r>
    <n v="44277"/>
    <x v="98"/>
    <x v="18"/>
    <x v="0"/>
    <x v="4"/>
    <s v="Avery Hi-Liter EverBold Pen Style Fluorescent Highlighters, 4/Pack"/>
    <n v="16.28"/>
    <n v="2"/>
    <x v="231"/>
    <x v="2"/>
    <x v="0"/>
  </r>
  <r>
    <n v="44278"/>
    <x v="99"/>
    <x v="3"/>
    <x v="0"/>
    <x v="2"/>
    <s v="Economy Rollaway Files"/>
    <n v="330.4"/>
    <n v="2"/>
    <x v="232"/>
    <x v="2"/>
    <x v="0"/>
  </r>
  <r>
    <n v="44278"/>
    <x v="99"/>
    <x v="3"/>
    <x v="2"/>
    <x v="6"/>
    <s v="Ooma Telo VoIP Home Phone System"/>
    <n v="604.75"/>
    <n v="6"/>
    <x v="233"/>
    <x v="2"/>
    <x v="0"/>
  </r>
  <r>
    <n v="44278"/>
    <x v="100"/>
    <x v="16"/>
    <x v="0"/>
    <x v="1"/>
    <s v="Avery 476"/>
    <n v="9.91"/>
    <n v="3"/>
    <x v="234"/>
    <x v="2"/>
    <x v="0"/>
  </r>
  <r>
    <n v="44279"/>
    <x v="101"/>
    <x v="20"/>
    <x v="0"/>
    <x v="0"/>
    <s v="Xerox 190"/>
    <n v="24.9"/>
    <n v="5"/>
    <x v="235"/>
    <x v="2"/>
    <x v="0"/>
  </r>
  <r>
    <n v="44279"/>
    <x v="102"/>
    <x v="3"/>
    <x v="1"/>
    <x v="8"/>
    <s v="DAX Contemporary Wood Frame with Silver Metal Mat, Desktop, 11 x 14 Size"/>
    <n v="40.479999999999997"/>
    <n v="2"/>
    <x v="236"/>
    <x v="2"/>
    <x v="0"/>
  </r>
  <r>
    <n v="44280"/>
    <x v="86"/>
    <x v="20"/>
    <x v="1"/>
    <x v="5"/>
    <s v="Iceberg Nesting Folding Chair, 19w x 6d x 43h"/>
    <n v="366.79"/>
    <n v="7"/>
    <x v="237"/>
    <x v="2"/>
    <x v="0"/>
  </r>
  <r>
    <n v="44280"/>
    <x v="103"/>
    <x v="3"/>
    <x v="0"/>
    <x v="4"/>
    <s v="Newell 35"/>
    <n v="6.56"/>
    <n v="2"/>
    <x v="238"/>
    <x v="2"/>
    <x v="0"/>
  </r>
  <r>
    <n v="44280"/>
    <x v="103"/>
    <x v="3"/>
    <x v="0"/>
    <x v="4"/>
    <s v="Eberhard Faber 3 1/2&quot; Golf Pencils"/>
    <n v="14.88"/>
    <n v="2"/>
    <x v="239"/>
    <x v="2"/>
    <x v="0"/>
  </r>
  <r>
    <n v="44280"/>
    <x v="103"/>
    <x v="3"/>
    <x v="2"/>
    <x v="9"/>
    <s v="ImationÂ SwivelÂ Flash DriveÂ USBÂ flash driveÂ - 8 GB"/>
    <n v="45.48"/>
    <n v="4"/>
    <x v="240"/>
    <x v="2"/>
    <x v="0"/>
  </r>
  <r>
    <n v="44280"/>
    <x v="103"/>
    <x v="3"/>
    <x v="0"/>
    <x v="4"/>
    <s v="BIC Brite Liner Grip Highlighters, Assorted, 5/Pack"/>
    <n v="25.44"/>
    <n v="6"/>
    <x v="241"/>
    <x v="2"/>
    <x v="0"/>
  </r>
  <r>
    <n v="44281"/>
    <x v="104"/>
    <x v="3"/>
    <x v="2"/>
    <x v="9"/>
    <s v="SanDisk Ultra 32 GB MicroSDHC Class 10 Memory Card"/>
    <n v="66.3"/>
    <n v="3"/>
    <x v="242"/>
    <x v="2"/>
    <x v="0"/>
  </r>
  <r>
    <n v="44281"/>
    <x v="105"/>
    <x v="3"/>
    <x v="0"/>
    <x v="4"/>
    <s v="Newell 308"/>
    <n v="3.36"/>
    <n v="2"/>
    <x v="243"/>
    <x v="2"/>
    <x v="0"/>
  </r>
  <r>
    <n v="44281"/>
    <x v="105"/>
    <x v="3"/>
    <x v="0"/>
    <x v="3"/>
    <s v="Wilson Jones Leather-Like Binders with DublLock Round Rings"/>
    <n v="27.94"/>
    <n v="4"/>
    <x v="244"/>
    <x v="2"/>
    <x v="0"/>
  </r>
  <r>
    <n v="44281"/>
    <x v="105"/>
    <x v="3"/>
    <x v="2"/>
    <x v="6"/>
    <s v="Griffin GC17055 Auxiliary Audio Cable"/>
    <n v="28.78"/>
    <n v="2"/>
    <x v="245"/>
    <x v="2"/>
    <x v="0"/>
  </r>
  <r>
    <n v="44281"/>
    <x v="106"/>
    <x v="3"/>
    <x v="0"/>
    <x v="1"/>
    <s v="Smead Alpha-Z Color-Coded Name Labels First Letter Starter Set"/>
    <n v="18.75"/>
    <n v="5"/>
    <x v="246"/>
    <x v="2"/>
    <x v="0"/>
  </r>
  <r>
    <n v="44283"/>
    <x v="107"/>
    <x v="30"/>
    <x v="0"/>
    <x v="10"/>
    <s v="Poly String Tie Envelopes"/>
    <n v="6.12"/>
    <n v="3"/>
    <x v="245"/>
    <x v="2"/>
    <x v="0"/>
  </r>
  <r>
    <n v="44283"/>
    <x v="107"/>
    <x v="30"/>
    <x v="1"/>
    <x v="13"/>
    <s v="Hon 94000 Series Round Tables"/>
    <n v="1184.72"/>
    <n v="4"/>
    <x v="247"/>
    <x v="2"/>
    <x v="0"/>
  </r>
  <r>
    <n v="44283"/>
    <x v="108"/>
    <x v="31"/>
    <x v="2"/>
    <x v="6"/>
    <s v="AT&amp;T TR1909W"/>
    <n v="302.38"/>
    <n v="3"/>
    <x v="248"/>
    <x v="2"/>
    <x v="0"/>
  </r>
  <r>
    <n v="44283"/>
    <x v="109"/>
    <x v="10"/>
    <x v="1"/>
    <x v="13"/>
    <s v="Chromcraft Bull-Nose Wood Oval Conference Tables &amp; Bases"/>
    <n v="330.59"/>
    <n v="1"/>
    <x v="249"/>
    <x v="2"/>
    <x v="0"/>
  </r>
  <r>
    <n v="44284"/>
    <x v="110"/>
    <x v="0"/>
    <x v="1"/>
    <x v="13"/>
    <s v="Bush Advantage Collection Racetrack Conference Table"/>
    <n v="890.84"/>
    <n v="3"/>
    <x v="250"/>
    <x v="2"/>
    <x v="0"/>
  </r>
  <r>
    <n v="44285"/>
    <x v="111"/>
    <x v="20"/>
    <x v="0"/>
    <x v="4"/>
    <s v="Peel-Off China Markers"/>
    <n v="49.65"/>
    <n v="5"/>
    <x v="251"/>
    <x v="2"/>
    <x v="0"/>
  </r>
  <r>
    <n v="44285"/>
    <x v="112"/>
    <x v="22"/>
    <x v="0"/>
    <x v="2"/>
    <s v="Sterilite Show Offs Storage Containers"/>
    <n v="15.84"/>
    <n v="3"/>
    <x v="62"/>
    <x v="2"/>
    <x v="0"/>
  </r>
  <r>
    <n v="44285"/>
    <x v="112"/>
    <x v="22"/>
    <x v="0"/>
    <x v="1"/>
    <s v="Avery 490"/>
    <n v="44.4"/>
    <n v="3"/>
    <x v="224"/>
    <x v="2"/>
    <x v="0"/>
  </r>
  <r>
    <n v="44285"/>
    <x v="113"/>
    <x v="20"/>
    <x v="0"/>
    <x v="4"/>
    <s v="Sanford EarthWrite Recycled Pencils, Medium Soft, #2"/>
    <n v="10.5"/>
    <n v="5"/>
    <x v="252"/>
    <x v="2"/>
    <x v="0"/>
  </r>
  <r>
    <n v="44285"/>
    <x v="41"/>
    <x v="3"/>
    <x v="1"/>
    <x v="11"/>
    <s v="O'Sullivan Living Dimensions 2-Shelf Bookcases"/>
    <n v="205.67"/>
    <n v="2"/>
    <x v="253"/>
    <x v="2"/>
    <x v="0"/>
  </r>
  <r>
    <n v="44285"/>
    <x v="114"/>
    <x v="0"/>
    <x v="0"/>
    <x v="10"/>
    <s v="Airmail Envelopes"/>
    <n v="335.72"/>
    <n v="5"/>
    <x v="254"/>
    <x v="2"/>
    <x v="0"/>
  </r>
  <r>
    <n v="44285"/>
    <x v="114"/>
    <x v="0"/>
    <x v="2"/>
    <x v="6"/>
    <s v="Innergie mMini Combo Duo USB Travel Charging Kit"/>
    <n v="251.94"/>
    <n v="7"/>
    <x v="255"/>
    <x v="2"/>
    <x v="0"/>
  </r>
  <r>
    <n v="44285"/>
    <x v="114"/>
    <x v="0"/>
    <x v="1"/>
    <x v="5"/>
    <s v="Global Stack Chair without Arms, Black"/>
    <n v="127.3"/>
    <n v="7"/>
    <x v="256"/>
    <x v="2"/>
    <x v="0"/>
  </r>
  <r>
    <n v="44285"/>
    <x v="115"/>
    <x v="28"/>
    <x v="0"/>
    <x v="2"/>
    <s v="Space Solutions Commercial Steel Shelving"/>
    <n v="129.30000000000001"/>
    <n v="2"/>
    <x v="257"/>
    <x v="2"/>
    <x v="0"/>
  </r>
  <r>
    <n v="44286"/>
    <x v="116"/>
    <x v="3"/>
    <x v="0"/>
    <x v="3"/>
    <s v="GBC DocuBind 200 Manual Binding Machine"/>
    <n v="673.57"/>
    <n v="2"/>
    <x v="258"/>
    <x v="2"/>
    <x v="0"/>
  </r>
  <r>
    <n v="44286"/>
    <x v="116"/>
    <x v="3"/>
    <x v="0"/>
    <x v="12"/>
    <s v="Fellowes Advanced Computer Series Surge Protectors"/>
    <n v="52.98"/>
    <n v="2"/>
    <x v="259"/>
    <x v="2"/>
    <x v="0"/>
  </r>
  <r>
    <n v="44286"/>
    <x v="117"/>
    <x v="2"/>
    <x v="0"/>
    <x v="3"/>
    <s v="Avery Round Ring Poly Binders"/>
    <n v="0.85"/>
    <n v="1"/>
    <x v="260"/>
    <x v="2"/>
    <x v="0"/>
  </r>
  <r>
    <n v="44286"/>
    <x v="118"/>
    <x v="1"/>
    <x v="0"/>
    <x v="3"/>
    <s v="Fellowes Black Plastic Comb Bindings"/>
    <n v="8.1300000000000008"/>
    <n v="7"/>
    <x v="261"/>
    <x v="2"/>
    <x v="0"/>
  </r>
  <r>
    <n v="44286"/>
    <x v="118"/>
    <x v="1"/>
    <x v="2"/>
    <x v="9"/>
    <s v="Kensington SlimBlade Notebook Wireless Mouse with Nano Receiver"/>
    <n v="79.98"/>
    <n v="2"/>
    <x v="262"/>
    <x v="2"/>
    <x v="0"/>
  </r>
  <r>
    <n v="44286"/>
    <x v="119"/>
    <x v="16"/>
    <x v="0"/>
    <x v="3"/>
    <s v="Avery Hole Reinforcements"/>
    <n v="1.87"/>
    <n v="1"/>
    <x v="263"/>
    <x v="2"/>
    <x v="0"/>
  </r>
  <r>
    <n v="44286"/>
    <x v="120"/>
    <x v="16"/>
    <x v="1"/>
    <x v="5"/>
    <s v="Global Leather Highback Executive Chair with Pneumatic Height Adjustment, Black"/>
    <n v="1125.49"/>
    <n v="7"/>
    <x v="264"/>
    <x v="2"/>
    <x v="0"/>
  </r>
  <r>
    <n v="44286"/>
    <x v="120"/>
    <x v="16"/>
    <x v="0"/>
    <x v="3"/>
    <s v="Ibico Plastic and Wire Spiral Binding Combs"/>
    <n v="12.65"/>
    <n v="5"/>
    <x v="265"/>
    <x v="2"/>
    <x v="0"/>
  </r>
  <r>
    <n v="44286"/>
    <x v="120"/>
    <x v="16"/>
    <x v="0"/>
    <x v="4"/>
    <s v="Binney &amp; Smith inkTank Erasable Desk Highlighter, Chisel Tip, Yellow, 12/Box"/>
    <n v="4.03"/>
    <n v="2"/>
    <x v="266"/>
    <x v="2"/>
    <x v="0"/>
  </r>
  <r>
    <n v="44287"/>
    <x v="111"/>
    <x v="3"/>
    <x v="0"/>
    <x v="1"/>
    <s v="Avery 490"/>
    <n v="29.6"/>
    <n v="2"/>
    <x v="267"/>
    <x v="3"/>
    <x v="0"/>
  </r>
  <r>
    <n v="44287"/>
    <x v="111"/>
    <x v="3"/>
    <x v="0"/>
    <x v="3"/>
    <s v="Pressboard Data Binder, Crimson, 12&quot; X 8 1/2&quot;"/>
    <n v="17.09"/>
    <n v="4"/>
    <x v="0"/>
    <x v="3"/>
    <x v="0"/>
  </r>
  <r>
    <n v="44287"/>
    <x v="121"/>
    <x v="32"/>
    <x v="0"/>
    <x v="2"/>
    <s v="Rogers Profile Extra Capacity Storage Tub"/>
    <n v="66.959999999999994"/>
    <n v="4"/>
    <x v="268"/>
    <x v="3"/>
    <x v="0"/>
  </r>
  <r>
    <n v="44287"/>
    <x v="121"/>
    <x v="32"/>
    <x v="0"/>
    <x v="3"/>
    <s v="Zipper Ring Binder Pockets"/>
    <n v="6.24"/>
    <n v="2"/>
    <x v="269"/>
    <x v="3"/>
    <x v="0"/>
  </r>
  <r>
    <n v="44288"/>
    <x v="122"/>
    <x v="4"/>
    <x v="0"/>
    <x v="0"/>
    <s v="Xerox 1990"/>
    <n v="15.84"/>
    <n v="3"/>
    <x v="270"/>
    <x v="3"/>
    <x v="0"/>
  </r>
  <r>
    <n v="44288"/>
    <x v="122"/>
    <x v="4"/>
    <x v="2"/>
    <x v="6"/>
    <s v="Motorola Droid Maxx"/>
    <n v="1049.93"/>
    <n v="7"/>
    <x v="271"/>
    <x v="3"/>
    <x v="0"/>
  </r>
  <r>
    <n v="44288"/>
    <x v="122"/>
    <x v="4"/>
    <x v="0"/>
    <x v="12"/>
    <s v="Euro-Pro Shark Turbo Vacuum"/>
    <n v="154.9"/>
    <n v="5"/>
    <x v="272"/>
    <x v="3"/>
    <x v="0"/>
  </r>
  <r>
    <n v="44288"/>
    <x v="66"/>
    <x v="0"/>
    <x v="0"/>
    <x v="0"/>
    <s v="Xerox 1898"/>
    <n v="26.72"/>
    <n v="5"/>
    <x v="273"/>
    <x v="3"/>
    <x v="0"/>
  </r>
  <r>
    <n v="44288"/>
    <x v="66"/>
    <x v="0"/>
    <x v="0"/>
    <x v="0"/>
    <s v="Xerox 1947"/>
    <n v="33.49"/>
    <n v="7"/>
    <x v="274"/>
    <x v="3"/>
    <x v="0"/>
  </r>
  <r>
    <n v="44288"/>
    <x v="123"/>
    <x v="6"/>
    <x v="1"/>
    <x v="8"/>
    <s v="Luxo Adjustable Task Clamp Lamp"/>
    <n v="177.68"/>
    <n v="2"/>
    <x v="275"/>
    <x v="3"/>
    <x v="0"/>
  </r>
  <r>
    <n v="44289"/>
    <x v="124"/>
    <x v="3"/>
    <x v="0"/>
    <x v="10"/>
    <s v="Staple envelope"/>
    <n v="11.16"/>
    <n v="2"/>
    <x v="276"/>
    <x v="3"/>
    <x v="0"/>
  </r>
  <r>
    <n v="44289"/>
    <x v="124"/>
    <x v="3"/>
    <x v="2"/>
    <x v="9"/>
    <s v="Enermax Briskie RF Wireless Keyboard and Mouse Combo"/>
    <n v="62.31"/>
    <n v="3"/>
    <x v="111"/>
    <x v="3"/>
    <x v="0"/>
  </r>
  <r>
    <n v="44289"/>
    <x v="124"/>
    <x v="3"/>
    <x v="2"/>
    <x v="9"/>
    <s v="Logitech G600 MMO Gaming Mouse"/>
    <n v="159.97999999999999"/>
    <n v="2"/>
    <x v="277"/>
    <x v="3"/>
    <x v="0"/>
  </r>
  <r>
    <n v="44290"/>
    <x v="125"/>
    <x v="3"/>
    <x v="0"/>
    <x v="1"/>
    <s v="Avery 518"/>
    <n v="18.899999999999999"/>
    <n v="6"/>
    <x v="278"/>
    <x v="3"/>
    <x v="0"/>
  </r>
  <r>
    <n v="44290"/>
    <x v="102"/>
    <x v="14"/>
    <x v="1"/>
    <x v="8"/>
    <s v="Advantus Panel Wall Acrylic Frame"/>
    <n v="5.47"/>
    <n v="1"/>
    <x v="279"/>
    <x v="3"/>
    <x v="0"/>
  </r>
  <r>
    <n v="44290"/>
    <x v="102"/>
    <x v="14"/>
    <x v="0"/>
    <x v="4"/>
    <s v="Newell 319"/>
    <n v="79.36"/>
    <n v="4"/>
    <x v="280"/>
    <x v="3"/>
    <x v="0"/>
  </r>
  <r>
    <n v="44290"/>
    <x v="126"/>
    <x v="3"/>
    <x v="0"/>
    <x v="3"/>
    <s v="Avery Non-Stick Binders"/>
    <n v="7.18"/>
    <n v="2"/>
    <x v="281"/>
    <x v="3"/>
    <x v="0"/>
  </r>
  <r>
    <n v="44290"/>
    <x v="127"/>
    <x v="8"/>
    <x v="0"/>
    <x v="2"/>
    <s v="Safco Commercial Shelving"/>
    <n v="232.55"/>
    <n v="5"/>
    <x v="282"/>
    <x v="3"/>
    <x v="0"/>
  </r>
  <r>
    <n v="44290"/>
    <x v="127"/>
    <x v="8"/>
    <x v="2"/>
    <x v="9"/>
    <s v="Logitech Wireless Marathon Mouse M705"/>
    <n v="99.98"/>
    <n v="2"/>
    <x v="283"/>
    <x v="3"/>
    <x v="0"/>
  </r>
  <r>
    <n v="44290"/>
    <x v="127"/>
    <x v="8"/>
    <x v="0"/>
    <x v="0"/>
    <s v="Xerox 209"/>
    <n v="19.440000000000001"/>
    <n v="3"/>
    <x v="5"/>
    <x v="3"/>
    <x v="0"/>
  </r>
  <r>
    <n v="44290"/>
    <x v="127"/>
    <x v="8"/>
    <x v="0"/>
    <x v="0"/>
    <s v="Xerox 1966"/>
    <n v="12.96"/>
    <n v="2"/>
    <x v="195"/>
    <x v="3"/>
    <x v="0"/>
  </r>
  <r>
    <n v="44291"/>
    <x v="128"/>
    <x v="20"/>
    <x v="0"/>
    <x v="0"/>
    <s v="Eaton Premium Continuous-Feed Paper, 25% Cotton, Letter Size, White, 1000 Shts/Box"/>
    <n v="55.48"/>
    <n v="1"/>
    <x v="284"/>
    <x v="3"/>
    <x v="0"/>
  </r>
  <r>
    <n v="44291"/>
    <x v="129"/>
    <x v="6"/>
    <x v="0"/>
    <x v="4"/>
    <s v="Crayola Colored Pencils"/>
    <n v="22.96"/>
    <n v="7"/>
    <x v="285"/>
    <x v="3"/>
    <x v="0"/>
  </r>
  <r>
    <n v="44291"/>
    <x v="129"/>
    <x v="6"/>
    <x v="2"/>
    <x v="6"/>
    <s v="AT&amp;T CL82213"/>
    <n v="28.99"/>
    <n v="1"/>
    <x v="286"/>
    <x v="3"/>
    <x v="0"/>
  </r>
  <r>
    <n v="44291"/>
    <x v="129"/>
    <x v="6"/>
    <x v="0"/>
    <x v="0"/>
    <s v="Xerox 1957"/>
    <n v="12.96"/>
    <n v="2"/>
    <x v="195"/>
    <x v="3"/>
    <x v="0"/>
  </r>
  <r>
    <n v="44291"/>
    <x v="129"/>
    <x v="6"/>
    <x v="0"/>
    <x v="4"/>
    <s v="Newell 321"/>
    <n v="22.96"/>
    <n v="7"/>
    <x v="44"/>
    <x v="3"/>
    <x v="0"/>
  </r>
  <r>
    <n v="44291"/>
    <x v="129"/>
    <x v="6"/>
    <x v="0"/>
    <x v="14"/>
    <s v="Martin Yale Chadless Opener Electric Letter Opener"/>
    <n v="4164.05"/>
    <n v="5"/>
    <x v="287"/>
    <x v="3"/>
    <x v="0"/>
  </r>
  <r>
    <n v="44291"/>
    <x v="130"/>
    <x v="1"/>
    <x v="0"/>
    <x v="2"/>
    <s v="Tenex File Box, Personal Filing Tote with Lid, Black"/>
    <n v="49.63"/>
    <n v="4"/>
    <x v="239"/>
    <x v="3"/>
    <x v="0"/>
  </r>
  <r>
    <n v="44291"/>
    <x v="130"/>
    <x v="1"/>
    <x v="0"/>
    <x v="2"/>
    <s v="Adjustable Personal File Tote"/>
    <n v="52.1"/>
    <n v="4"/>
    <x v="288"/>
    <x v="3"/>
    <x v="0"/>
  </r>
  <r>
    <n v="44291"/>
    <x v="131"/>
    <x v="14"/>
    <x v="0"/>
    <x v="4"/>
    <s v="Stanley Contemporary Battery Pencil Sharpeners"/>
    <n v="26.7"/>
    <n v="2"/>
    <x v="201"/>
    <x v="3"/>
    <x v="0"/>
  </r>
  <r>
    <n v="44291"/>
    <x v="131"/>
    <x v="14"/>
    <x v="0"/>
    <x v="3"/>
    <s v="Fellowes Twister Kit, Gray/Clear, 3/pkg"/>
    <n v="40.200000000000003"/>
    <n v="5"/>
    <x v="289"/>
    <x v="3"/>
    <x v="0"/>
  </r>
  <r>
    <n v="44291"/>
    <x v="131"/>
    <x v="14"/>
    <x v="0"/>
    <x v="4"/>
    <s v="Binney &amp; Smith Crayola Metallic Colored Pencils, 8-Color Set"/>
    <n v="13.89"/>
    <n v="3"/>
    <x v="290"/>
    <x v="3"/>
    <x v="0"/>
  </r>
  <r>
    <n v="44291"/>
    <x v="131"/>
    <x v="14"/>
    <x v="0"/>
    <x v="2"/>
    <s v="Space Solutions HD Industrial Steel Shelving."/>
    <n v="689.82"/>
    <n v="6"/>
    <x v="291"/>
    <x v="3"/>
    <x v="0"/>
  </r>
  <r>
    <n v="44291"/>
    <x v="132"/>
    <x v="5"/>
    <x v="0"/>
    <x v="3"/>
    <s v="Ibico Standard Transparent Covers"/>
    <n v="115.36"/>
    <n v="7"/>
    <x v="292"/>
    <x v="3"/>
    <x v="0"/>
  </r>
  <r>
    <n v="44292"/>
    <x v="133"/>
    <x v="2"/>
    <x v="0"/>
    <x v="3"/>
    <s v="Large Capacity Hanging Post Binders"/>
    <n v="44.91"/>
    <n v="6"/>
    <x v="293"/>
    <x v="3"/>
    <x v="0"/>
  </r>
  <r>
    <n v="44292"/>
    <x v="26"/>
    <x v="2"/>
    <x v="0"/>
    <x v="14"/>
    <s v="Martin-Yale Premier Letter Opener"/>
    <n v="10.3"/>
    <n v="1"/>
    <x v="294"/>
    <x v="3"/>
    <x v="0"/>
  </r>
  <r>
    <n v="44292"/>
    <x v="26"/>
    <x v="2"/>
    <x v="1"/>
    <x v="13"/>
    <s v="KI Adjustable-Height Table"/>
    <n v="154.76"/>
    <n v="3"/>
    <x v="295"/>
    <x v="3"/>
    <x v="0"/>
  </r>
  <r>
    <n v="44292"/>
    <x v="26"/>
    <x v="2"/>
    <x v="2"/>
    <x v="9"/>
    <s v="ImationÂ Secure+ Hardware Encrypted USB 2.0Â Flash Drive; 16GB"/>
    <n v="116.78"/>
    <n v="2"/>
    <x v="296"/>
    <x v="3"/>
    <x v="0"/>
  </r>
  <r>
    <n v="44292"/>
    <x v="134"/>
    <x v="22"/>
    <x v="1"/>
    <x v="13"/>
    <s v="Chromcraft Bull-Nose Wood Round Conference Table Top, Wood Base"/>
    <n v="653.54999999999995"/>
    <n v="3"/>
    <x v="297"/>
    <x v="3"/>
    <x v="0"/>
  </r>
  <r>
    <n v="44292"/>
    <x v="134"/>
    <x v="22"/>
    <x v="2"/>
    <x v="9"/>
    <s v="Kingston Digital DataTraveler 32GB USB 2.0"/>
    <n v="33.9"/>
    <n v="2"/>
    <x v="298"/>
    <x v="3"/>
    <x v="0"/>
  </r>
  <r>
    <n v="44292"/>
    <x v="135"/>
    <x v="3"/>
    <x v="1"/>
    <x v="8"/>
    <s v="Tenex B1-RE Series Chair Mats for Low Pile Carpets"/>
    <n v="91.96"/>
    <n v="2"/>
    <x v="299"/>
    <x v="3"/>
    <x v="0"/>
  </r>
  <r>
    <n v="44292"/>
    <x v="135"/>
    <x v="3"/>
    <x v="1"/>
    <x v="8"/>
    <s v="C-Line Cubicle Keepers Polyproplyene Holder With Velcro Backings"/>
    <n v="33.11"/>
    <n v="7"/>
    <x v="300"/>
    <x v="3"/>
    <x v="0"/>
  </r>
  <r>
    <n v="44292"/>
    <x v="135"/>
    <x v="3"/>
    <x v="0"/>
    <x v="0"/>
    <s v="Xerox 211"/>
    <n v="19.440000000000001"/>
    <n v="3"/>
    <x v="5"/>
    <x v="3"/>
    <x v="0"/>
  </r>
  <r>
    <n v="44292"/>
    <x v="135"/>
    <x v="3"/>
    <x v="0"/>
    <x v="0"/>
    <s v="Xerox 194"/>
    <n v="55.48"/>
    <n v="1"/>
    <x v="284"/>
    <x v="3"/>
    <x v="0"/>
  </r>
  <r>
    <n v="44292"/>
    <x v="136"/>
    <x v="3"/>
    <x v="0"/>
    <x v="4"/>
    <s v="Boston Home &amp; Office Model 2000 Electric Pencil Sharpeners"/>
    <n v="70.95"/>
    <n v="3"/>
    <x v="301"/>
    <x v="3"/>
    <x v="0"/>
  </r>
  <r>
    <n v="44292"/>
    <x v="136"/>
    <x v="3"/>
    <x v="0"/>
    <x v="3"/>
    <s v="Avery Trapezoid Ring Binder, 3&quot; Capacity, Black, 1040 sheets"/>
    <n v="65.569999999999993"/>
    <n v="2"/>
    <x v="302"/>
    <x v="3"/>
    <x v="0"/>
  </r>
  <r>
    <n v="44292"/>
    <x v="136"/>
    <x v="3"/>
    <x v="2"/>
    <x v="9"/>
    <s v="Razer Kraken 7.1 Surround Sound Over Ear USB Gaming Headset"/>
    <n v="299.97000000000003"/>
    <n v="3"/>
    <x v="303"/>
    <x v="3"/>
    <x v="0"/>
  </r>
  <r>
    <n v="44293"/>
    <x v="137"/>
    <x v="33"/>
    <x v="1"/>
    <x v="8"/>
    <s v="Stacking Tray, Side-Loading, Legal, Smoke"/>
    <n v="8.9600000000000009"/>
    <n v="2"/>
    <x v="304"/>
    <x v="3"/>
    <x v="0"/>
  </r>
  <r>
    <n v="44293"/>
    <x v="138"/>
    <x v="9"/>
    <x v="2"/>
    <x v="6"/>
    <s v="AT&amp;T TR1909W"/>
    <n v="629.95000000000005"/>
    <n v="5"/>
    <x v="305"/>
    <x v="3"/>
    <x v="0"/>
  </r>
  <r>
    <n v="44293"/>
    <x v="138"/>
    <x v="9"/>
    <x v="0"/>
    <x v="0"/>
    <s v="Xerox 1945"/>
    <n v="122.97"/>
    <n v="3"/>
    <x v="221"/>
    <x v="3"/>
    <x v="0"/>
  </r>
  <r>
    <n v="44293"/>
    <x v="139"/>
    <x v="4"/>
    <x v="0"/>
    <x v="0"/>
    <s v="Xerox 226"/>
    <n v="58.32"/>
    <n v="9"/>
    <x v="306"/>
    <x v="3"/>
    <x v="0"/>
  </r>
  <r>
    <n v="44293"/>
    <x v="139"/>
    <x v="4"/>
    <x v="2"/>
    <x v="6"/>
    <s v="RCA Visys Integrated PBX 8-Line Router"/>
    <n v="200.97"/>
    <n v="3"/>
    <x v="307"/>
    <x v="3"/>
    <x v="0"/>
  </r>
  <r>
    <n v="44294"/>
    <x v="140"/>
    <x v="12"/>
    <x v="0"/>
    <x v="7"/>
    <s v="Binder Clips by OIC"/>
    <n v="2.37"/>
    <n v="2"/>
    <x v="308"/>
    <x v="3"/>
    <x v="0"/>
  </r>
  <r>
    <n v="44294"/>
    <x v="140"/>
    <x v="12"/>
    <x v="0"/>
    <x v="0"/>
    <s v="Things To Do Today Spiral Book"/>
    <n v="19.010000000000002"/>
    <n v="3"/>
    <x v="309"/>
    <x v="3"/>
    <x v="0"/>
  </r>
  <r>
    <n v="44294"/>
    <x v="141"/>
    <x v="33"/>
    <x v="1"/>
    <x v="13"/>
    <s v="SAFCO PlanMaster Boards, 60w x 37-1/2d, White Melamine"/>
    <n v="1215.92"/>
    <n v="8"/>
    <x v="310"/>
    <x v="3"/>
    <x v="0"/>
  </r>
  <r>
    <n v="44294"/>
    <x v="142"/>
    <x v="12"/>
    <x v="0"/>
    <x v="7"/>
    <s v="Alliance Super-Size Bands, Assorted Sizes"/>
    <n v="49.79"/>
    <n v="8"/>
    <x v="311"/>
    <x v="3"/>
    <x v="0"/>
  </r>
  <r>
    <n v="44294"/>
    <x v="39"/>
    <x v="3"/>
    <x v="1"/>
    <x v="13"/>
    <s v="Bevis 36 x 72 Conference Tables"/>
    <n v="99.59"/>
    <n v="1"/>
    <x v="312"/>
    <x v="3"/>
    <x v="0"/>
  </r>
  <r>
    <n v="44294"/>
    <x v="39"/>
    <x v="3"/>
    <x v="2"/>
    <x v="9"/>
    <s v="Logitech Wireless Headset h800"/>
    <n v="399.96"/>
    <n v="4"/>
    <x v="313"/>
    <x v="3"/>
    <x v="0"/>
  </r>
  <r>
    <n v="44294"/>
    <x v="143"/>
    <x v="10"/>
    <x v="1"/>
    <x v="13"/>
    <s v="Riverside Furniture Stanwyck Manor Table Series"/>
    <n v="172.11"/>
    <n v="1"/>
    <x v="314"/>
    <x v="3"/>
    <x v="0"/>
  </r>
  <r>
    <n v="44297"/>
    <x v="144"/>
    <x v="16"/>
    <x v="0"/>
    <x v="7"/>
    <s v="Acco Banker's Clasps, 5 3/4&quot;-Long"/>
    <n v="6.91"/>
    <n v="3"/>
    <x v="141"/>
    <x v="3"/>
    <x v="0"/>
  </r>
  <r>
    <n v="44297"/>
    <x v="144"/>
    <x v="16"/>
    <x v="2"/>
    <x v="9"/>
    <s v="Logitech Wireless Gaming Headset G930"/>
    <n v="383.98"/>
    <n v="3"/>
    <x v="315"/>
    <x v="3"/>
    <x v="0"/>
  </r>
  <r>
    <n v="44297"/>
    <x v="144"/>
    <x v="16"/>
    <x v="0"/>
    <x v="0"/>
    <s v="Xerox 224"/>
    <n v="10.37"/>
    <n v="2"/>
    <x v="316"/>
    <x v="3"/>
    <x v="0"/>
  </r>
  <r>
    <n v="44297"/>
    <x v="144"/>
    <x v="16"/>
    <x v="2"/>
    <x v="9"/>
    <s v="Logitech Wireless Anywhere Mouse MX for PC and Mac"/>
    <n v="335.94"/>
    <n v="7"/>
    <x v="317"/>
    <x v="3"/>
    <x v="0"/>
  </r>
  <r>
    <n v="44297"/>
    <x v="145"/>
    <x v="34"/>
    <x v="0"/>
    <x v="3"/>
    <s v="GBC Personal VeloBind Strips"/>
    <n v="9.58"/>
    <n v="1"/>
    <x v="318"/>
    <x v="3"/>
    <x v="0"/>
  </r>
  <r>
    <n v="44297"/>
    <x v="146"/>
    <x v="0"/>
    <x v="2"/>
    <x v="6"/>
    <s v="Jawbone JAMBOX Wireless Bluetooth Speaker"/>
    <n v="758.35"/>
    <n v="6"/>
    <x v="319"/>
    <x v="3"/>
    <x v="0"/>
  </r>
  <r>
    <n v="44297"/>
    <x v="147"/>
    <x v="35"/>
    <x v="0"/>
    <x v="2"/>
    <s v="Eldon Simplefile Box Office"/>
    <n v="87.08"/>
    <n v="7"/>
    <x v="320"/>
    <x v="3"/>
    <x v="0"/>
  </r>
  <r>
    <n v="44297"/>
    <x v="147"/>
    <x v="35"/>
    <x v="2"/>
    <x v="6"/>
    <s v="AT&amp;T SB67148 SynJ"/>
    <n v="105.58"/>
    <n v="2"/>
    <x v="321"/>
    <x v="3"/>
    <x v="0"/>
  </r>
  <r>
    <n v="44297"/>
    <x v="147"/>
    <x v="35"/>
    <x v="2"/>
    <x v="9"/>
    <s v="Memorex Mini Travel Drive 64 GB USB 2.0 Flash Drive"/>
    <n v="217.44"/>
    <n v="6"/>
    <x v="322"/>
    <x v="3"/>
    <x v="0"/>
  </r>
  <r>
    <n v="44298"/>
    <x v="148"/>
    <x v="3"/>
    <x v="2"/>
    <x v="6"/>
    <s v="Pyle PMP37LED"/>
    <n v="1075.0899999999999"/>
    <n v="14"/>
    <x v="323"/>
    <x v="3"/>
    <x v="0"/>
  </r>
  <r>
    <n v="44298"/>
    <x v="148"/>
    <x v="3"/>
    <x v="2"/>
    <x v="6"/>
    <s v="AT&amp;T 1080 Corded phone"/>
    <n v="438.37"/>
    <n v="4"/>
    <x v="324"/>
    <x v="3"/>
    <x v="0"/>
  </r>
  <r>
    <n v="44298"/>
    <x v="148"/>
    <x v="3"/>
    <x v="0"/>
    <x v="3"/>
    <s v="Recycled Pressboard Report Cover with Reinforced Top Hinge"/>
    <n v="18.09"/>
    <n v="7"/>
    <x v="325"/>
    <x v="3"/>
    <x v="0"/>
  </r>
  <r>
    <n v="44298"/>
    <x v="148"/>
    <x v="3"/>
    <x v="1"/>
    <x v="11"/>
    <s v="O'Sullivan Living Dimensions 2-Shelf Bookcases"/>
    <n v="308.5"/>
    <n v="3"/>
    <x v="326"/>
    <x v="3"/>
    <x v="0"/>
  </r>
  <r>
    <n v="44298"/>
    <x v="149"/>
    <x v="18"/>
    <x v="0"/>
    <x v="0"/>
    <s v="Xerox 213"/>
    <n v="32.4"/>
    <n v="5"/>
    <x v="327"/>
    <x v="3"/>
    <x v="0"/>
  </r>
  <r>
    <n v="44298"/>
    <x v="150"/>
    <x v="3"/>
    <x v="0"/>
    <x v="4"/>
    <s v="Prismacolor Color Pencil Set"/>
    <n v="39.68"/>
    <n v="2"/>
    <x v="328"/>
    <x v="3"/>
    <x v="0"/>
  </r>
  <r>
    <n v="44299"/>
    <x v="104"/>
    <x v="2"/>
    <x v="0"/>
    <x v="4"/>
    <s v="Newell 314"/>
    <n v="17.86"/>
    <n v="4"/>
    <x v="329"/>
    <x v="3"/>
    <x v="0"/>
  </r>
  <r>
    <n v="44299"/>
    <x v="104"/>
    <x v="2"/>
    <x v="0"/>
    <x v="3"/>
    <s v="Fellowes PB200 Plastic Comb Binding Machine"/>
    <n v="509.97"/>
    <n v="10"/>
    <x v="330"/>
    <x v="3"/>
    <x v="0"/>
  </r>
  <r>
    <n v="44299"/>
    <x v="104"/>
    <x v="2"/>
    <x v="0"/>
    <x v="7"/>
    <s v="Staples"/>
    <n v="30.99"/>
    <n v="13"/>
    <x v="331"/>
    <x v="3"/>
    <x v="0"/>
  </r>
  <r>
    <n v="44299"/>
    <x v="104"/>
    <x v="2"/>
    <x v="2"/>
    <x v="6"/>
    <s v="Square Credit Card Reader, 4 1/2&quot; x 4 1/2&quot; x 1&quot;, White"/>
    <n v="71.930000000000007"/>
    <n v="12"/>
    <x v="332"/>
    <x v="3"/>
    <x v="0"/>
  </r>
  <r>
    <n v="44299"/>
    <x v="151"/>
    <x v="36"/>
    <x v="0"/>
    <x v="1"/>
    <s v="Avery 479"/>
    <n v="7.83"/>
    <n v="3"/>
    <x v="333"/>
    <x v="3"/>
    <x v="0"/>
  </r>
  <r>
    <n v="44301"/>
    <x v="152"/>
    <x v="3"/>
    <x v="0"/>
    <x v="12"/>
    <s v="Belkin F9G930V10-GRY 9 Outlet Surge"/>
    <n v="106.96"/>
    <n v="2"/>
    <x v="334"/>
    <x v="3"/>
    <x v="0"/>
  </r>
  <r>
    <n v="44301"/>
    <x v="152"/>
    <x v="3"/>
    <x v="1"/>
    <x v="8"/>
    <s v="Howard Miller 13&quot; Diameter Goldtone Round Wall Clock"/>
    <n v="187.76"/>
    <n v="4"/>
    <x v="335"/>
    <x v="3"/>
    <x v="0"/>
  </r>
  <r>
    <n v="44302"/>
    <x v="153"/>
    <x v="25"/>
    <x v="0"/>
    <x v="4"/>
    <s v="Avery Hi-Liter EverBold Pen Style Fluorescent Highlighters, 4/Pack"/>
    <n v="39.07"/>
    <n v="6"/>
    <x v="336"/>
    <x v="3"/>
    <x v="0"/>
  </r>
  <r>
    <n v="44304"/>
    <x v="154"/>
    <x v="3"/>
    <x v="2"/>
    <x v="15"/>
    <s v="Ativa MDM8000 8-Sheet Micro-Cut Shredder"/>
    <n v="287.97000000000003"/>
    <n v="4"/>
    <x v="337"/>
    <x v="3"/>
    <x v="0"/>
  </r>
  <r>
    <n v="44304"/>
    <x v="154"/>
    <x v="3"/>
    <x v="0"/>
    <x v="4"/>
    <s v="Newell 351"/>
    <n v="13.12"/>
    <n v="4"/>
    <x v="338"/>
    <x v="3"/>
    <x v="0"/>
  </r>
  <r>
    <n v="44304"/>
    <x v="154"/>
    <x v="3"/>
    <x v="0"/>
    <x v="4"/>
    <s v="Binney &amp; Smith inkTank Desk Highlighter, Chisel Tip, Yellow, 12/Box"/>
    <n v="10.75"/>
    <n v="5"/>
    <x v="339"/>
    <x v="3"/>
    <x v="0"/>
  </r>
  <r>
    <n v="44304"/>
    <x v="154"/>
    <x v="3"/>
    <x v="0"/>
    <x v="7"/>
    <s v="Advantus Push Pins, Aluminum Head"/>
    <n v="11.62"/>
    <n v="2"/>
    <x v="333"/>
    <x v="3"/>
    <x v="0"/>
  </r>
  <r>
    <n v="44304"/>
    <x v="111"/>
    <x v="0"/>
    <x v="0"/>
    <x v="4"/>
    <s v="Prang Dustless Chalk Sticks"/>
    <n v="2.69"/>
    <n v="2"/>
    <x v="340"/>
    <x v="3"/>
    <x v="0"/>
  </r>
  <r>
    <n v="44304"/>
    <x v="111"/>
    <x v="0"/>
    <x v="1"/>
    <x v="5"/>
    <s v="DMI Arturo Collection Mission-style Design Wood Chair"/>
    <n v="317.06"/>
    <n v="3"/>
    <x v="341"/>
    <x v="3"/>
    <x v="0"/>
  </r>
  <r>
    <n v="44304"/>
    <x v="111"/>
    <x v="0"/>
    <x v="0"/>
    <x v="10"/>
    <s v="Cameo Buff Policy Envelopes"/>
    <n v="149.35"/>
    <n v="3"/>
    <x v="342"/>
    <x v="3"/>
    <x v="0"/>
  </r>
  <r>
    <n v="44304"/>
    <x v="111"/>
    <x v="0"/>
    <x v="2"/>
    <x v="9"/>
    <s v="Kensington Expert Mouse Optical USB Trackball for PC or Mac"/>
    <n v="227.98"/>
    <n v="3"/>
    <x v="343"/>
    <x v="3"/>
    <x v="0"/>
  </r>
  <r>
    <n v="44305"/>
    <x v="155"/>
    <x v="3"/>
    <x v="1"/>
    <x v="8"/>
    <s v="Executive Impressions 13&quot; Chairman Wall Clock"/>
    <n v="76.14"/>
    <n v="3"/>
    <x v="344"/>
    <x v="3"/>
    <x v="0"/>
  </r>
  <r>
    <n v="44305"/>
    <x v="156"/>
    <x v="6"/>
    <x v="0"/>
    <x v="3"/>
    <s v="GBC Durable Plastic Covers"/>
    <n v="58.05"/>
    <n v="3"/>
    <x v="345"/>
    <x v="3"/>
    <x v="0"/>
  </r>
  <r>
    <n v="44305"/>
    <x v="156"/>
    <x v="6"/>
    <x v="0"/>
    <x v="0"/>
    <s v="Xerox 232"/>
    <n v="71.28"/>
    <n v="11"/>
    <x v="346"/>
    <x v="3"/>
    <x v="0"/>
  </r>
  <r>
    <n v="44306"/>
    <x v="9"/>
    <x v="0"/>
    <x v="1"/>
    <x v="13"/>
    <s v="Bush Advantage Collection Round Conference Table"/>
    <n v="744.1"/>
    <n v="5"/>
    <x v="347"/>
    <x v="3"/>
    <x v="0"/>
  </r>
  <r>
    <n v="44306"/>
    <x v="9"/>
    <x v="0"/>
    <x v="0"/>
    <x v="2"/>
    <s v="Personal Folder Holder, Ebony"/>
    <n v="44.84"/>
    <n v="5"/>
    <x v="348"/>
    <x v="3"/>
    <x v="0"/>
  </r>
  <r>
    <n v="44306"/>
    <x v="9"/>
    <x v="0"/>
    <x v="1"/>
    <x v="13"/>
    <s v="Riverside Furniture Stanwyck Manor Table Series"/>
    <n v="401.59"/>
    <n v="2"/>
    <x v="349"/>
    <x v="3"/>
    <x v="0"/>
  </r>
  <r>
    <n v="44306"/>
    <x v="157"/>
    <x v="3"/>
    <x v="1"/>
    <x v="8"/>
    <s v="GE 4 Foot Flourescent Tube, 40 Watt"/>
    <n v="59.92"/>
    <n v="4"/>
    <x v="350"/>
    <x v="3"/>
    <x v="0"/>
  </r>
  <r>
    <n v="44307"/>
    <x v="158"/>
    <x v="3"/>
    <x v="0"/>
    <x v="3"/>
    <s v="ACCOHIDE Binder by Acco"/>
    <n v="16.52"/>
    <n v="5"/>
    <x v="276"/>
    <x v="3"/>
    <x v="0"/>
  </r>
  <r>
    <n v="44307"/>
    <x v="159"/>
    <x v="5"/>
    <x v="0"/>
    <x v="2"/>
    <s v="SAFCO Commercial Wire Shelving, Black"/>
    <n v="828.84"/>
    <n v="6"/>
    <x v="62"/>
    <x v="3"/>
    <x v="0"/>
  </r>
  <r>
    <n v="44308"/>
    <x v="160"/>
    <x v="20"/>
    <x v="0"/>
    <x v="10"/>
    <s v="Staple envelope"/>
    <n v="247.84"/>
    <n v="8"/>
    <x v="351"/>
    <x v="3"/>
    <x v="0"/>
  </r>
  <r>
    <n v="44308"/>
    <x v="160"/>
    <x v="20"/>
    <x v="0"/>
    <x v="3"/>
    <s v="ACCOHIDE 3-Ring Binder, Blue, 1&quot;"/>
    <n v="9.91"/>
    <n v="3"/>
    <x v="318"/>
    <x v="3"/>
    <x v="0"/>
  </r>
  <r>
    <n v="44309"/>
    <x v="161"/>
    <x v="2"/>
    <x v="0"/>
    <x v="3"/>
    <s v="Wilson Jones Suede Grain Vinyl Binders"/>
    <n v="2.5"/>
    <n v="3"/>
    <x v="352"/>
    <x v="3"/>
    <x v="0"/>
  </r>
  <r>
    <n v="44309"/>
    <x v="162"/>
    <x v="10"/>
    <x v="1"/>
    <x v="5"/>
    <s v="Global Leather Highback Executive Chair with Pneumatic Height Adjustment, Black"/>
    <n v="281.37"/>
    <n v="2"/>
    <x v="353"/>
    <x v="3"/>
    <x v="0"/>
  </r>
  <r>
    <n v="44309"/>
    <x v="162"/>
    <x v="10"/>
    <x v="0"/>
    <x v="3"/>
    <s v="Zipper Ring Binder Pockets"/>
    <n v="7.49"/>
    <n v="8"/>
    <x v="354"/>
    <x v="3"/>
    <x v="0"/>
  </r>
  <r>
    <n v="44309"/>
    <x v="162"/>
    <x v="10"/>
    <x v="1"/>
    <x v="8"/>
    <s v="G.E. Halogen Desk Lamp Bulbs"/>
    <n v="22.34"/>
    <n v="4"/>
    <x v="355"/>
    <x v="3"/>
    <x v="0"/>
  </r>
  <r>
    <n v="44309"/>
    <x v="39"/>
    <x v="3"/>
    <x v="0"/>
    <x v="0"/>
    <s v="Xerox 1891"/>
    <n v="48.91"/>
    <n v="1"/>
    <x v="356"/>
    <x v="3"/>
    <x v="0"/>
  </r>
  <r>
    <n v="44311"/>
    <x v="163"/>
    <x v="0"/>
    <x v="0"/>
    <x v="0"/>
    <s v="Xerox 1985"/>
    <n v="10.37"/>
    <n v="2"/>
    <x v="316"/>
    <x v="3"/>
    <x v="0"/>
  </r>
  <r>
    <n v="44311"/>
    <x v="163"/>
    <x v="0"/>
    <x v="0"/>
    <x v="4"/>
    <s v="12 Colored Short Pencils"/>
    <n v="6.24"/>
    <n v="3"/>
    <x v="357"/>
    <x v="3"/>
    <x v="0"/>
  </r>
  <r>
    <n v="44311"/>
    <x v="164"/>
    <x v="25"/>
    <x v="2"/>
    <x v="6"/>
    <s v="AT&amp;T CL2909"/>
    <n v="302.38"/>
    <n v="3"/>
    <x v="233"/>
    <x v="3"/>
    <x v="0"/>
  </r>
  <r>
    <n v="44311"/>
    <x v="165"/>
    <x v="3"/>
    <x v="1"/>
    <x v="8"/>
    <s v="Tenex Traditional Chairmats for Medium Pile Carpet, Standard Lip, 36&quot; x 48&quot;"/>
    <n v="303.25"/>
    <n v="5"/>
    <x v="358"/>
    <x v="3"/>
    <x v="0"/>
  </r>
  <r>
    <n v="44311"/>
    <x v="165"/>
    <x v="3"/>
    <x v="0"/>
    <x v="12"/>
    <s v="Kensington 6 Outlet MasterPiece HOMEOFFICE Power Control Center"/>
    <n v="270.72000000000003"/>
    <n v="3"/>
    <x v="359"/>
    <x v="3"/>
    <x v="0"/>
  </r>
  <r>
    <n v="44311"/>
    <x v="165"/>
    <x v="3"/>
    <x v="1"/>
    <x v="5"/>
    <s v="GuestStacker Chair with Chrome Finish Legs"/>
    <n v="1487.04"/>
    <n v="5"/>
    <x v="360"/>
    <x v="3"/>
    <x v="0"/>
  </r>
  <r>
    <n v="44312"/>
    <x v="166"/>
    <x v="3"/>
    <x v="1"/>
    <x v="5"/>
    <s v="Bevis Steel Folding Chairs"/>
    <n v="230.28"/>
    <n v="3"/>
    <x v="361"/>
    <x v="3"/>
    <x v="0"/>
  </r>
  <r>
    <n v="44312"/>
    <x v="166"/>
    <x v="3"/>
    <x v="0"/>
    <x v="3"/>
    <s v="Acco Pressboard Covers with Storage Hooks, 14 7/8&quot; x 11&quot;, Executive Red"/>
    <n v="18.29"/>
    <n v="6"/>
    <x v="362"/>
    <x v="3"/>
    <x v="0"/>
  </r>
  <r>
    <n v="44312"/>
    <x v="167"/>
    <x v="3"/>
    <x v="0"/>
    <x v="4"/>
    <s v="Newell 347"/>
    <n v="21.4"/>
    <n v="5"/>
    <x v="363"/>
    <x v="3"/>
    <x v="0"/>
  </r>
  <r>
    <n v="44312"/>
    <x v="167"/>
    <x v="3"/>
    <x v="0"/>
    <x v="1"/>
    <s v="Avery 495"/>
    <n v="12.6"/>
    <n v="2"/>
    <x v="77"/>
    <x v="3"/>
    <x v="0"/>
  </r>
  <r>
    <n v="44314"/>
    <x v="168"/>
    <x v="36"/>
    <x v="0"/>
    <x v="3"/>
    <s v="Acco Data Flex Cable Posts For Top &amp; Bottom Load Binders, 6&quot; Capacity"/>
    <n v="20.86"/>
    <n v="2"/>
    <x v="364"/>
    <x v="3"/>
    <x v="0"/>
  </r>
  <r>
    <n v="44314"/>
    <x v="168"/>
    <x v="36"/>
    <x v="0"/>
    <x v="2"/>
    <s v="Recycled Steel Personal File for Standard File Folders"/>
    <n v="497.61"/>
    <n v="9"/>
    <x v="365"/>
    <x v="3"/>
    <x v="0"/>
  </r>
  <r>
    <n v="44314"/>
    <x v="168"/>
    <x v="36"/>
    <x v="0"/>
    <x v="4"/>
    <s v="Blackstonian Pencils"/>
    <n v="5.34"/>
    <n v="2"/>
    <x v="366"/>
    <x v="3"/>
    <x v="0"/>
  </r>
  <r>
    <n v="44314"/>
    <x v="168"/>
    <x v="36"/>
    <x v="0"/>
    <x v="1"/>
    <s v="Avery 488"/>
    <n v="3.15"/>
    <n v="1"/>
    <x v="367"/>
    <x v="3"/>
    <x v="0"/>
  </r>
  <r>
    <n v="44314"/>
    <x v="169"/>
    <x v="10"/>
    <x v="0"/>
    <x v="1"/>
    <s v="Avery File Folder Labels"/>
    <n v="6.91"/>
    <n v="3"/>
    <x v="368"/>
    <x v="3"/>
    <x v="0"/>
  </r>
  <r>
    <n v="44314"/>
    <x v="169"/>
    <x v="10"/>
    <x v="0"/>
    <x v="2"/>
    <s v="X-Rack File for Hanging Folders"/>
    <n v="27.1"/>
    <n v="3"/>
    <x v="298"/>
    <x v="3"/>
    <x v="0"/>
  </r>
  <r>
    <n v="44314"/>
    <x v="169"/>
    <x v="10"/>
    <x v="0"/>
    <x v="2"/>
    <s v="Carina Mini System Audio Rack, Model AR050B"/>
    <n v="177.57"/>
    <n v="2"/>
    <x v="369"/>
    <x v="3"/>
    <x v="0"/>
  </r>
  <r>
    <n v="44314"/>
    <x v="170"/>
    <x v="3"/>
    <x v="2"/>
    <x v="6"/>
    <s v="Samsung Galaxy Mega 6.3"/>
    <n v="1679.96"/>
    <n v="5"/>
    <x v="370"/>
    <x v="3"/>
    <x v="0"/>
  </r>
  <r>
    <n v="44314"/>
    <x v="171"/>
    <x v="20"/>
    <x v="2"/>
    <x v="9"/>
    <s v="Logitech G600 MMO Gaming Mouse"/>
    <n v="159.97999999999999"/>
    <n v="2"/>
    <x v="277"/>
    <x v="3"/>
    <x v="0"/>
  </r>
  <r>
    <n v="44315"/>
    <x v="172"/>
    <x v="20"/>
    <x v="1"/>
    <x v="8"/>
    <s v="Dax Clear Box Frame"/>
    <n v="17.46"/>
    <n v="2"/>
    <x v="371"/>
    <x v="3"/>
    <x v="0"/>
  </r>
  <r>
    <n v="44315"/>
    <x v="173"/>
    <x v="8"/>
    <x v="1"/>
    <x v="5"/>
    <s v="Global Stack Chair without Arms, Black"/>
    <n v="51.96"/>
    <n v="2"/>
    <x v="372"/>
    <x v="3"/>
    <x v="0"/>
  </r>
  <r>
    <n v="44315"/>
    <x v="173"/>
    <x v="8"/>
    <x v="0"/>
    <x v="3"/>
    <s v="Avery Non-Stick Heavy Duty View Round Locking Ring Binders"/>
    <n v="17.940000000000001"/>
    <n v="3"/>
    <x v="373"/>
    <x v="3"/>
    <x v="0"/>
  </r>
  <r>
    <n v="44315"/>
    <x v="174"/>
    <x v="15"/>
    <x v="1"/>
    <x v="5"/>
    <s v="Global Leather Executive Chair"/>
    <n v="561.58000000000004"/>
    <n v="2"/>
    <x v="374"/>
    <x v="3"/>
    <x v="0"/>
  </r>
  <r>
    <n v="44315"/>
    <x v="174"/>
    <x v="15"/>
    <x v="0"/>
    <x v="2"/>
    <s v="2300 Heavy-Duty Transfer File Systems by Perma"/>
    <n v="99.92"/>
    <n v="5"/>
    <x v="375"/>
    <x v="3"/>
    <x v="0"/>
  </r>
  <r>
    <n v="44315"/>
    <x v="175"/>
    <x v="7"/>
    <x v="2"/>
    <x v="6"/>
    <s v="Square Credit Card Reader"/>
    <n v="19.98"/>
    <n v="2"/>
    <x v="376"/>
    <x v="3"/>
    <x v="0"/>
  </r>
  <r>
    <n v="44316"/>
    <x v="51"/>
    <x v="29"/>
    <x v="2"/>
    <x v="9"/>
    <s v="Maxell 4.7GB DVD-RW 3/Pack"/>
    <n v="47.79"/>
    <n v="3"/>
    <x v="377"/>
    <x v="3"/>
    <x v="0"/>
  </r>
  <r>
    <n v="44316"/>
    <x v="176"/>
    <x v="5"/>
    <x v="0"/>
    <x v="4"/>
    <s v="Hunt Boston Vacuum Mount KS Pencil Sharpener"/>
    <n v="174.95"/>
    <n v="5"/>
    <x v="378"/>
    <x v="3"/>
    <x v="0"/>
  </r>
  <r>
    <n v="44316"/>
    <x v="176"/>
    <x v="5"/>
    <x v="0"/>
    <x v="2"/>
    <s v="Economy Rollaway Files"/>
    <n v="826"/>
    <n v="5"/>
    <x v="379"/>
    <x v="3"/>
    <x v="0"/>
  </r>
  <r>
    <n v="44318"/>
    <x v="177"/>
    <x v="10"/>
    <x v="0"/>
    <x v="12"/>
    <s v="Belkin 6 Outlet Metallic Surge Strip"/>
    <n v="26.14"/>
    <n v="3"/>
    <x v="212"/>
    <x v="4"/>
    <x v="0"/>
  </r>
  <r>
    <n v="44318"/>
    <x v="178"/>
    <x v="16"/>
    <x v="2"/>
    <x v="16"/>
    <s v="Brother DCP1000 Digital 3 in 1 Multifunction Machine"/>
    <n v="479.98"/>
    <n v="2"/>
    <x v="380"/>
    <x v="4"/>
    <x v="0"/>
  </r>
  <r>
    <n v="44319"/>
    <x v="179"/>
    <x v="21"/>
    <x v="0"/>
    <x v="1"/>
    <s v="Avery 481"/>
    <n v="21.56"/>
    <n v="7"/>
    <x v="381"/>
    <x v="4"/>
    <x v="0"/>
  </r>
  <r>
    <n v="44319"/>
    <x v="180"/>
    <x v="20"/>
    <x v="0"/>
    <x v="3"/>
    <s v="GBC Poly Designer Binding Covers"/>
    <n v="40.18"/>
    <n v="3"/>
    <x v="382"/>
    <x v="4"/>
    <x v="0"/>
  </r>
  <r>
    <n v="44319"/>
    <x v="180"/>
    <x v="20"/>
    <x v="0"/>
    <x v="3"/>
    <s v="Avery Durable Plastic 1&quot; Binders"/>
    <n v="10.9"/>
    <n v="3"/>
    <x v="383"/>
    <x v="4"/>
    <x v="0"/>
  </r>
  <r>
    <n v="44320"/>
    <x v="181"/>
    <x v="14"/>
    <x v="0"/>
    <x v="3"/>
    <s v="Fellowes Binding Cases"/>
    <n v="46.8"/>
    <n v="4"/>
    <x v="384"/>
    <x v="4"/>
    <x v="0"/>
  </r>
  <r>
    <n v="44320"/>
    <x v="182"/>
    <x v="37"/>
    <x v="1"/>
    <x v="8"/>
    <s v="DAX Wood Document Frame"/>
    <n v="27.46"/>
    <n v="2"/>
    <x v="385"/>
    <x v="4"/>
    <x v="0"/>
  </r>
  <r>
    <n v="44320"/>
    <x v="115"/>
    <x v="0"/>
    <x v="0"/>
    <x v="4"/>
    <s v="Boston Home &amp; Office Model 2000 Electric Pencil Sharpeners"/>
    <n v="37.840000000000003"/>
    <n v="2"/>
    <x v="386"/>
    <x v="4"/>
    <x v="0"/>
  </r>
  <r>
    <n v="44320"/>
    <x v="115"/>
    <x v="0"/>
    <x v="0"/>
    <x v="7"/>
    <s v="OIC Thumb-Tacks"/>
    <n v="5.47"/>
    <n v="6"/>
    <x v="387"/>
    <x v="4"/>
    <x v="0"/>
  </r>
  <r>
    <n v="44320"/>
    <x v="183"/>
    <x v="22"/>
    <x v="1"/>
    <x v="8"/>
    <s v="Eldon Regeneration Recycled Desk Accessories, Smoke"/>
    <n v="12.18"/>
    <n v="7"/>
    <x v="388"/>
    <x v="4"/>
    <x v="0"/>
  </r>
  <r>
    <n v="44320"/>
    <x v="183"/>
    <x v="22"/>
    <x v="0"/>
    <x v="12"/>
    <s v="Holmes Odor Grabber"/>
    <n v="57.68"/>
    <n v="4"/>
    <x v="389"/>
    <x v="4"/>
    <x v="0"/>
  </r>
  <r>
    <n v="44321"/>
    <x v="184"/>
    <x v="5"/>
    <x v="0"/>
    <x v="0"/>
    <s v="Adams &quot;While You Were Out&quot; Message Pads"/>
    <n v="9.42"/>
    <n v="3"/>
    <x v="390"/>
    <x v="4"/>
    <x v="0"/>
  </r>
  <r>
    <n v="44321"/>
    <x v="184"/>
    <x v="5"/>
    <x v="0"/>
    <x v="4"/>
    <s v="Newell 350"/>
    <n v="6.56"/>
    <n v="2"/>
    <x v="238"/>
    <x v="4"/>
    <x v="0"/>
  </r>
  <r>
    <n v="44321"/>
    <x v="184"/>
    <x v="5"/>
    <x v="0"/>
    <x v="0"/>
    <s v="Xerox 1933"/>
    <n v="24.56"/>
    <n v="2"/>
    <x v="391"/>
    <x v="4"/>
    <x v="0"/>
  </r>
  <r>
    <n v="44321"/>
    <x v="185"/>
    <x v="0"/>
    <x v="1"/>
    <x v="5"/>
    <s v="Global Value Mid-Back Manager's Chair, Gray"/>
    <n v="127.87"/>
    <n v="3"/>
    <x v="392"/>
    <x v="4"/>
    <x v="0"/>
  </r>
  <r>
    <n v="44321"/>
    <x v="121"/>
    <x v="1"/>
    <x v="0"/>
    <x v="2"/>
    <s v="Eldon Portable Mobile Manager"/>
    <n v="45.25"/>
    <n v="2"/>
    <x v="393"/>
    <x v="4"/>
    <x v="0"/>
  </r>
  <r>
    <n v="44321"/>
    <x v="186"/>
    <x v="6"/>
    <x v="0"/>
    <x v="3"/>
    <s v="Storex Dura Pro Binders"/>
    <n v="11.88"/>
    <n v="2"/>
    <x v="394"/>
    <x v="4"/>
    <x v="0"/>
  </r>
  <r>
    <n v="44321"/>
    <x v="186"/>
    <x v="6"/>
    <x v="0"/>
    <x v="0"/>
    <s v="Easy-staple paper"/>
    <n v="35.44"/>
    <n v="1"/>
    <x v="395"/>
    <x v="4"/>
    <x v="0"/>
  </r>
  <r>
    <n v="44322"/>
    <x v="187"/>
    <x v="3"/>
    <x v="0"/>
    <x v="3"/>
    <s v="Wilson Jones Legal Size Ring Binders"/>
    <n v="140.74"/>
    <n v="8"/>
    <x v="396"/>
    <x v="4"/>
    <x v="0"/>
  </r>
  <r>
    <n v="44322"/>
    <x v="188"/>
    <x v="3"/>
    <x v="0"/>
    <x v="1"/>
    <s v="Staple-on labels"/>
    <n v="5.78"/>
    <n v="2"/>
    <x v="397"/>
    <x v="4"/>
    <x v="0"/>
  </r>
  <r>
    <n v="44322"/>
    <x v="188"/>
    <x v="3"/>
    <x v="0"/>
    <x v="4"/>
    <s v="Model L Table or Wall-Mount Pencil Sharpener"/>
    <n v="107.94"/>
    <n v="6"/>
    <x v="398"/>
    <x v="4"/>
    <x v="0"/>
  </r>
  <r>
    <n v="44323"/>
    <x v="189"/>
    <x v="32"/>
    <x v="0"/>
    <x v="3"/>
    <s v="Acco PRESSTEX Data Binder with Storage Hooks, Dark Blue, 14 7/8&quot; X 11&quot;"/>
    <n v="16.14"/>
    <n v="3"/>
    <x v="399"/>
    <x v="4"/>
    <x v="0"/>
  </r>
  <r>
    <n v="44323"/>
    <x v="189"/>
    <x v="32"/>
    <x v="1"/>
    <x v="13"/>
    <s v="Balt Split Level Computer Training Table"/>
    <n v="194.25"/>
    <n v="2"/>
    <x v="400"/>
    <x v="4"/>
    <x v="0"/>
  </r>
  <r>
    <n v="44323"/>
    <x v="189"/>
    <x v="32"/>
    <x v="0"/>
    <x v="4"/>
    <s v="Newell 335"/>
    <n v="8.64"/>
    <n v="3"/>
    <x v="368"/>
    <x v="4"/>
    <x v="0"/>
  </r>
  <r>
    <n v="44323"/>
    <x v="189"/>
    <x v="32"/>
    <x v="1"/>
    <x v="5"/>
    <s v="Lifetime Advantage Folding Chairs, 4/Carton"/>
    <n v="872.32"/>
    <n v="4"/>
    <x v="401"/>
    <x v="4"/>
    <x v="0"/>
  </r>
  <r>
    <n v="44324"/>
    <x v="73"/>
    <x v="2"/>
    <x v="2"/>
    <x v="16"/>
    <s v="Hewlett Packard LaserJet 3310 Copier"/>
    <n v="1799.97"/>
    <n v="5"/>
    <x v="402"/>
    <x v="4"/>
    <x v="0"/>
  </r>
  <r>
    <n v="44325"/>
    <x v="190"/>
    <x v="3"/>
    <x v="2"/>
    <x v="9"/>
    <s v="Kingston Digital DataTraveler 32GB USB 2.0"/>
    <n v="67.8"/>
    <n v="4"/>
    <x v="403"/>
    <x v="4"/>
    <x v="0"/>
  </r>
  <r>
    <n v="44325"/>
    <x v="190"/>
    <x v="3"/>
    <x v="2"/>
    <x v="9"/>
    <s v="Sony Micro Vault Click 16 GB USB 2.0 Flash Drive"/>
    <n v="167.97"/>
    <n v="3"/>
    <x v="404"/>
    <x v="4"/>
    <x v="0"/>
  </r>
  <r>
    <n v="44325"/>
    <x v="191"/>
    <x v="5"/>
    <x v="0"/>
    <x v="2"/>
    <s v="Fellowes Super Stor/Drawer"/>
    <n v="83.25"/>
    <n v="3"/>
    <x v="405"/>
    <x v="4"/>
    <x v="0"/>
  </r>
  <r>
    <n v="44325"/>
    <x v="191"/>
    <x v="5"/>
    <x v="0"/>
    <x v="1"/>
    <s v="Avery 518"/>
    <n v="9.4499999999999993"/>
    <n v="3"/>
    <x v="406"/>
    <x v="4"/>
    <x v="0"/>
  </r>
  <r>
    <n v="44325"/>
    <x v="191"/>
    <x v="5"/>
    <x v="0"/>
    <x v="1"/>
    <s v="Avery 506"/>
    <n v="20.65"/>
    <n v="5"/>
    <x v="150"/>
    <x v="4"/>
    <x v="0"/>
  </r>
  <r>
    <n v="44325"/>
    <x v="191"/>
    <x v="5"/>
    <x v="0"/>
    <x v="0"/>
    <s v="Weyerhaeuser First Choice Laser/Copy Paper (20Lb. and 88 Bright)"/>
    <n v="45.36"/>
    <n v="7"/>
    <x v="407"/>
    <x v="4"/>
    <x v="0"/>
  </r>
  <r>
    <n v="44326"/>
    <x v="170"/>
    <x v="22"/>
    <x v="0"/>
    <x v="10"/>
    <s v="Strathmore #10 Envelopes, Ultimate White"/>
    <n v="158.13"/>
    <n v="3"/>
    <x v="408"/>
    <x v="4"/>
    <x v="0"/>
  </r>
  <r>
    <n v="44326"/>
    <x v="170"/>
    <x v="22"/>
    <x v="2"/>
    <x v="6"/>
    <s v="LF Elite 3D Dazzle Designer Hard Case Cover, Lf Stylus Pen and Wiper For Apple Iphone 5c Mini Lite"/>
    <n v="43.6"/>
    <n v="5"/>
    <x v="409"/>
    <x v="4"/>
    <x v="0"/>
  </r>
  <r>
    <n v="44326"/>
    <x v="192"/>
    <x v="2"/>
    <x v="1"/>
    <x v="11"/>
    <s v="Bestar Classic Bookcase"/>
    <n v="349.97"/>
    <n v="7"/>
    <x v="410"/>
    <x v="4"/>
    <x v="0"/>
  </r>
  <r>
    <n v="44326"/>
    <x v="192"/>
    <x v="2"/>
    <x v="0"/>
    <x v="4"/>
    <s v="DIXON Ticonderoga Erasable Checking Pencils"/>
    <n v="22.32"/>
    <n v="5"/>
    <x v="411"/>
    <x v="4"/>
    <x v="0"/>
  </r>
  <r>
    <n v="44326"/>
    <x v="193"/>
    <x v="3"/>
    <x v="0"/>
    <x v="0"/>
    <s v="Southworth 25% Cotton Premium Laser Paper and Envelopes"/>
    <n v="39.96"/>
    <n v="2"/>
    <x v="412"/>
    <x v="4"/>
    <x v="0"/>
  </r>
  <r>
    <n v="44326"/>
    <x v="193"/>
    <x v="3"/>
    <x v="2"/>
    <x v="6"/>
    <s v="Wilson Electronics DB Pro Signal Booster"/>
    <n v="1432"/>
    <n v="5"/>
    <x v="413"/>
    <x v="4"/>
    <x v="0"/>
  </r>
  <r>
    <n v="44326"/>
    <x v="193"/>
    <x v="3"/>
    <x v="0"/>
    <x v="14"/>
    <s v="Acme Design Stainless Steel Bent Scissors"/>
    <n v="41.04"/>
    <n v="6"/>
    <x v="414"/>
    <x v="4"/>
    <x v="0"/>
  </r>
  <r>
    <n v="44326"/>
    <x v="193"/>
    <x v="3"/>
    <x v="1"/>
    <x v="5"/>
    <s v="Hon Pagoda Stacking Chairs"/>
    <n v="256.77999999999997"/>
    <n v="1"/>
    <x v="415"/>
    <x v="4"/>
    <x v="0"/>
  </r>
  <r>
    <n v="44327"/>
    <x v="194"/>
    <x v="0"/>
    <x v="2"/>
    <x v="9"/>
    <s v="SanDisk Cruzer 64 GB USB Flash Drive"/>
    <n v="58.11"/>
    <n v="2"/>
    <x v="416"/>
    <x v="4"/>
    <x v="0"/>
  </r>
  <r>
    <n v="44327"/>
    <x v="194"/>
    <x v="0"/>
    <x v="2"/>
    <x v="6"/>
    <s v="Xblue XB-1670-86 X16 SmallÂ Office TelephoneÂ - Titanium"/>
    <n v="100.79"/>
    <n v="1"/>
    <x v="417"/>
    <x v="4"/>
    <x v="0"/>
  </r>
  <r>
    <n v="44327"/>
    <x v="194"/>
    <x v="0"/>
    <x v="1"/>
    <x v="8"/>
    <s v="Deflect-o EconoMat Studded, No Bevel Mat for Low Pile Carpeting"/>
    <n v="66.11"/>
    <n v="4"/>
    <x v="418"/>
    <x v="4"/>
    <x v="0"/>
  </r>
  <r>
    <n v="44327"/>
    <x v="195"/>
    <x v="0"/>
    <x v="2"/>
    <x v="9"/>
    <s v="Logitech ClearChat Comfort/USB Headset H390"/>
    <n v="46.86"/>
    <n v="2"/>
    <x v="419"/>
    <x v="4"/>
    <x v="0"/>
  </r>
  <r>
    <n v="44327"/>
    <x v="196"/>
    <x v="20"/>
    <x v="0"/>
    <x v="12"/>
    <s v="Staple holder"/>
    <n v="35.909999999999997"/>
    <n v="3"/>
    <x v="420"/>
    <x v="4"/>
    <x v="0"/>
  </r>
  <r>
    <n v="44327"/>
    <x v="197"/>
    <x v="0"/>
    <x v="1"/>
    <x v="5"/>
    <s v="Hon Multipurpose Stacking Arm Chairs"/>
    <n v="1212.96"/>
    <n v="8"/>
    <x v="421"/>
    <x v="4"/>
    <x v="0"/>
  </r>
  <r>
    <n v="44327"/>
    <x v="198"/>
    <x v="1"/>
    <x v="0"/>
    <x v="0"/>
    <s v="Black Print Carbonless 8 1/2&quot; x 8 1/4&quot; Rapid Memo Book"/>
    <n v="17.47"/>
    <n v="3"/>
    <x v="123"/>
    <x v="4"/>
    <x v="0"/>
  </r>
  <r>
    <n v="44327"/>
    <x v="198"/>
    <x v="1"/>
    <x v="0"/>
    <x v="3"/>
    <s v="Avery Arch Ring Binders"/>
    <n v="104.58"/>
    <n v="9"/>
    <x v="422"/>
    <x v="4"/>
    <x v="0"/>
  </r>
  <r>
    <n v="44328"/>
    <x v="19"/>
    <x v="21"/>
    <x v="1"/>
    <x v="8"/>
    <s v="DAX Value U-Channel Document Frames, Easel Back"/>
    <n v="34.79"/>
    <n v="7"/>
    <x v="423"/>
    <x v="4"/>
    <x v="0"/>
  </r>
  <r>
    <n v="44328"/>
    <x v="73"/>
    <x v="32"/>
    <x v="1"/>
    <x v="13"/>
    <s v="Bevis Traditional Conference Table Top, Plinth Base"/>
    <n v="700.06"/>
    <n v="3"/>
    <x v="424"/>
    <x v="4"/>
    <x v="0"/>
  </r>
  <r>
    <n v="44329"/>
    <x v="199"/>
    <x v="27"/>
    <x v="0"/>
    <x v="2"/>
    <s v="Fellowes Super Stor/Drawer"/>
    <n v="55.5"/>
    <n v="2"/>
    <x v="425"/>
    <x v="4"/>
    <x v="0"/>
  </r>
  <r>
    <n v="44329"/>
    <x v="200"/>
    <x v="16"/>
    <x v="0"/>
    <x v="7"/>
    <s v="Staples"/>
    <n v="7.1"/>
    <n v="2"/>
    <x v="426"/>
    <x v="4"/>
    <x v="0"/>
  </r>
  <r>
    <n v="44329"/>
    <x v="200"/>
    <x v="16"/>
    <x v="0"/>
    <x v="3"/>
    <s v="GBC DocuBind P100 Manual Binding Machine"/>
    <n v="398.35"/>
    <n v="8"/>
    <x v="427"/>
    <x v="4"/>
    <x v="0"/>
  </r>
  <r>
    <n v="44329"/>
    <x v="201"/>
    <x v="3"/>
    <x v="2"/>
    <x v="9"/>
    <s v="Plantronics Audio 478 Stereo USB Headset"/>
    <n v="149.97"/>
    <n v="3"/>
    <x v="428"/>
    <x v="4"/>
    <x v="0"/>
  </r>
  <r>
    <n v="44329"/>
    <x v="160"/>
    <x v="3"/>
    <x v="1"/>
    <x v="5"/>
    <s v="Iceberg Nesting Folding Chair, 19w x 6d x 43h"/>
    <n v="279.45999999999998"/>
    <n v="6"/>
    <x v="429"/>
    <x v="4"/>
    <x v="0"/>
  </r>
  <r>
    <n v="44329"/>
    <x v="160"/>
    <x v="3"/>
    <x v="0"/>
    <x v="0"/>
    <s v="EcoTones Memo Sheets"/>
    <n v="8"/>
    <n v="2"/>
    <x v="430"/>
    <x v="4"/>
    <x v="0"/>
  </r>
  <r>
    <n v="44330"/>
    <x v="202"/>
    <x v="16"/>
    <x v="1"/>
    <x v="8"/>
    <s v="Electrix Halogen Magnifier Lamp"/>
    <n v="310.88"/>
    <n v="2"/>
    <x v="431"/>
    <x v="4"/>
    <x v="0"/>
  </r>
  <r>
    <n v="44332"/>
    <x v="203"/>
    <x v="3"/>
    <x v="1"/>
    <x v="5"/>
    <s v="Iceberg Nesting Folding Chair, 19w x 6d x 43h"/>
    <n v="232.88"/>
    <n v="5"/>
    <x v="129"/>
    <x v="4"/>
    <x v="0"/>
  </r>
  <r>
    <n v="44332"/>
    <x v="204"/>
    <x v="3"/>
    <x v="2"/>
    <x v="9"/>
    <s v="ImationÂ Clip USBÂ flash driveÂ - 8 GB"/>
    <n v="56.4"/>
    <n v="3"/>
    <x v="432"/>
    <x v="4"/>
    <x v="0"/>
  </r>
  <r>
    <n v="44333"/>
    <x v="205"/>
    <x v="21"/>
    <x v="0"/>
    <x v="3"/>
    <s v="Surelock Post Binders"/>
    <n v="91.68"/>
    <n v="3"/>
    <x v="433"/>
    <x v="4"/>
    <x v="0"/>
  </r>
  <r>
    <n v="44334"/>
    <x v="206"/>
    <x v="10"/>
    <x v="2"/>
    <x v="6"/>
    <s v="Apple iPhone 5"/>
    <n v="779.8"/>
    <n v="2"/>
    <x v="434"/>
    <x v="4"/>
    <x v="0"/>
  </r>
  <r>
    <n v="44334"/>
    <x v="207"/>
    <x v="10"/>
    <x v="1"/>
    <x v="8"/>
    <s v="Deflect-o Glass Clear Studded Chair Mats"/>
    <n v="149.22999999999999"/>
    <n v="3"/>
    <x v="435"/>
    <x v="4"/>
    <x v="0"/>
  </r>
  <r>
    <n v="44334"/>
    <x v="207"/>
    <x v="10"/>
    <x v="0"/>
    <x v="0"/>
    <s v="Xerox 1949"/>
    <n v="15.94"/>
    <n v="4"/>
    <x v="436"/>
    <x v="4"/>
    <x v="0"/>
  </r>
  <r>
    <n v="44334"/>
    <x v="208"/>
    <x v="0"/>
    <x v="0"/>
    <x v="0"/>
    <s v="Xerox 1949"/>
    <n v="3.98"/>
    <n v="1"/>
    <x v="437"/>
    <x v="4"/>
    <x v="0"/>
  </r>
  <r>
    <n v="44335"/>
    <x v="209"/>
    <x v="14"/>
    <x v="0"/>
    <x v="3"/>
    <s v="Avery Heavy-Duty EZD View Binder with Locking Rings"/>
    <n v="57.42"/>
    <n v="9"/>
    <x v="438"/>
    <x v="4"/>
    <x v="0"/>
  </r>
  <r>
    <n v="44335"/>
    <x v="210"/>
    <x v="6"/>
    <x v="0"/>
    <x v="14"/>
    <s v="Acme Design Stainless Steel Bent Scissors"/>
    <n v="34.200000000000003"/>
    <n v="5"/>
    <x v="439"/>
    <x v="4"/>
    <x v="0"/>
  </r>
  <r>
    <n v="44336"/>
    <x v="211"/>
    <x v="38"/>
    <x v="0"/>
    <x v="12"/>
    <s v="Acco 6 Outlet Guardian Basic Surge Suppressor"/>
    <n v="33.28"/>
    <n v="4"/>
    <x v="440"/>
    <x v="4"/>
    <x v="0"/>
  </r>
  <r>
    <n v="44336"/>
    <x v="211"/>
    <x v="38"/>
    <x v="0"/>
    <x v="4"/>
    <s v="Sanford Colorific Scented Colored Pencils, 12/Pack"/>
    <n v="38.520000000000003"/>
    <n v="9"/>
    <x v="441"/>
    <x v="4"/>
    <x v="0"/>
  </r>
  <r>
    <n v="44336"/>
    <x v="211"/>
    <x v="38"/>
    <x v="1"/>
    <x v="8"/>
    <s v="24-Hour Round Wall Clock"/>
    <n v="139.86000000000001"/>
    <n v="7"/>
    <x v="442"/>
    <x v="4"/>
    <x v="0"/>
  </r>
  <r>
    <n v="44336"/>
    <x v="212"/>
    <x v="0"/>
    <x v="1"/>
    <x v="8"/>
    <s v="Contemporary Borderless Frame"/>
    <n v="10.33"/>
    <n v="3"/>
    <x v="443"/>
    <x v="4"/>
    <x v="0"/>
  </r>
  <r>
    <n v="44336"/>
    <x v="212"/>
    <x v="0"/>
    <x v="0"/>
    <x v="0"/>
    <s v="Xerox 213"/>
    <n v="10.37"/>
    <n v="2"/>
    <x v="316"/>
    <x v="4"/>
    <x v="0"/>
  </r>
  <r>
    <n v="44336"/>
    <x v="212"/>
    <x v="0"/>
    <x v="2"/>
    <x v="9"/>
    <s v="SanDisk Ultra 16 GB MicroSDHC Class 10 Memory Card"/>
    <n v="20.78"/>
    <n v="2"/>
    <x v="444"/>
    <x v="4"/>
    <x v="0"/>
  </r>
  <r>
    <n v="44336"/>
    <x v="212"/>
    <x v="0"/>
    <x v="0"/>
    <x v="2"/>
    <s v="Rogers Profile Extra Capacity Storage Tub"/>
    <n v="66.959999999999994"/>
    <n v="5"/>
    <x v="445"/>
    <x v="4"/>
    <x v="0"/>
  </r>
  <r>
    <n v="44337"/>
    <x v="213"/>
    <x v="6"/>
    <x v="0"/>
    <x v="3"/>
    <s v="Fellowes PB300 Plastic Comb Binding Machine"/>
    <n v="2715.93"/>
    <n v="7"/>
    <x v="446"/>
    <x v="4"/>
    <x v="0"/>
  </r>
  <r>
    <n v="44337"/>
    <x v="213"/>
    <x v="6"/>
    <x v="2"/>
    <x v="6"/>
    <s v="Plantronics Voyager Pro Legend"/>
    <n v="617.97"/>
    <n v="3"/>
    <x v="447"/>
    <x v="4"/>
    <x v="0"/>
  </r>
  <r>
    <n v="44337"/>
    <x v="214"/>
    <x v="3"/>
    <x v="0"/>
    <x v="4"/>
    <s v="4009 Highlighters by Sanford"/>
    <n v="31.84"/>
    <n v="8"/>
    <x v="448"/>
    <x v="4"/>
    <x v="0"/>
  </r>
  <r>
    <n v="44337"/>
    <x v="215"/>
    <x v="32"/>
    <x v="0"/>
    <x v="3"/>
    <s v="GBC ProClick Punch Binding System"/>
    <n v="447.86"/>
    <n v="7"/>
    <x v="449"/>
    <x v="4"/>
    <x v="0"/>
  </r>
  <r>
    <n v="44337"/>
    <x v="215"/>
    <x v="32"/>
    <x v="0"/>
    <x v="0"/>
    <s v="Xerox 1992"/>
    <n v="17.940000000000001"/>
    <n v="3"/>
    <x v="450"/>
    <x v="4"/>
    <x v="0"/>
  </r>
  <r>
    <n v="44337"/>
    <x v="215"/>
    <x v="32"/>
    <x v="0"/>
    <x v="12"/>
    <s v="Belkin 8 Outlet Surge Protector"/>
    <n v="245.88"/>
    <n v="6"/>
    <x v="451"/>
    <x v="4"/>
    <x v="0"/>
  </r>
  <r>
    <n v="44337"/>
    <x v="175"/>
    <x v="0"/>
    <x v="0"/>
    <x v="10"/>
    <s v="Staple envelope"/>
    <n v="56.06"/>
    <n v="6"/>
    <x v="452"/>
    <x v="4"/>
    <x v="0"/>
  </r>
  <r>
    <n v="44337"/>
    <x v="175"/>
    <x v="0"/>
    <x v="1"/>
    <x v="5"/>
    <s v="Global Deluxe Steno Chair"/>
    <n v="107.77"/>
    <n v="2"/>
    <x v="453"/>
    <x v="4"/>
    <x v="0"/>
  </r>
  <r>
    <n v="44337"/>
    <x v="175"/>
    <x v="0"/>
    <x v="0"/>
    <x v="0"/>
    <s v="Adams Telephone Message Books, 5 1/4Â” x 11Â”"/>
    <n v="4.83"/>
    <n v="1"/>
    <x v="454"/>
    <x v="4"/>
    <x v="0"/>
  </r>
  <r>
    <n v="44337"/>
    <x v="175"/>
    <x v="0"/>
    <x v="0"/>
    <x v="3"/>
    <s v="Ibico Plastic Spiral Binding Combs"/>
    <n v="18.239999999999998"/>
    <n v="3"/>
    <x v="455"/>
    <x v="4"/>
    <x v="0"/>
  </r>
  <r>
    <n v="44338"/>
    <x v="216"/>
    <x v="33"/>
    <x v="2"/>
    <x v="6"/>
    <s v="Nortel Networks T7316 E Nt8 B27"/>
    <n v="135.97999999999999"/>
    <n v="2"/>
    <x v="456"/>
    <x v="4"/>
    <x v="0"/>
  </r>
  <r>
    <n v="44338"/>
    <x v="216"/>
    <x v="33"/>
    <x v="2"/>
    <x v="6"/>
    <s v="Plantronics Encore H101 Dual EarpiecesÂ Headset"/>
    <n v="44.95"/>
    <n v="1"/>
    <x v="457"/>
    <x v="4"/>
    <x v="0"/>
  </r>
  <r>
    <n v="44339"/>
    <x v="177"/>
    <x v="2"/>
    <x v="0"/>
    <x v="3"/>
    <s v="Angle-D Ring Binders"/>
    <n v="3.28"/>
    <n v="2"/>
    <x v="458"/>
    <x v="4"/>
    <x v="0"/>
  </r>
  <r>
    <n v="44339"/>
    <x v="177"/>
    <x v="2"/>
    <x v="0"/>
    <x v="4"/>
    <s v="Newell 317"/>
    <n v="21.17"/>
    <n v="9"/>
    <x v="459"/>
    <x v="4"/>
    <x v="0"/>
  </r>
  <r>
    <n v="44339"/>
    <x v="177"/>
    <x v="2"/>
    <x v="2"/>
    <x v="6"/>
    <s v="Motorola L804"/>
    <n v="55.19"/>
    <n v="2"/>
    <x v="265"/>
    <x v="4"/>
    <x v="0"/>
  </r>
  <r>
    <n v="44339"/>
    <x v="15"/>
    <x v="22"/>
    <x v="0"/>
    <x v="0"/>
    <s v="Xerox 1999"/>
    <n v="12.96"/>
    <n v="2"/>
    <x v="113"/>
    <x v="4"/>
    <x v="0"/>
  </r>
  <r>
    <n v="44339"/>
    <x v="217"/>
    <x v="20"/>
    <x v="0"/>
    <x v="3"/>
    <s v="Avery Non-Stick Binders"/>
    <n v="17.96"/>
    <n v="5"/>
    <x v="460"/>
    <x v="4"/>
    <x v="0"/>
  </r>
  <r>
    <n v="44339"/>
    <x v="217"/>
    <x v="20"/>
    <x v="0"/>
    <x v="14"/>
    <s v="Letter Slitter"/>
    <n v="5.04"/>
    <n v="2"/>
    <x v="461"/>
    <x v="4"/>
    <x v="0"/>
  </r>
  <r>
    <n v="44339"/>
    <x v="217"/>
    <x v="20"/>
    <x v="0"/>
    <x v="12"/>
    <s v="1.7 Cubic Foot Compact &quot;Cube&quot; Office Refrigerators"/>
    <n v="208.16"/>
    <n v="1"/>
    <x v="462"/>
    <x v="4"/>
    <x v="0"/>
  </r>
  <r>
    <n v="44340"/>
    <x v="218"/>
    <x v="36"/>
    <x v="0"/>
    <x v="0"/>
    <s v="Xerox 1944"/>
    <n v="116.28"/>
    <n v="3"/>
    <x v="463"/>
    <x v="4"/>
    <x v="0"/>
  </r>
  <r>
    <n v="44341"/>
    <x v="219"/>
    <x v="1"/>
    <x v="0"/>
    <x v="12"/>
    <s v="Harmony Air Purifier"/>
    <n v="75.599999999999994"/>
    <n v="2"/>
    <x v="464"/>
    <x v="4"/>
    <x v="0"/>
  </r>
  <r>
    <n v="44341"/>
    <x v="219"/>
    <x v="1"/>
    <x v="1"/>
    <x v="8"/>
    <s v="Electrix Incandescent Magnifying Lamp, Black"/>
    <n v="29.32"/>
    <n v="2"/>
    <x v="465"/>
    <x v="4"/>
    <x v="0"/>
  </r>
  <r>
    <n v="44341"/>
    <x v="220"/>
    <x v="20"/>
    <x v="0"/>
    <x v="0"/>
    <s v="Strathmore Photo Frame Cards"/>
    <n v="14.62"/>
    <n v="2"/>
    <x v="466"/>
    <x v="4"/>
    <x v="0"/>
  </r>
  <r>
    <n v="44342"/>
    <x v="44"/>
    <x v="3"/>
    <x v="1"/>
    <x v="11"/>
    <s v="Sauder Inglewood Library Bookcases"/>
    <n v="290.67"/>
    <n v="2"/>
    <x v="467"/>
    <x v="4"/>
    <x v="0"/>
  </r>
  <r>
    <n v="44342"/>
    <x v="44"/>
    <x v="3"/>
    <x v="2"/>
    <x v="6"/>
    <s v="VTech DS6151"/>
    <n v="201.58"/>
    <n v="2"/>
    <x v="468"/>
    <x v="4"/>
    <x v="0"/>
  </r>
  <r>
    <n v="44342"/>
    <x v="44"/>
    <x v="3"/>
    <x v="2"/>
    <x v="6"/>
    <s v="netTALK DUO VoIP Telephone Service"/>
    <n v="83.98"/>
    <n v="2"/>
    <x v="469"/>
    <x v="4"/>
    <x v="0"/>
  </r>
  <r>
    <n v="44342"/>
    <x v="221"/>
    <x v="3"/>
    <x v="1"/>
    <x v="5"/>
    <s v="Hon Olson Stacker Stools"/>
    <n v="225.3"/>
    <n v="2"/>
    <x v="470"/>
    <x v="4"/>
    <x v="0"/>
  </r>
  <r>
    <n v="44342"/>
    <x v="222"/>
    <x v="27"/>
    <x v="0"/>
    <x v="0"/>
    <s v="Wirebound Service Call Books, 5 1/2&quot; x 4&quot;"/>
    <n v="48.4"/>
    <n v="5"/>
    <x v="471"/>
    <x v="4"/>
    <x v="0"/>
  </r>
  <r>
    <n v="44342"/>
    <x v="147"/>
    <x v="1"/>
    <x v="0"/>
    <x v="2"/>
    <s v="SAFCO Mobile Desk Side File, Wire Frame"/>
    <n v="102.62"/>
    <n v="3"/>
    <x v="472"/>
    <x v="4"/>
    <x v="0"/>
  </r>
  <r>
    <n v="44342"/>
    <x v="147"/>
    <x v="1"/>
    <x v="1"/>
    <x v="5"/>
    <s v="Global Commerce Series Low-Back Swivel/Tilt Chairs"/>
    <n v="359.77"/>
    <n v="2"/>
    <x v="473"/>
    <x v="4"/>
    <x v="0"/>
  </r>
  <r>
    <n v="44342"/>
    <x v="147"/>
    <x v="1"/>
    <x v="0"/>
    <x v="4"/>
    <s v="DIXON Ticonderoga Erasable Checking Pencils"/>
    <n v="13.39"/>
    <n v="3"/>
    <x v="474"/>
    <x v="4"/>
    <x v="0"/>
  </r>
  <r>
    <n v="44343"/>
    <x v="223"/>
    <x v="3"/>
    <x v="1"/>
    <x v="13"/>
    <s v="KI Conference Tables"/>
    <n v="567.12"/>
    <n v="10"/>
    <x v="475"/>
    <x v="4"/>
    <x v="0"/>
  </r>
  <r>
    <n v="44343"/>
    <x v="223"/>
    <x v="3"/>
    <x v="0"/>
    <x v="2"/>
    <s v="Fellowes Officeware Wire Shelving"/>
    <n v="359.32"/>
    <n v="4"/>
    <x v="476"/>
    <x v="4"/>
    <x v="0"/>
  </r>
  <r>
    <n v="44343"/>
    <x v="164"/>
    <x v="3"/>
    <x v="2"/>
    <x v="6"/>
    <s v="Plantronics HL10 Handset Lifter"/>
    <n v="1113.5"/>
    <n v="12"/>
    <x v="477"/>
    <x v="4"/>
    <x v="0"/>
  </r>
  <r>
    <n v="44343"/>
    <x v="164"/>
    <x v="3"/>
    <x v="2"/>
    <x v="9"/>
    <s v="Logitech Wireless Performance Mouse MX for PC and Mac"/>
    <n v="99.99"/>
    <n v="1"/>
    <x v="478"/>
    <x v="4"/>
    <x v="0"/>
  </r>
  <r>
    <n v="44343"/>
    <x v="224"/>
    <x v="1"/>
    <x v="0"/>
    <x v="3"/>
    <s v="Fellowes Presentation Covers for Comb Binding Machines"/>
    <n v="17.46"/>
    <n v="6"/>
    <x v="479"/>
    <x v="4"/>
    <x v="0"/>
  </r>
  <r>
    <n v="44344"/>
    <x v="225"/>
    <x v="22"/>
    <x v="2"/>
    <x v="6"/>
    <s v="I Need's 3d Hello Kitty Hybrid Silicone Case Cover for HTC One X 4g with 3d Hello Kitty Stylus Pen Green/pink"/>
    <n v="57.41"/>
    <n v="6"/>
    <x v="480"/>
    <x v="4"/>
    <x v="0"/>
  </r>
  <r>
    <n v="44344"/>
    <x v="225"/>
    <x v="22"/>
    <x v="2"/>
    <x v="9"/>
    <s v="ImationÂ 30456 USBÂ Flash DriveÂ 8GB"/>
    <n v="27.6"/>
    <n v="4"/>
    <x v="481"/>
    <x v="4"/>
    <x v="0"/>
  </r>
  <r>
    <n v="44344"/>
    <x v="226"/>
    <x v="22"/>
    <x v="0"/>
    <x v="3"/>
    <s v="Green Canvas Binder for 8-1/2&quot; x 14&quot; Sheets"/>
    <n v="136.96"/>
    <n v="4"/>
    <x v="482"/>
    <x v="4"/>
    <x v="0"/>
  </r>
  <r>
    <n v="44346"/>
    <x v="227"/>
    <x v="6"/>
    <x v="0"/>
    <x v="0"/>
    <s v="Ampad Poly Cover Wirebound Steno Book, 6&quot; x 9&quot; Assorted Colors, Gregg Ruled"/>
    <n v="13.62"/>
    <n v="3"/>
    <x v="483"/>
    <x v="4"/>
    <x v="0"/>
  </r>
  <r>
    <n v="44346"/>
    <x v="228"/>
    <x v="1"/>
    <x v="1"/>
    <x v="13"/>
    <s v="Chromcraft Rectangular Conference Tables"/>
    <n v="355.46"/>
    <n v="3"/>
    <x v="484"/>
    <x v="4"/>
    <x v="0"/>
  </r>
  <r>
    <n v="44346"/>
    <x v="229"/>
    <x v="20"/>
    <x v="0"/>
    <x v="3"/>
    <s v="Wilson Jones Legal Size Ring Binders"/>
    <n v="70.37"/>
    <n v="4"/>
    <x v="485"/>
    <x v="4"/>
    <x v="0"/>
  </r>
  <r>
    <n v="44346"/>
    <x v="230"/>
    <x v="20"/>
    <x v="0"/>
    <x v="3"/>
    <s v="GBC Pre-Punched Binding Paper, Plastic, White, 8-1/2&quot; x 11&quot;"/>
    <n v="25.58"/>
    <n v="2"/>
    <x v="53"/>
    <x v="4"/>
    <x v="0"/>
  </r>
  <r>
    <n v="44346"/>
    <x v="230"/>
    <x v="20"/>
    <x v="2"/>
    <x v="6"/>
    <s v="Geemarc AmpliPOWER60"/>
    <n v="464"/>
    <n v="5"/>
    <x v="486"/>
    <x v="4"/>
    <x v="0"/>
  </r>
  <r>
    <n v="44346"/>
    <x v="230"/>
    <x v="20"/>
    <x v="0"/>
    <x v="12"/>
    <s v="Honeywell Quietcare HEPA Air Cleaner"/>
    <n v="235.95"/>
    <n v="3"/>
    <x v="487"/>
    <x v="4"/>
    <x v="0"/>
  </r>
  <r>
    <n v="44346"/>
    <x v="230"/>
    <x v="20"/>
    <x v="0"/>
    <x v="0"/>
    <s v="Xerox 1948"/>
    <n v="39.96"/>
    <n v="4"/>
    <x v="488"/>
    <x v="4"/>
    <x v="0"/>
  </r>
  <r>
    <n v="44346"/>
    <x v="231"/>
    <x v="1"/>
    <x v="2"/>
    <x v="16"/>
    <s v="Brother DCP1000 Digital 3 in 1 Multifunction Machine"/>
    <n v="719.98"/>
    <n v="3"/>
    <x v="489"/>
    <x v="4"/>
    <x v="0"/>
  </r>
  <r>
    <n v="44347"/>
    <x v="232"/>
    <x v="29"/>
    <x v="2"/>
    <x v="6"/>
    <s v="Samsung Galaxy Note 3"/>
    <n v="659.97"/>
    <n v="3"/>
    <x v="490"/>
    <x v="4"/>
    <x v="0"/>
  </r>
  <r>
    <n v="44347"/>
    <x v="232"/>
    <x v="29"/>
    <x v="2"/>
    <x v="6"/>
    <s v="Grandstream GXP1160 VoIP phone"/>
    <n v="113.73"/>
    <n v="3"/>
    <x v="491"/>
    <x v="4"/>
    <x v="0"/>
  </r>
  <r>
    <n v="44348"/>
    <x v="233"/>
    <x v="28"/>
    <x v="1"/>
    <x v="5"/>
    <s v="Global Deluxe High-Back Manager's Chair"/>
    <n v="2001.86"/>
    <n v="7"/>
    <x v="492"/>
    <x v="5"/>
    <x v="0"/>
  </r>
  <r>
    <n v="44348"/>
    <x v="233"/>
    <x v="28"/>
    <x v="0"/>
    <x v="2"/>
    <s v="Safco Steel Mobile File Cart"/>
    <n v="166.72"/>
    <n v="2"/>
    <x v="493"/>
    <x v="5"/>
    <x v="0"/>
  </r>
  <r>
    <n v="44348"/>
    <x v="233"/>
    <x v="28"/>
    <x v="0"/>
    <x v="0"/>
    <s v="Adams Telephone Message Book w/Frequently-Called Numbers Space, 400 Messages per Book"/>
    <n v="47.88"/>
    <n v="6"/>
    <x v="494"/>
    <x v="5"/>
    <x v="0"/>
  </r>
  <r>
    <n v="44348"/>
    <x v="233"/>
    <x v="28"/>
    <x v="0"/>
    <x v="12"/>
    <s v="Honeywell Enviracaire Portable HEPA Air Cleaner for 17' x 22' Room"/>
    <n v="1503.25"/>
    <n v="5"/>
    <x v="495"/>
    <x v="5"/>
    <x v="0"/>
  </r>
  <r>
    <n v="44348"/>
    <x v="233"/>
    <x v="28"/>
    <x v="0"/>
    <x v="0"/>
    <s v="Xerox 205"/>
    <n v="25.92"/>
    <n v="4"/>
    <x v="496"/>
    <x v="5"/>
    <x v="0"/>
  </r>
  <r>
    <n v="44348"/>
    <x v="234"/>
    <x v="23"/>
    <x v="0"/>
    <x v="3"/>
    <s v="GBC Clear Cover, 8-1/2 x 11, unpunched, 25 covers per pack"/>
    <n v="45.48"/>
    <n v="3"/>
    <x v="497"/>
    <x v="5"/>
    <x v="0"/>
  </r>
  <r>
    <n v="44348"/>
    <x v="234"/>
    <x v="23"/>
    <x v="0"/>
    <x v="4"/>
    <s v="Boston Heavy-Duty Trimline Electric Pencil Sharpeners"/>
    <n v="289.2"/>
    <n v="6"/>
    <x v="498"/>
    <x v="5"/>
    <x v="0"/>
  </r>
  <r>
    <n v="44348"/>
    <x v="235"/>
    <x v="13"/>
    <x v="1"/>
    <x v="8"/>
    <s v="3M Hangers With Command Adhesive"/>
    <n v="22.2"/>
    <n v="6"/>
    <x v="499"/>
    <x v="5"/>
    <x v="0"/>
  </r>
  <r>
    <n v="44348"/>
    <x v="235"/>
    <x v="13"/>
    <x v="2"/>
    <x v="6"/>
    <s v="Adtran 1202752G1"/>
    <n v="881.93"/>
    <n v="7"/>
    <x v="500"/>
    <x v="5"/>
    <x v="0"/>
  </r>
  <r>
    <n v="44348"/>
    <x v="87"/>
    <x v="14"/>
    <x v="0"/>
    <x v="3"/>
    <s v="Wilson Jones Heavy-Duty Casebound Ring Binders with Metal Hinges"/>
    <n v="138.56"/>
    <n v="4"/>
    <x v="501"/>
    <x v="5"/>
    <x v="0"/>
  </r>
  <r>
    <n v="44348"/>
    <x v="87"/>
    <x v="14"/>
    <x v="0"/>
    <x v="12"/>
    <s v="Acco 6 Outlet Guardian Premium Surge Suppressor"/>
    <n v="65.52"/>
    <n v="5"/>
    <x v="502"/>
    <x v="5"/>
    <x v="0"/>
  </r>
  <r>
    <n v="44349"/>
    <x v="79"/>
    <x v="27"/>
    <x v="0"/>
    <x v="3"/>
    <s v="GBC Standard Therm-A-Bind Covers"/>
    <n v="59.81"/>
    <n v="3"/>
    <x v="503"/>
    <x v="5"/>
    <x v="0"/>
  </r>
  <r>
    <n v="44349"/>
    <x v="79"/>
    <x v="27"/>
    <x v="1"/>
    <x v="8"/>
    <s v="Aluminum Document Frame"/>
    <n v="73.319999999999993"/>
    <n v="6"/>
    <x v="504"/>
    <x v="5"/>
    <x v="0"/>
  </r>
  <r>
    <n v="44349"/>
    <x v="149"/>
    <x v="4"/>
    <x v="0"/>
    <x v="4"/>
    <s v="Sanford Colorific Scented Colored Pencils, 12/Pack"/>
    <n v="8.56"/>
    <n v="2"/>
    <x v="505"/>
    <x v="5"/>
    <x v="0"/>
  </r>
  <r>
    <n v="44349"/>
    <x v="149"/>
    <x v="4"/>
    <x v="2"/>
    <x v="6"/>
    <s v="Mophie Juice Pack Helium for iPhone"/>
    <n v="239.97"/>
    <n v="3"/>
    <x v="506"/>
    <x v="5"/>
    <x v="0"/>
  </r>
  <r>
    <n v="44349"/>
    <x v="149"/>
    <x v="4"/>
    <x v="0"/>
    <x v="2"/>
    <s v="Hot File 7-Pocket, Floor Stand"/>
    <n v="356.94"/>
    <n v="2"/>
    <x v="507"/>
    <x v="5"/>
    <x v="0"/>
  </r>
  <r>
    <n v="44350"/>
    <x v="236"/>
    <x v="22"/>
    <x v="1"/>
    <x v="13"/>
    <s v="KI Adjustable-Height Table"/>
    <n v="515.88"/>
    <n v="6"/>
    <x v="508"/>
    <x v="5"/>
    <x v="0"/>
  </r>
  <r>
    <n v="44350"/>
    <x v="237"/>
    <x v="14"/>
    <x v="0"/>
    <x v="10"/>
    <s v="Security-Tint Envelopes"/>
    <n v="15.28"/>
    <n v="2"/>
    <x v="509"/>
    <x v="5"/>
    <x v="0"/>
  </r>
  <r>
    <n v="44350"/>
    <x v="238"/>
    <x v="1"/>
    <x v="0"/>
    <x v="1"/>
    <s v="Avery 513"/>
    <n v="15.94"/>
    <n v="4"/>
    <x v="510"/>
    <x v="5"/>
    <x v="0"/>
  </r>
  <r>
    <n v="44350"/>
    <x v="238"/>
    <x v="1"/>
    <x v="1"/>
    <x v="8"/>
    <s v="Contract Clock, 14&quot;, Brown"/>
    <n v="61.54"/>
    <n v="7"/>
    <x v="511"/>
    <x v="5"/>
    <x v="0"/>
  </r>
  <r>
    <n v="44350"/>
    <x v="238"/>
    <x v="1"/>
    <x v="0"/>
    <x v="2"/>
    <s v="Recycled Steel Personal File for Standard File Folders"/>
    <n v="132.69999999999999"/>
    <n v="3"/>
    <x v="512"/>
    <x v="5"/>
    <x v="0"/>
  </r>
  <r>
    <n v="44351"/>
    <x v="114"/>
    <x v="10"/>
    <x v="0"/>
    <x v="0"/>
    <s v="Easy-staple paper"/>
    <n v="16.22"/>
    <n v="2"/>
    <x v="513"/>
    <x v="5"/>
    <x v="0"/>
  </r>
  <r>
    <n v="44351"/>
    <x v="239"/>
    <x v="20"/>
    <x v="1"/>
    <x v="8"/>
    <s v="Seth Thomas 14&quot; Day/Date Wall Clock"/>
    <n v="56.96"/>
    <n v="2"/>
    <x v="514"/>
    <x v="5"/>
    <x v="0"/>
  </r>
  <r>
    <n v="44351"/>
    <x v="239"/>
    <x v="20"/>
    <x v="0"/>
    <x v="12"/>
    <s v="Commercial WindTunnel Clean Air Upright Vacuum, Replacement Belts, Filtration Bags"/>
    <n v="15.56"/>
    <n v="4"/>
    <x v="51"/>
    <x v="5"/>
    <x v="0"/>
  </r>
  <r>
    <n v="44351"/>
    <x v="239"/>
    <x v="20"/>
    <x v="1"/>
    <x v="11"/>
    <s v="O'Sullivan Living Dimensions 5-Shelf Bookcases"/>
    <n v="353.57"/>
    <n v="2"/>
    <x v="515"/>
    <x v="5"/>
    <x v="0"/>
  </r>
  <r>
    <n v="44351"/>
    <x v="239"/>
    <x v="20"/>
    <x v="1"/>
    <x v="8"/>
    <s v="G.E. Halogen Desk Lamp Bulbs"/>
    <n v="13.96"/>
    <n v="2"/>
    <x v="516"/>
    <x v="5"/>
    <x v="0"/>
  </r>
  <r>
    <n v="44353"/>
    <x v="240"/>
    <x v="20"/>
    <x v="0"/>
    <x v="4"/>
    <s v="Sanford Liquid Accent Highlighters"/>
    <n v="13.36"/>
    <n v="2"/>
    <x v="517"/>
    <x v="5"/>
    <x v="0"/>
  </r>
  <r>
    <n v="44353"/>
    <x v="241"/>
    <x v="20"/>
    <x v="0"/>
    <x v="3"/>
    <s v="Wilson Jones Century Plastic Molded Ring Binders"/>
    <n v="149.54"/>
    <n v="9"/>
    <x v="518"/>
    <x v="5"/>
    <x v="0"/>
  </r>
  <r>
    <n v="44353"/>
    <x v="241"/>
    <x v="20"/>
    <x v="0"/>
    <x v="14"/>
    <s v="Acme Office Executive Series Stainless Steel Trimmers"/>
    <n v="17.14"/>
    <n v="2"/>
    <x v="519"/>
    <x v="5"/>
    <x v="0"/>
  </r>
  <r>
    <n v="44353"/>
    <x v="241"/>
    <x v="20"/>
    <x v="1"/>
    <x v="13"/>
    <s v="Chromcraft Bull-Nose Wood 48&quot; x 96&quot; Rectangular Conference Tables"/>
    <n v="991.76"/>
    <n v="3"/>
    <x v="520"/>
    <x v="5"/>
    <x v="0"/>
  </r>
  <r>
    <n v="44353"/>
    <x v="242"/>
    <x v="1"/>
    <x v="0"/>
    <x v="3"/>
    <s v="Avery Trapezoid Ring Binder, 3&quot; Capacity, Black, 1040 sheets"/>
    <n v="24.59"/>
    <n v="3"/>
    <x v="521"/>
    <x v="5"/>
    <x v="0"/>
  </r>
  <r>
    <n v="44353"/>
    <x v="242"/>
    <x v="1"/>
    <x v="0"/>
    <x v="10"/>
    <s v="#10- 4 1/8&quot; x 9 1/2&quot; Recycled Envelopes"/>
    <n v="13.98"/>
    <n v="2"/>
    <x v="522"/>
    <x v="5"/>
    <x v="0"/>
  </r>
  <r>
    <n v="44353"/>
    <x v="243"/>
    <x v="0"/>
    <x v="0"/>
    <x v="1"/>
    <s v="Round Specialty Laser Printer Labels"/>
    <n v="100.24"/>
    <n v="10"/>
    <x v="523"/>
    <x v="5"/>
    <x v="0"/>
  </r>
  <r>
    <n v="44353"/>
    <x v="149"/>
    <x v="16"/>
    <x v="0"/>
    <x v="3"/>
    <s v="Presstex Flexible Ring Binders"/>
    <n v="1.37"/>
    <n v="1"/>
    <x v="524"/>
    <x v="5"/>
    <x v="0"/>
  </r>
  <r>
    <n v="44353"/>
    <x v="149"/>
    <x v="16"/>
    <x v="0"/>
    <x v="0"/>
    <s v="Xerox 1944"/>
    <n v="62.02"/>
    <n v="2"/>
    <x v="525"/>
    <x v="5"/>
    <x v="0"/>
  </r>
  <r>
    <n v="44354"/>
    <x v="244"/>
    <x v="1"/>
    <x v="0"/>
    <x v="3"/>
    <s v="Wilson Jones Century Plastic Molded Ring Binders"/>
    <n v="12.46"/>
    <n v="3"/>
    <x v="526"/>
    <x v="5"/>
    <x v="0"/>
  </r>
  <r>
    <n v="44354"/>
    <x v="245"/>
    <x v="1"/>
    <x v="1"/>
    <x v="13"/>
    <s v="Bevis Round Conference Table Top, X-Base"/>
    <n v="268.94"/>
    <n v="3"/>
    <x v="527"/>
    <x v="5"/>
    <x v="0"/>
  </r>
  <r>
    <n v="44355"/>
    <x v="246"/>
    <x v="22"/>
    <x v="1"/>
    <x v="5"/>
    <s v="Hon Deluxe Fabric Upholstered Stacking Chairs, Squared Back"/>
    <n v="585.54999999999995"/>
    <n v="3"/>
    <x v="528"/>
    <x v="5"/>
    <x v="0"/>
  </r>
  <r>
    <n v="44355"/>
    <x v="124"/>
    <x v="15"/>
    <x v="1"/>
    <x v="5"/>
    <s v="Situations Contoured Folding Chairs, 4/Set"/>
    <n v="170.35"/>
    <n v="3"/>
    <x v="529"/>
    <x v="5"/>
    <x v="0"/>
  </r>
  <r>
    <n v="44355"/>
    <x v="247"/>
    <x v="20"/>
    <x v="0"/>
    <x v="3"/>
    <s v="Green Canvas Binder for 8-1/2&quot; x 14&quot; Sheets"/>
    <n v="68.48"/>
    <n v="2"/>
    <x v="530"/>
    <x v="5"/>
    <x v="0"/>
  </r>
  <r>
    <n v="44355"/>
    <x v="247"/>
    <x v="20"/>
    <x v="0"/>
    <x v="2"/>
    <s v="Tennsco Snap-Together Open Shelving Units, Starter Sets and Add-On Units"/>
    <n v="1676.88"/>
    <n v="6"/>
    <x v="531"/>
    <x v="5"/>
    <x v="0"/>
  </r>
  <r>
    <n v="44356"/>
    <x v="248"/>
    <x v="3"/>
    <x v="1"/>
    <x v="8"/>
    <s v="Eldon Expressions Wood and Plastic Desk Accessories, Cherry Wood"/>
    <n v="48.86"/>
    <n v="7"/>
    <x v="160"/>
    <x v="5"/>
    <x v="0"/>
  </r>
  <r>
    <n v="44356"/>
    <x v="248"/>
    <x v="3"/>
    <x v="0"/>
    <x v="4"/>
    <s v="Newell 322"/>
    <n v="7.28"/>
    <n v="4"/>
    <x v="532"/>
    <x v="5"/>
    <x v="0"/>
  </r>
  <r>
    <n v="44356"/>
    <x v="248"/>
    <x v="3"/>
    <x v="2"/>
    <x v="6"/>
    <s v="Mitel 5320 IP Phone VoIP phone"/>
    <n v="907.15"/>
    <n v="6"/>
    <x v="533"/>
    <x v="5"/>
    <x v="0"/>
  </r>
  <r>
    <n v="44356"/>
    <x v="248"/>
    <x v="3"/>
    <x v="0"/>
    <x v="3"/>
    <s v="DXL Angle-View Binders with Locking Rings by Samsill"/>
    <n v="18.5"/>
    <n v="3"/>
    <x v="436"/>
    <x v="5"/>
    <x v="0"/>
  </r>
  <r>
    <n v="44356"/>
    <x v="248"/>
    <x v="3"/>
    <x v="0"/>
    <x v="12"/>
    <s v="Belkin F5C206VTEL 6 Outlet Surge"/>
    <n v="114.9"/>
    <n v="5"/>
    <x v="534"/>
    <x v="5"/>
    <x v="0"/>
  </r>
  <r>
    <n v="44356"/>
    <x v="248"/>
    <x v="3"/>
    <x v="1"/>
    <x v="13"/>
    <s v="Chromcraft Rectangular Conference Tables"/>
    <n v="1706.18"/>
    <n v="9"/>
    <x v="535"/>
    <x v="5"/>
    <x v="0"/>
  </r>
  <r>
    <n v="44356"/>
    <x v="248"/>
    <x v="3"/>
    <x v="2"/>
    <x v="6"/>
    <s v="Konftel 250 ConferenceÂ phoneÂ - Charcoal black"/>
    <n v="911.42"/>
    <n v="4"/>
    <x v="536"/>
    <x v="5"/>
    <x v="0"/>
  </r>
  <r>
    <n v="44356"/>
    <x v="249"/>
    <x v="0"/>
    <x v="2"/>
    <x v="6"/>
    <s v="Square Credit Card Reader"/>
    <n v="7.99"/>
    <n v="1"/>
    <x v="537"/>
    <x v="5"/>
    <x v="0"/>
  </r>
  <r>
    <n v="44356"/>
    <x v="249"/>
    <x v="0"/>
    <x v="2"/>
    <x v="9"/>
    <s v="Logitech M510 Wireless Mouse"/>
    <n v="63.98"/>
    <n v="2"/>
    <x v="538"/>
    <x v="5"/>
    <x v="0"/>
  </r>
  <r>
    <n v="44356"/>
    <x v="249"/>
    <x v="0"/>
    <x v="0"/>
    <x v="4"/>
    <s v="Boston 1645 Deluxe Heavier-Duty Electric Pencil Sharpener"/>
    <n v="70.37"/>
    <n v="2"/>
    <x v="539"/>
    <x v="5"/>
    <x v="0"/>
  </r>
  <r>
    <n v="44356"/>
    <x v="250"/>
    <x v="3"/>
    <x v="0"/>
    <x v="14"/>
    <s v="Staple remover"/>
    <n v="7.36"/>
    <n v="2"/>
    <x v="461"/>
    <x v="5"/>
    <x v="0"/>
  </r>
  <r>
    <n v="44356"/>
    <x v="250"/>
    <x v="3"/>
    <x v="0"/>
    <x v="4"/>
    <s v="Deluxe Chalkboard Eraser Cleaner"/>
    <n v="23.1"/>
    <n v="2"/>
    <x v="540"/>
    <x v="5"/>
    <x v="0"/>
  </r>
  <r>
    <n v="44356"/>
    <x v="251"/>
    <x v="6"/>
    <x v="1"/>
    <x v="13"/>
    <s v="Bevis 44 x 96 Conference Tables"/>
    <n v="1441.3"/>
    <n v="7"/>
    <x v="541"/>
    <x v="5"/>
    <x v="0"/>
  </r>
  <r>
    <n v="44356"/>
    <x v="93"/>
    <x v="17"/>
    <x v="0"/>
    <x v="4"/>
    <s v="DIXON Oriole Pencils"/>
    <n v="18.059999999999999"/>
    <n v="7"/>
    <x v="542"/>
    <x v="5"/>
    <x v="0"/>
  </r>
  <r>
    <n v="44356"/>
    <x v="93"/>
    <x v="17"/>
    <x v="0"/>
    <x v="0"/>
    <s v="Xerox 1909"/>
    <n v="79.14"/>
    <n v="3"/>
    <x v="543"/>
    <x v="5"/>
    <x v="0"/>
  </r>
  <r>
    <n v="44356"/>
    <x v="93"/>
    <x v="17"/>
    <x v="1"/>
    <x v="8"/>
    <s v="Executive Impressions 13-1/2&quot; Indoor/Outdoor Wall Clock"/>
    <n v="37.4"/>
    <n v="2"/>
    <x v="544"/>
    <x v="5"/>
    <x v="0"/>
  </r>
  <r>
    <n v="44357"/>
    <x v="252"/>
    <x v="14"/>
    <x v="0"/>
    <x v="1"/>
    <s v="Dot Matrix Printer Tape Reel Labels, White, 5000/Box"/>
    <n v="491.55"/>
    <n v="5"/>
    <x v="545"/>
    <x v="5"/>
    <x v="0"/>
  </r>
  <r>
    <n v="44360"/>
    <x v="76"/>
    <x v="3"/>
    <x v="0"/>
    <x v="4"/>
    <s v="Staples in misc. colors"/>
    <n v="14.52"/>
    <n v="3"/>
    <x v="546"/>
    <x v="5"/>
    <x v="0"/>
  </r>
  <r>
    <n v="44361"/>
    <x v="253"/>
    <x v="14"/>
    <x v="1"/>
    <x v="11"/>
    <s v="Hon Metal Bookcases, Gray"/>
    <n v="212.94"/>
    <n v="3"/>
    <x v="547"/>
    <x v="5"/>
    <x v="0"/>
  </r>
  <r>
    <n v="44362"/>
    <x v="254"/>
    <x v="0"/>
    <x v="1"/>
    <x v="13"/>
    <s v="Lesro Sheffield Collection Coffee Table, End Table, Center Table, Corner Table"/>
    <n v="99.92"/>
    <n v="2"/>
    <x v="548"/>
    <x v="5"/>
    <x v="0"/>
  </r>
  <r>
    <n v="44362"/>
    <x v="254"/>
    <x v="0"/>
    <x v="1"/>
    <x v="5"/>
    <s v="Global Commerce Series High-Back Swivel/Tilt Chairs"/>
    <n v="797.94"/>
    <n v="4"/>
    <x v="549"/>
    <x v="5"/>
    <x v="0"/>
  </r>
  <r>
    <n v="44362"/>
    <x v="254"/>
    <x v="0"/>
    <x v="0"/>
    <x v="3"/>
    <s v="Avery Premier Heavy-Duty Binder with Round Locking Rings"/>
    <n v="8.57"/>
    <n v="3"/>
    <x v="550"/>
    <x v="5"/>
    <x v="0"/>
  </r>
  <r>
    <n v="44362"/>
    <x v="255"/>
    <x v="0"/>
    <x v="0"/>
    <x v="0"/>
    <s v="Xerox 1902"/>
    <n v="36.54"/>
    <n v="2"/>
    <x v="551"/>
    <x v="5"/>
    <x v="0"/>
  </r>
  <r>
    <n v="44363"/>
    <x v="256"/>
    <x v="18"/>
    <x v="1"/>
    <x v="5"/>
    <s v="Global Geo Office Task Chair, Gray"/>
    <n v="647.84"/>
    <n v="8"/>
    <x v="552"/>
    <x v="5"/>
    <x v="0"/>
  </r>
  <r>
    <n v="44363"/>
    <x v="74"/>
    <x v="20"/>
    <x v="0"/>
    <x v="10"/>
    <s v="Staple envelope"/>
    <n v="41.4"/>
    <n v="5"/>
    <x v="553"/>
    <x v="5"/>
    <x v="0"/>
  </r>
  <r>
    <n v="44363"/>
    <x v="74"/>
    <x v="20"/>
    <x v="0"/>
    <x v="4"/>
    <s v="Boston 16750 Black Compact Battery Pencil Sharpener"/>
    <n v="35"/>
    <n v="4"/>
    <x v="554"/>
    <x v="5"/>
    <x v="0"/>
  </r>
  <r>
    <n v="44363"/>
    <x v="74"/>
    <x v="20"/>
    <x v="0"/>
    <x v="3"/>
    <s v="Ibico Standard Transparent Covers"/>
    <n v="39.549999999999997"/>
    <n v="3"/>
    <x v="555"/>
    <x v="5"/>
    <x v="0"/>
  </r>
  <r>
    <n v="44364"/>
    <x v="257"/>
    <x v="7"/>
    <x v="2"/>
    <x v="15"/>
    <s v="Texas Instruments TI-34 Scientific Calculator"/>
    <n v="65.97"/>
    <n v="3"/>
    <x v="556"/>
    <x v="5"/>
    <x v="0"/>
  </r>
  <r>
    <n v="44364"/>
    <x v="258"/>
    <x v="22"/>
    <x v="1"/>
    <x v="8"/>
    <s v="Eldon Wave Desk Accessories"/>
    <n v="6.24"/>
    <n v="3"/>
    <x v="557"/>
    <x v="5"/>
    <x v="0"/>
  </r>
  <r>
    <n v="44364"/>
    <x v="258"/>
    <x v="22"/>
    <x v="0"/>
    <x v="7"/>
    <s v="OIC Binder Clips"/>
    <n v="17.899999999999999"/>
    <n v="5"/>
    <x v="53"/>
    <x v="5"/>
    <x v="0"/>
  </r>
  <r>
    <n v="44364"/>
    <x v="258"/>
    <x v="22"/>
    <x v="0"/>
    <x v="3"/>
    <s v="GBC DocuBind P400 Electric Binding System"/>
    <n v="3266.38"/>
    <n v="3"/>
    <x v="558"/>
    <x v="5"/>
    <x v="0"/>
  </r>
  <r>
    <n v="44364"/>
    <x v="259"/>
    <x v="1"/>
    <x v="0"/>
    <x v="0"/>
    <s v="Xerox 1892"/>
    <n v="62.02"/>
    <n v="2"/>
    <x v="525"/>
    <x v="5"/>
    <x v="0"/>
  </r>
  <r>
    <n v="44365"/>
    <x v="260"/>
    <x v="3"/>
    <x v="2"/>
    <x v="6"/>
    <s v="Plantronics CordlessÂ Phone HeadsetÂ with In-line Volume - M214C"/>
    <n v="139.80000000000001"/>
    <n v="5"/>
    <x v="559"/>
    <x v="5"/>
    <x v="0"/>
  </r>
  <r>
    <n v="44367"/>
    <x v="66"/>
    <x v="0"/>
    <x v="2"/>
    <x v="6"/>
    <s v="HTC One Mini"/>
    <n v="201.58"/>
    <n v="2"/>
    <x v="468"/>
    <x v="5"/>
    <x v="0"/>
  </r>
  <r>
    <n v="44367"/>
    <x v="66"/>
    <x v="0"/>
    <x v="0"/>
    <x v="3"/>
    <s v="Storex DuraTech Recycled Plastic Frosted Binders"/>
    <n v="3.39"/>
    <n v="4"/>
    <x v="560"/>
    <x v="5"/>
    <x v="0"/>
  </r>
  <r>
    <n v="44367"/>
    <x v="66"/>
    <x v="0"/>
    <x v="1"/>
    <x v="11"/>
    <s v="Hon Metal Bookcases, Black"/>
    <n v="193.07"/>
    <n v="4"/>
    <x v="561"/>
    <x v="5"/>
    <x v="0"/>
  </r>
  <r>
    <n v="44367"/>
    <x v="66"/>
    <x v="0"/>
    <x v="0"/>
    <x v="0"/>
    <s v="Xerox 2"/>
    <n v="15.55"/>
    <n v="3"/>
    <x v="192"/>
    <x v="5"/>
    <x v="0"/>
  </r>
  <r>
    <n v="44367"/>
    <x v="66"/>
    <x v="0"/>
    <x v="0"/>
    <x v="0"/>
    <s v="Array Parchment Paper, Assorted Colors"/>
    <n v="11.65"/>
    <n v="2"/>
    <x v="562"/>
    <x v="5"/>
    <x v="0"/>
  </r>
  <r>
    <n v="44367"/>
    <x v="66"/>
    <x v="0"/>
    <x v="2"/>
    <x v="15"/>
    <s v="Okidata C331dn Printer"/>
    <n v="418.8"/>
    <n v="2"/>
    <x v="563"/>
    <x v="5"/>
    <x v="0"/>
  </r>
  <r>
    <n v="44367"/>
    <x v="66"/>
    <x v="0"/>
    <x v="0"/>
    <x v="2"/>
    <s v="Safco Industrial Wire Shelving System"/>
    <n v="509.49"/>
    <n v="7"/>
    <x v="564"/>
    <x v="5"/>
    <x v="0"/>
  </r>
  <r>
    <n v="44367"/>
    <x v="261"/>
    <x v="39"/>
    <x v="0"/>
    <x v="12"/>
    <s v="Honeywell Quietcare HEPA Air Cleaner"/>
    <n v="471.9"/>
    <n v="6"/>
    <x v="565"/>
    <x v="5"/>
    <x v="0"/>
  </r>
  <r>
    <n v="44367"/>
    <x v="261"/>
    <x v="39"/>
    <x v="0"/>
    <x v="4"/>
    <s v="Nontoxic Chalk"/>
    <n v="3.52"/>
    <n v="2"/>
    <x v="566"/>
    <x v="5"/>
    <x v="0"/>
  </r>
  <r>
    <n v="44368"/>
    <x v="201"/>
    <x v="6"/>
    <x v="1"/>
    <x v="8"/>
    <s v="Luxo Professional Magnifying Clamp-On Fluorescent Lamps"/>
    <n v="104.01"/>
    <n v="1"/>
    <x v="382"/>
    <x v="5"/>
    <x v="0"/>
  </r>
  <r>
    <n v="44368"/>
    <x v="201"/>
    <x v="6"/>
    <x v="2"/>
    <x v="6"/>
    <s v="Konftel 250 ConferenceÂ phoneÂ - Charcoal black"/>
    <n v="284.82"/>
    <n v="1"/>
    <x v="567"/>
    <x v="5"/>
    <x v="0"/>
  </r>
  <r>
    <n v="44368"/>
    <x v="201"/>
    <x v="6"/>
    <x v="0"/>
    <x v="2"/>
    <s v="Recycled Eldon Regeneration Jumbo File"/>
    <n v="36.840000000000003"/>
    <n v="3"/>
    <x v="568"/>
    <x v="5"/>
    <x v="0"/>
  </r>
  <r>
    <n v="44368"/>
    <x v="56"/>
    <x v="23"/>
    <x v="2"/>
    <x v="6"/>
    <s v="Wireless Extenders zBoost YX545 SOHO Signal Booster"/>
    <n v="1322.93"/>
    <n v="7"/>
    <x v="569"/>
    <x v="5"/>
    <x v="0"/>
  </r>
  <r>
    <n v="44368"/>
    <x v="56"/>
    <x v="23"/>
    <x v="0"/>
    <x v="4"/>
    <s v="OIC #2 Pencils, Medium Soft"/>
    <n v="3.76"/>
    <n v="2"/>
    <x v="570"/>
    <x v="5"/>
    <x v="0"/>
  </r>
  <r>
    <n v="44368"/>
    <x v="195"/>
    <x v="37"/>
    <x v="0"/>
    <x v="4"/>
    <s v="Newell 341"/>
    <n v="21.4"/>
    <n v="5"/>
    <x v="363"/>
    <x v="5"/>
    <x v="0"/>
  </r>
  <r>
    <n v="44368"/>
    <x v="149"/>
    <x v="26"/>
    <x v="0"/>
    <x v="3"/>
    <s v="Wilson Jones 1&quot; Hanging DublLock Ring Binders"/>
    <n v="11.09"/>
    <n v="7"/>
    <x v="571"/>
    <x v="5"/>
    <x v="0"/>
  </r>
  <r>
    <n v="44368"/>
    <x v="149"/>
    <x v="26"/>
    <x v="0"/>
    <x v="3"/>
    <s v="Avery Trapezoid Extra Heavy Duty 4&quot; Binders"/>
    <n v="25.16"/>
    <n v="2"/>
    <x v="572"/>
    <x v="5"/>
    <x v="0"/>
  </r>
  <r>
    <n v="44368"/>
    <x v="262"/>
    <x v="2"/>
    <x v="0"/>
    <x v="10"/>
    <s v="Staple envelope"/>
    <n v="24.9"/>
    <n v="4"/>
    <x v="573"/>
    <x v="5"/>
    <x v="0"/>
  </r>
  <r>
    <n v="44368"/>
    <x v="262"/>
    <x v="2"/>
    <x v="1"/>
    <x v="8"/>
    <s v="Stacking Trays by OIC"/>
    <n v="3.98"/>
    <n v="1"/>
    <x v="574"/>
    <x v="5"/>
    <x v="0"/>
  </r>
  <r>
    <n v="44368"/>
    <x v="262"/>
    <x v="2"/>
    <x v="2"/>
    <x v="9"/>
    <s v="Logitech 910-002974 M325 Wireless Mouse for Web Scrolling"/>
    <n v="95.97"/>
    <n v="4"/>
    <x v="575"/>
    <x v="5"/>
    <x v="0"/>
  </r>
  <r>
    <n v="44368"/>
    <x v="262"/>
    <x v="2"/>
    <x v="2"/>
    <x v="15"/>
    <s v="Epson Perfection V600 Photo Scanner"/>
    <n v="206.99"/>
    <n v="3"/>
    <x v="576"/>
    <x v="5"/>
    <x v="0"/>
  </r>
  <r>
    <n v="44368"/>
    <x v="262"/>
    <x v="2"/>
    <x v="0"/>
    <x v="12"/>
    <s v="Fellowes Advanced 8 Outlet Surge Suppressor with Phone/Fax Protection"/>
    <n v="44.42"/>
    <n v="2"/>
    <x v="577"/>
    <x v="5"/>
    <x v="0"/>
  </r>
  <r>
    <n v="44368"/>
    <x v="262"/>
    <x v="2"/>
    <x v="0"/>
    <x v="3"/>
    <s v="GBC Prepunched Paper, 19-Hole, for Binding Systems, 24-lb"/>
    <n v="9.01"/>
    <n v="2"/>
    <x v="578"/>
    <x v="5"/>
    <x v="0"/>
  </r>
  <r>
    <n v="44368"/>
    <x v="263"/>
    <x v="20"/>
    <x v="0"/>
    <x v="0"/>
    <s v="Message Book, Phone, Wirebound Standard Line Memo, 2 3/4&quot; X 5&quot;"/>
    <n v="19.649999999999999"/>
    <n v="3"/>
    <x v="579"/>
    <x v="5"/>
    <x v="0"/>
  </r>
  <r>
    <n v="44368"/>
    <x v="263"/>
    <x v="20"/>
    <x v="2"/>
    <x v="6"/>
    <s v="GE 2-Jack Phone Line Splitter"/>
    <n v="617.97"/>
    <n v="3"/>
    <x v="580"/>
    <x v="5"/>
    <x v="0"/>
  </r>
  <r>
    <n v="44368"/>
    <x v="263"/>
    <x v="20"/>
    <x v="0"/>
    <x v="12"/>
    <s v="Holmes Cool Mist Humidifier for the Whole House with 8-Gallon Output per Day, Extended Life Filter"/>
    <n v="59.7"/>
    <n v="3"/>
    <x v="581"/>
    <x v="5"/>
    <x v="0"/>
  </r>
  <r>
    <n v="44368"/>
    <x v="229"/>
    <x v="20"/>
    <x v="2"/>
    <x v="6"/>
    <s v="Polycom SoundStation2 EX ConferenceÂ phone"/>
    <n v="1214.8499999999999"/>
    <n v="3"/>
    <x v="582"/>
    <x v="5"/>
    <x v="0"/>
  </r>
  <r>
    <n v="44369"/>
    <x v="264"/>
    <x v="26"/>
    <x v="2"/>
    <x v="9"/>
    <s v="KeyTronicÂ 6101 Series -Â KeyboardÂ - Black"/>
    <n v="196.75"/>
    <n v="6"/>
    <x v="583"/>
    <x v="5"/>
    <x v="0"/>
  </r>
  <r>
    <n v="44369"/>
    <x v="265"/>
    <x v="28"/>
    <x v="0"/>
    <x v="2"/>
    <s v="Office Impressions Heavy Duty Welded Shelving &amp; Multimedia Storage Drawers"/>
    <n v="501.81"/>
    <n v="3"/>
    <x v="62"/>
    <x v="5"/>
    <x v="0"/>
  </r>
  <r>
    <n v="44369"/>
    <x v="265"/>
    <x v="28"/>
    <x v="0"/>
    <x v="2"/>
    <s v="Fellowes Bankers Box Recycled Super Stor/Drawer"/>
    <n v="161.94"/>
    <n v="3"/>
    <x v="584"/>
    <x v="5"/>
    <x v="0"/>
  </r>
  <r>
    <n v="44369"/>
    <x v="266"/>
    <x v="2"/>
    <x v="1"/>
    <x v="5"/>
    <s v="Padded Folding Chairs, Black, 4/Carton"/>
    <n v="170.06"/>
    <n v="3"/>
    <x v="585"/>
    <x v="5"/>
    <x v="0"/>
  </r>
  <r>
    <n v="44369"/>
    <x v="266"/>
    <x v="2"/>
    <x v="2"/>
    <x v="6"/>
    <s v="Panasonic Kx-TS550"/>
    <n v="82.78"/>
    <n v="3"/>
    <x v="586"/>
    <x v="5"/>
    <x v="0"/>
  </r>
  <r>
    <n v="44369"/>
    <x v="266"/>
    <x v="2"/>
    <x v="1"/>
    <x v="5"/>
    <s v="Hon Deluxe Fabric Upholstered Stacking Chairs, Rounded Back"/>
    <n v="853.93"/>
    <n v="5"/>
    <x v="62"/>
    <x v="5"/>
    <x v="0"/>
  </r>
  <r>
    <n v="44369"/>
    <x v="263"/>
    <x v="12"/>
    <x v="0"/>
    <x v="3"/>
    <s v="SpineVue Locking Slant-D Ring Binders by Cardinal"/>
    <n v="8.23"/>
    <n v="3"/>
    <x v="587"/>
    <x v="5"/>
    <x v="0"/>
  </r>
  <r>
    <n v="44370"/>
    <x v="267"/>
    <x v="2"/>
    <x v="2"/>
    <x v="9"/>
    <s v="Sony 64GB Class 10 Micro SDHC R40 Memory Card"/>
    <n v="86.38"/>
    <n v="3"/>
    <x v="588"/>
    <x v="5"/>
    <x v="0"/>
  </r>
  <r>
    <n v="44370"/>
    <x v="268"/>
    <x v="25"/>
    <x v="0"/>
    <x v="4"/>
    <s v="Prang Drawing Pencil Set"/>
    <n v="20.02"/>
    <n v="9"/>
    <x v="589"/>
    <x v="5"/>
    <x v="0"/>
  </r>
  <r>
    <n v="44370"/>
    <x v="268"/>
    <x v="25"/>
    <x v="0"/>
    <x v="14"/>
    <s v="Acme Kleen Earth Office Shears"/>
    <n v="3.1"/>
    <n v="1"/>
    <x v="590"/>
    <x v="5"/>
    <x v="0"/>
  </r>
  <r>
    <n v="44371"/>
    <x v="269"/>
    <x v="12"/>
    <x v="1"/>
    <x v="8"/>
    <s v="Acrylic Self-Standing Desk Frames"/>
    <n v="4.2699999999999996"/>
    <n v="2"/>
    <x v="591"/>
    <x v="5"/>
    <x v="0"/>
  </r>
  <r>
    <n v="44372"/>
    <x v="270"/>
    <x v="3"/>
    <x v="1"/>
    <x v="13"/>
    <s v="Hon 4060 Series Tables"/>
    <n v="447.84"/>
    <n v="5"/>
    <x v="592"/>
    <x v="5"/>
    <x v="0"/>
  </r>
  <r>
    <n v="44372"/>
    <x v="271"/>
    <x v="11"/>
    <x v="2"/>
    <x v="6"/>
    <s v="Plantronics 81402"/>
    <n v="263.95999999999998"/>
    <n v="5"/>
    <x v="593"/>
    <x v="5"/>
    <x v="0"/>
  </r>
  <r>
    <n v="44372"/>
    <x v="271"/>
    <x v="11"/>
    <x v="0"/>
    <x v="4"/>
    <s v="Avery Hi-Liter EverBold Pen Style Fluorescent Highlighters, 4/Pack"/>
    <n v="71.63"/>
    <n v="11"/>
    <x v="594"/>
    <x v="5"/>
    <x v="0"/>
  </r>
  <r>
    <n v="44372"/>
    <x v="271"/>
    <x v="11"/>
    <x v="0"/>
    <x v="4"/>
    <s v="Hunt BOSTON Vista Battery-Operated Pencil Sharpener, Black"/>
    <n v="9.33"/>
    <n v="1"/>
    <x v="595"/>
    <x v="5"/>
    <x v="0"/>
  </r>
  <r>
    <n v="44374"/>
    <x v="272"/>
    <x v="29"/>
    <x v="0"/>
    <x v="2"/>
    <s v="SAFCO Commercial Wire Shelving, 72h"/>
    <n v="306.2"/>
    <n v="5"/>
    <x v="62"/>
    <x v="5"/>
    <x v="0"/>
  </r>
  <r>
    <n v="44374"/>
    <x v="272"/>
    <x v="29"/>
    <x v="1"/>
    <x v="13"/>
    <s v="KI Adjustable-Height Table"/>
    <n v="85.98"/>
    <n v="1"/>
    <x v="596"/>
    <x v="5"/>
    <x v="0"/>
  </r>
  <r>
    <n v="44374"/>
    <x v="272"/>
    <x v="29"/>
    <x v="2"/>
    <x v="9"/>
    <s v="Sony Micro Vault Click 16 GB USB 2.0 Flash Drive"/>
    <n v="223.96"/>
    <n v="4"/>
    <x v="597"/>
    <x v="5"/>
    <x v="0"/>
  </r>
  <r>
    <n v="44375"/>
    <x v="273"/>
    <x v="2"/>
    <x v="0"/>
    <x v="0"/>
    <s v="Xerox 1995"/>
    <n v="41.47"/>
    <n v="8"/>
    <x v="598"/>
    <x v="5"/>
    <x v="0"/>
  </r>
  <r>
    <n v="44375"/>
    <x v="273"/>
    <x v="2"/>
    <x v="0"/>
    <x v="3"/>
    <s v="Self-Adhesive Ring Binder Labels"/>
    <n v="3.17"/>
    <n v="3"/>
    <x v="599"/>
    <x v="5"/>
    <x v="0"/>
  </r>
  <r>
    <n v="44375"/>
    <x v="273"/>
    <x v="2"/>
    <x v="1"/>
    <x v="5"/>
    <s v="Global Leather Executive Chair"/>
    <n v="1228.47"/>
    <n v="5"/>
    <x v="62"/>
    <x v="5"/>
    <x v="0"/>
  </r>
  <r>
    <n v="44375"/>
    <x v="273"/>
    <x v="2"/>
    <x v="0"/>
    <x v="3"/>
    <s v="GBC Recycled Grain Textured Covers"/>
    <n v="31.09"/>
    <n v="3"/>
    <x v="600"/>
    <x v="5"/>
    <x v="0"/>
  </r>
  <r>
    <n v="44375"/>
    <x v="273"/>
    <x v="2"/>
    <x v="0"/>
    <x v="0"/>
    <s v="Xerox 1941"/>
    <n v="335.52"/>
    <n v="4"/>
    <x v="601"/>
    <x v="5"/>
    <x v="0"/>
  </r>
  <r>
    <n v="44375"/>
    <x v="274"/>
    <x v="14"/>
    <x v="0"/>
    <x v="7"/>
    <s v="Staples"/>
    <n v="6.08"/>
    <n v="1"/>
    <x v="602"/>
    <x v="5"/>
    <x v="0"/>
  </r>
  <r>
    <n v="44376"/>
    <x v="275"/>
    <x v="10"/>
    <x v="0"/>
    <x v="4"/>
    <s v="Dixon My First Ticonderoga Pencil, #2"/>
    <n v="32.76"/>
    <n v="7"/>
    <x v="603"/>
    <x v="5"/>
    <x v="0"/>
  </r>
  <r>
    <n v="44376"/>
    <x v="232"/>
    <x v="20"/>
    <x v="0"/>
    <x v="3"/>
    <s v="Wilson Jones Clip &amp; Carry Folder Binder Tool for Ring Binders, Clear"/>
    <n v="13.92"/>
    <n v="3"/>
    <x v="604"/>
    <x v="5"/>
    <x v="0"/>
  </r>
  <r>
    <n v="44377"/>
    <x v="276"/>
    <x v="20"/>
    <x v="0"/>
    <x v="3"/>
    <s v="GBC Recycled Regency Composition Covers"/>
    <n v="334.77"/>
    <n v="7"/>
    <x v="605"/>
    <x v="5"/>
    <x v="0"/>
  </r>
  <r>
    <n v="44377"/>
    <x v="277"/>
    <x v="1"/>
    <x v="0"/>
    <x v="4"/>
    <s v="BIC Brite Liner Grip Highlighters"/>
    <n v="5.25"/>
    <n v="4"/>
    <x v="606"/>
    <x v="5"/>
    <x v="0"/>
  </r>
  <r>
    <n v="44377"/>
    <x v="278"/>
    <x v="3"/>
    <x v="0"/>
    <x v="4"/>
    <s v="BIC Brite Liner Highlighters, Chisel Tip"/>
    <n v="32.4"/>
    <n v="5"/>
    <x v="607"/>
    <x v="5"/>
    <x v="0"/>
  </r>
  <r>
    <n v="44377"/>
    <x v="279"/>
    <x v="0"/>
    <x v="0"/>
    <x v="0"/>
    <s v="Xerox 225"/>
    <n v="25.92"/>
    <n v="5"/>
    <x v="278"/>
    <x v="5"/>
    <x v="0"/>
  </r>
  <r>
    <n v="44377"/>
    <x v="279"/>
    <x v="0"/>
    <x v="0"/>
    <x v="7"/>
    <s v="Staples"/>
    <n v="21.31"/>
    <n v="6"/>
    <x v="476"/>
    <x v="5"/>
    <x v="0"/>
  </r>
  <r>
    <n v="44377"/>
    <x v="178"/>
    <x v="20"/>
    <x v="0"/>
    <x v="3"/>
    <s v="Cardinal Poly Pocket Divider Pockets for Ring Binders"/>
    <n v="2.69"/>
    <n v="1"/>
    <x v="243"/>
    <x v="5"/>
    <x v="0"/>
  </r>
  <r>
    <n v="44377"/>
    <x v="178"/>
    <x v="20"/>
    <x v="0"/>
    <x v="4"/>
    <s v="Sanford Uni-Blazer View Highlighters, Chisel Tip, Yellow"/>
    <n v="6.6"/>
    <n v="3"/>
    <x v="608"/>
    <x v="5"/>
    <x v="0"/>
  </r>
  <r>
    <n v="44377"/>
    <x v="280"/>
    <x v="25"/>
    <x v="0"/>
    <x v="0"/>
    <s v="Xerox 1913"/>
    <n v="310.69"/>
    <n v="7"/>
    <x v="609"/>
    <x v="5"/>
    <x v="0"/>
  </r>
  <r>
    <n v="44378"/>
    <x v="112"/>
    <x v="22"/>
    <x v="0"/>
    <x v="3"/>
    <s v="Cardinal Holdit Business Card Pockets"/>
    <n v="19.920000000000002"/>
    <n v="5"/>
    <x v="610"/>
    <x v="6"/>
    <x v="0"/>
  </r>
  <r>
    <n v="44378"/>
    <x v="230"/>
    <x v="16"/>
    <x v="2"/>
    <x v="6"/>
    <s v="Wilson SignalBoost 841262 DB PRO Amplifier Kit"/>
    <n v="575.91999999999996"/>
    <n v="2"/>
    <x v="611"/>
    <x v="6"/>
    <x v="0"/>
  </r>
  <r>
    <n v="44378"/>
    <x v="230"/>
    <x v="16"/>
    <x v="0"/>
    <x v="3"/>
    <s v="Avery Durable Binders"/>
    <n v="5.18"/>
    <n v="6"/>
    <x v="612"/>
    <x v="6"/>
    <x v="0"/>
  </r>
  <r>
    <n v="44379"/>
    <x v="281"/>
    <x v="23"/>
    <x v="2"/>
    <x v="6"/>
    <s v="Logitech B530 USBÂ HeadsetÂ -Â headsetÂ - Full size, Binaural"/>
    <n v="73.98"/>
    <n v="2"/>
    <x v="613"/>
    <x v="6"/>
    <x v="0"/>
  </r>
  <r>
    <n v="44379"/>
    <x v="281"/>
    <x v="23"/>
    <x v="0"/>
    <x v="4"/>
    <s v="DIXON Ticonderoga Erasable Checking Pencils"/>
    <n v="5.58"/>
    <n v="1"/>
    <x v="614"/>
    <x v="6"/>
    <x v="0"/>
  </r>
  <r>
    <n v="44381"/>
    <x v="124"/>
    <x v="26"/>
    <x v="0"/>
    <x v="0"/>
    <s v="Xerox 194"/>
    <n v="177.54"/>
    <n v="4"/>
    <x v="615"/>
    <x v="6"/>
    <x v="0"/>
  </r>
  <r>
    <n v="44381"/>
    <x v="124"/>
    <x v="26"/>
    <x v="0"/>
    <x v="12"/>
    <s v="Fellowes Mighty 8 Compact Surge Protector"/>
    <n v="32.43"/>
    <n v="2"/>
    <x v="167"/>
    <x v="6"/>
    <x v="0"/>
  </r>
  <r>
    <n v="44381"/>
    <x v="282"/>
    <x v="6"/>
    <x v="0"/>
    <x v="0"/>
    <s v="Southworth Structures Collection"/>
    <n v="21.84"/>
    <n v="3"/>
    <x v="616"/>
    <x v="6"/>
    <x v="0"/>
  </r>
  <r>
    <n v="44381"/>
    <x v="282"/>
    <x v="6"/>
    <x v="0"/>
    <x v="3"/>
    <s v="Zipper Ring Binder Pockets"/>
    <n v="15.6"/>
    <n v="5"/>
    <x v="617"/>
    <x v="6"/>
    <x v="0"/>
  </r>
  <r>
    <n v="44382"/>
    <x v="283"/>
    <x v="29"/>
    <x v="2"/>
    <x v="9"/>
    <s v="NETGEAR AC1750 Dual Band GigabitÂ Smart WiFi Router"/>
    <n v="479.97"/>
    <n v="3"/>
    <x v="618"/>
    <x v="6"/>
    <x v="0"/>
  </r>
  <r>
    <n v="44382"/>
    <x v="283"/>
    <x v="29"/>
    <x v="0"/>
    <x v="1"/>
    <s v="Avery 516"/>
    <n v="14.62"/>
    <n v="2"/>
    <x v="96"/>
    <x v="6"/>
    <x v="0"/>
  </r>
  <r>
    <n v="44382"/>
    <x v="283"/>
    <x v="29"/>
    <x v="0"/>
    <x v="0"/>
    <s v="Xerox 1995"/>
    <n v="19.440000000000001"/>
    <n v="3"/>
    <x v="5"/>
    <x v="6"/>
    <x v="0"/>
  </r>
  <r>
    <n v="44382"/>
    <x v="284"/>
    <x v="0"/>
    <x v="0"/>
    <x v="2"/>
    <s v="Gould Plastics 18-Pocket Panel Bin, 34w x 5-1/4d x 20-1/2h"/>
    <n v="220.78"/>
    <n v="3"/>
    <x v="619"/>
    <x v="6"/>
    <x v="0"/>
  </r>
  <r>
    <n v="44382"/>
    <x v="284"/>
    <x v="0"/>
    <x v="0"/>
    <x v="2"/>
    <s v="Fellowes Bankers Box Stor/Drawer Steel Plus"/>
    <n v="281.42"/>
    <n v="11"/>
    <x v="620"/>
    <x v="6"/>
    <x v="0"/>
  </r>
  <r>
    <n v="44382"/>
    <x v="285"/>
    <x v="3"/>
    <x v="0"/>
    <x v="3"/>
    <s v="Vinyl Sectional Post Binders"/>
    <n v="180.96"/>
    <n v="6"/>
    <x v="621"/>
    <x v="6"/>
    <x v="0"/>
  </r>
  <r>
    <n v="44382"/>
    <x v="17"/>
    <x v="15"/>
    <x v="0"/>
    <x v="4"/>
    <s v="Newell 322"/>
    <n v="4.37"/>
    <n v="3"/>
    <x v="622"/>
    <x v="6"/>
    <x v="0"/>
  </r>
  <r>
    <n v="44382"/>
    <x v="286"/>
    <x v="16"/>
    <x v="1"/>
    <x v="8"/>
    <s v="Advantus Panel Wall Certificate Holder - 8.5x11"/>
    <n v="19.52"/>
    <n v="2"/>
    <x v="193"/>
    <x v="6"/>
    <x v="0"/>
  </r>
  <r>
    <n v="44382"/>
    <x v="286"/>
    <x v="16"/>
    <x v="0"/>
    <x v="3"/>
    <s v="Wilson Jones Four-Pocket Poly Binders"/>
    <n v="9.81"/>
    <n v="5"/>
    <x v="623"/>
    <x v="6"/>
    <x v="0"/>
  </r>
  <r>
    <n v="44382"/>
    <x v="286"/>
    <x v="16"/>
    <x v="1"/>
    <x v="8"/>
    <s v="Luxo Adjustable Task Clamp Lamp"/>
    <n v="213.22"/>
    <n v="3"/>
    <x v="624"/>
    <x v="6"/>
    <x v="0"/>
  </r>
  <r>
    <n v="44383"/>
    <x v="287"/>
    <x v="20"/>
    <x v="2"/>
    <x v="16"/>
    <s v="Canon Imageclass D680 Copier / Fax"/>
    <n v="559.99"/>
    <n v="1"/>
    <x v="625"/>
    <x v="6"/>
    <x v="0"/>
  </r>
  <r>
    <n v="44383"/>
    <x v="288"/>
    <x v="3"/>
    <x v="1"/>
    <x v="5"/>
    <s v="Global Comet Stacking Armless Chair"/>
    <n v="478.48"/>
    <n v="2"/>
    <x v="626"/>
    <x v="6"/>
    <x v="0"/>
  </r>
  <r>
    <n v="44384"/>
    <x v="154"/>
    <x v="2"/>
    <x v="1"/>
    <x v="5"/>
    <s v="Global High-Back Leather Tilter, Burgundy"/>
    <n v="172.19"/>
    <n v="2"/>
    <x v="627"/>
    <x v="6"/>
    <x v="0"/>
  </r>
  <r>
    <n v="44384"/>
    <x v="154"/>
    <x v="2"/>
    <x v="1"/>
    <x v="8"/>
    <s v="Howard Miller 11-1/2&quot; Diameter Grantwood Wall Clock"/>
    <n v="69.010000000000005"/>
    <n v="2"/>
    <x v="628"/>
    <x v="6"/>
    <x v="0"/>
  </r>
  <r>
    <n v="44385"/>
    <x v="289"/>
    <x v="20"/>
    <x v="1"/>
    <x v="5"/>
    <s v="Situations Contoured Folding Chairs, 4/Set"/>
    <n v="63.88"/>
    <n v="1"/>
    <x v="529"/>
    <x v="6"/>
    <x v="0"/>
  </r>
  <r>
    <n v="44385"/>
    <x v="290"/>
    <x v="3"/>
    <x v="1"/>
    <x v="13"/>
    <s v="Hon 2111 Invitation Series Corner Table"/>
    <n v="502.49"/>
    <n v="3"/>
    <x v="629"/>
    <x v="6"/>
    <x v="0"/>
  </r>
  <r>
    <n v="44385"/>
    <x v="290"/>
    <x v="3"/>
    <x v="0"/>
    <x v="3"/>
    <s v="Wilson Jones Ledger-Size, Piano-Hinge Binder, 2&quot;, Blue"/>
    <n v="196.7"/>
    <n v="6"/>
    <x v="451"/>
    <x v="6"/>
    <x v="0"/>
  </r>
  <r>
    <n v="44386"/>
    <x v="291"/>
    <x v="0"/>
    <x v="0"/>
    <x v="0"/>
    <s v="Eureka Recycled Copy Paper 8 1/2&quot; x 11&quot;, Ream"/>
    <n v="10.37"/>
    <n v="2"/>
    <x v="316"/>
    <x v="6"/>
    <x v="0"/>
  </r>
  <r>
    <n v="44386"/>
    <x v="291"/>
    <x v="0"/>
    <x v="0"/>
    <x v="0"/>
    <s v="Xerox 1895"/>
    <n v="14.35"/>
    <n v="3"/>
    <x v="630"/>
    <x v="6"/>
    <x v="0"/>
  </r>
  <r>
    <n v="44386"/>
    <x v="292"/>
    <x v="3"/>
    <x v="0"/>
    <x v="1"/>
    <s v="Avery 49"/>
    <n v="2.88"/>
    <n v="1"/>
    <x v="631"/>
    <x v="6"/>
    <x v="0"/>
  </r>
  <r>
    <n v="44386"/>
    <x v="292"/>
    <x v="3"/>
    <x v="0"/>
    <x v="3"/>
    <s v="Wilson Jones Leather-Like Binders with DublLock Round Rings"/>
    <n v="41.9"/>
    <n v="6"/>
    <x v="632"/>
    <x v="6"/>
    <x v="0"/>
  </r>
  <r>
    <n v="44386"/>
    <x v="292"/>
    <x v="3"/>
    <x v="0"/>
    <x v="2"/>
    <s v="Perma STOR-ALL Hanging File Box, 13 1/8&quot;W x 12 1/4&quot;D x 10 1/2&quot;H"/>
    <n v="23.92"/>
    <n v="4"/>
    <x v="403"/>
    <x v="6"/>
    <x v="0"/>
  </r>
  <r>
    <n v="44386"/>
    <x v="293"/>
    <x v="3"/>
    <x v="0"/>
    <x v="3"/>
    <s v="Avery Hidden Tab Dividers for Binding Systems"/>
    <n v="14.3"/>
    <n v="6"/>
    <x v="633"/>
    <x v="6"/>
    <x v="0"/>
  </r>
  <r>
    <n v="44386"/>
    <x v="293"/>
    <x v="3"/>
    <x v="1"/>
    <x v="11"/>
    <s v="Bush Heritage Pine Collection 5-Shelf Bookcase, Albany Pine Finish, *Special Order"/>
    <n v="119.83"/>
    <n v="1"/>
    <x v="634"/>
    <x v="6"/>
    <x v="0"/>
  </r>
  <r>
    <n v="44386"/>
    <x v="293"/>
    <x v="3"/>
    <x v="0"/>
    <x v="4"/>
    <s v="Prang Drawing Pencil Set"/>
    <n v="5.56"/>
    <n v="2"/>
    <x v="635"/>
    <x v="6"/>
    <x v="0"/>
  </r>
  <r>
    <n v="44386"/>
    <x v="293"/>
    <x v="3"/>
    <x v="0"/>
    <x v="0"/>
    <s v="Xerox 1967"/>
    <n v="32.4"/>
    <n v="5"/>
    <x v="327"/>
    <x v="6"/>
    <x v="0"/>
  </r>
  <r>
    <n v="44388"/>
    <x v="174"/>
    <x v="23"/>
    <x v="0"/>
    <x v="0"/>
    <s v="Easy-staple paper"/>
    <n v="177.2"/>
    <n v="5"/>
    <x v="287"/>
    <x v="6"/>
    <x v="0"/>
  </r>
  <r>
    <n v="44388"/>
    <x v="174"/>
    <x v="23"/>
    <x v="2"/>
    <x v="6"/>
    <s v="Cisco SPA508G"/>
    <n v="197.97"/>
    <n v="3"/>
    <x v="636"/>
    <x v="6"/>
    <x v="0"/>
  </r>
  <r>
    <n v="44388"/>
    <x v="174"/>
    <x v="23"/>
    <x v="1"/>
    <x v="5"/>
    <s v="Global Commerce Series High-Back Swivel/Tilt Chairs"/>
    <n v="854.94"/>
    <n v="3"/>
    <x v="637"/>
    <x v="6"/>
    <x v="0"/>
  </r>
  <r>
    <n v="44388"/>
    <x v="174"/>
    <x v="23"/>
    <x v="1"/>
    <x v="8"/>
    <s v="9-3/4 Diameter Round Wall Clock"/>
    <n v="124.11"/>
    <n v="9"/>
    <x v="638"/>
    <x v="6"/>
    <x v="0"/>
  </r>
  <r>
    <n v="44388"/>
    <x v="174"/>
    <x v="23"/>
    <x v="0"/>
    <x v="1"/>
    <s v="Avery 514"/>
    <n v="14.4"/>
    <n v="5"/>
    <x v="639"/>
    <x v="6"/>
    <x v="0"/>
  </r>
  <r>
    <n v="44388"/>
    <x v="46"/>
    <x v="0"/>
    <x v="2"/>
    <x v="6"/>
    <s v="Polycom VVX 310 VoIP phone"/>
    <n v="575.97"/>
    <n v="4"/>
    <x v="640"/>
    <x v="6"/>
    <x v="0"/>
  </r>
  <r>
    <n v="44388"/>
    <x v="46"/>
    <x v="0"/>
    <x v="0"/>
    <x v="0"/>
    <s v="Xerox 200"/>
    <n v="10.37"/>
    <n v="2"/>
    <x v="316"/>
    <x v="6"/>
    <x v="0"/>
  </r>
  <r>
    <n v="44388"/>
    <x v="294"/>
    <x v="20"/>
    <x v="0"/>
    <x v="0"/>
    <s v="Xerox 1881"/>
    <n v="49.12"/>
    <n v="4"/>
    <x v="641"/>
    <x v="6"/>
    <x v="0"/>
  </r>
  <r>
    <n v="44388"/>
    <x v="294"/>
    <x v="20"/>
    <x v="0"/>
    <x v="3"/>
    <s v="Newell 3-Hole Punched Plastic Slotted Magazine Holders for Binders"/>
    <n v="18.28"/>
    <n v="5"/>
    <x v="642"/>
    <x v="6"/>
    <x v="0"/>
  </r>
  <r>
    <n v="44388"/>
    <x v="295"/>
    <x v="20"/>
    <x v="2"/>
    <x v="6"/>
    <s v="Cisco SPA112 2 Port Phone Adapter"/>
    <n v="164.85"/>
    <n v="3"/>
    <x v="643"/>
    <x v="6"/>
    <x v="0"/>
  </r>
  <r>
    <n v="44389"/>
    <x v="296"/>
    <x v="3"/>
    <x v="0"/>
    <x v="3"/>
    <s v="Tuff Stuff Recycled Round Ring Binders"/>
    <n v="7.71"/>
    <n v="2"/>
    <x v="644"/>
    <x v="6"/>
    <x v="0"/>
  </r>
  <r>
    <n v="44389"/>
    <x v="296"/>
    <x v="3"/>
    <x v="1"/>
    <x v="13"/>
    <s v="Hon 5100 Series Wood Tables"/>
    <n v="698.35"/>
    <n v="3"/>
    <x v="645"/>
    <x v="6"/>
    <x v="0"/>
  </r>
  <r>
    <n v="44389"/>
    <x v="151"/>
    <x v="3"/>
    <x v="0"/>
    <x v="2"/>
    <s v="Fellowes Super Stor/Drawer"/>
    <n v="249.75"/>
    <n v="9"/>
    <x v="646"/>
    <x v="6"/>
    <x v="0"/>
  </r>
  <r>
    <n v="44389"/>
    <x v="151"/>
    <x v="3"/>
    <x v="2"/>
    <x v="6"/>
    <s v="GE DSL Phone Line Filter"/>
    <n v="255.94"/>
    <n v="8"/>
    <x v="575"/>
    <x v="6"/>
    <x v="0"/>
  </r>
  <r>
    <n v="44389"/>
    <x v="68"/>
    <x v="22"/>
    <x v="1"/>
    <x v="5"/>
    <s v="Safco Chair Connectors, 6/Carton"/>
    <n v="123.14"/>
    <n v="4"/>
    <x v="647"/>
    <x v="6"/>
    <x v="0"/>
  </r>
  <r>
    <n v="44389"/>
    <x v="68"/>
    <x v="22"/>
    <x v="0"/>
    <x v="3"/>
    <s v="Self-Adhesive Ring Binder Labels"/>
    <n v="11.26"/>
    <n v="4"/>
    <x v="338"/>
    <x v="6"/>
    <x v="0"/>
  </r>
  <r>
    <n v="44389"/>
    <x v="297"/>
    <x v="1"/>
    <x v="0"/>
    <x v="0"/>
    <s v="Xerox 1949"/>
    <n v="35.86"/>
    <n v="9"/>
    <x v="648"/>
    <x v="6"/>
    <x v="0"/>
  </r>
  <r>
    <n v="44389"/>
    <x v="297"/>
    <x v="1"/>
    <x v="2"/>
    <x v="9"/>
    <s v="Verbatim 25 GB 6x Blu-ray Single Layer Recordable Disc, 1/Pack"/>
    <n v="23.84"/>
    <n v="4"/>
    <x v="649"/>
    <x v="6"/>
    <x v="0"/>
  </r>
  <r>
    <n v="44389"/>
    <x v="298"/>
    <x v="0"/>
    <x v="1"/>
    <x v="5"/>
    <s v="Hon Deluxe Fabric Upholstered Stacking Chairs"/>
    <n v="512.36"/>
    <n v="3"/>
    <x v="650"/>
    <x v="6"/>
    <x v="0"/>
  </r>
  <r>
    <n v="44389"/>
    <x v="298"/>
    <x v="0"/>
    <x v="0"/>
    <x v="7"/>
    <s v="Stockwell Push Pins"/>
    <n v="3.49"/>
    <n v="2"/>
    <x v="651"/>
    <x v="6"/>
    <x v="0"/>
  </r>
  <r>
    <n v="44389"/>
    <x v="298"/>
    <x v="0"/>
    <x v="0"/>
    <x v="4"/>
    <s v="Fluorescent Highlighters by Dixon"/>
    <n v="22.29"/>
    <n v="7"/>
    <x v="388"/>
    <x v="6"/>
    <x v="0"/>
  </r>
  <r>
    <n v="44389"/>
    <x v="298"/>
    <x v="0"/>
    <x v="0"/>
    <x v="0"/>
    <s v="Xerox 195"/>
    <n v="16.03"/>
    <n v="3"/>
    <x v="348"/>
    <x v="6"/>
    <x v="0"/>
  </r>
  <r>
    <n v="44390"/>
    <x v="271"/>
    <x v="3"/>
    <x v="1"/>
    <x v="13"/>
    <s v="Bevis Round Conference Table Top &amp; Single Column Base"/>
    <n v="351.22"/>
    <n v="3"/>
    <x v="652"/>
    <x v="6"/>
    <x v="0"/>
  </r>
  <r>
    <n v="44391"/>
    <x v="299"/>
    <x v="1"/>
    <x v="0"/>
    <x v="3"/>
    <s v="Acco D-Ring Binder w/DublLock"/>
    <n v="29.93"/>
    <n v="7"/>
    <x v="653"/>
    <x v="6"/>
    <x v="0"/>
  </r>
  <r>
    <n v="44391"/>
    <x v="299"/>
    <x v="1"/>
    <x v="2"/>
    <x v="6"/>
    <s v="I Need's 3d Hello Kitty Hybrid Silicone Case Cover for HTC One X 4g with 3d Hello Kitty Stylus Pen Green/pink"/>
    <n v="38.270000000000003"/>
    <n v="4"/>
    <x v="654"/>
    <x v="6"/>
    <x v="0"/>
  </r>
  <r>
    <n v="44391"/>
    <x v="300"/>
    <x v="12"/>
    <x v="0"/>
    <x v="2"/>
    <s v="Eldon Fold 'N Roll Cart System"/>
    <n v="55.92"/>
    <n v="5"/>
    <x v="655"/>
    <x v="6"/>
    <x v="0"/>
  </r>
  <r>
    <n v="44391"/>
    <x v="43"/>
    <x v="2"/>
    <x v="2"/>
    <x v="6"/>
    <s v="Griffin GC36547 PowerJolt SE Lightning Charger"/>
    <n v="13.49"/>
    <n v="1"/>
    <x v="656"/>
    <x v="6"/>
    <x v="0"/>
  </r>
  <r>
    <n v="44391"/>
    <x v="43"/>
    <x v="2"/>
    <x v="2"/>
    <x v="6"/>
    <s v="iOttie HLCRIO102 Car Mount"/>
    <n v="23.99"/>
    <n v="2"/>
    <x v="657"/>
    <x v="6"/>
    <x v="0"/>
  </r>
  <r>
    <n v="44391"/>
    <x v="43"/>
    <x v="2"/>
    <x v="1"/>
    <x v="8"/>
    <s v="Tensor Track Tree Floor Lamp"/>
    <n v="31.98"/>
    <n v="2"/>
    <x v="217"/>
    <x v="6"/>
    <x v="0"/>
  </r>
  <r>
    <n v="44391"/>
    <x v="43"/>
    <x v="2"/>
    <x v="0"/>
    <x v="4"/>
    <s v="BOSTON Ranger #55 Pencil Sharpener, Black"/>
    <n v="41.58"/>
    <n v="2"/>
    <x v="658"/>
    <x v="6"/>
    <x v="0"/>
  </r>
  <r>
    <n v="44391"/>
    <x v="301"/>
    <x v="7"/>
    <x v="0"/>
    <x v="12"/>
    <s v="Belkin 7 Outlet SurgeMaster II"/>
    <n v="39.479999999999997"/>
    <n v="1"/>
    <x v="659"/>
    <x v="6"/>
    <x v="0"/>
  </r>
  <r>
    <n v="44391"/>
    <x v="302"/>
    <x v="20"/>
    <x v="0"/>
    <x v="4"/>
    <s v="Newell 315"/>
    <n v="17.940000000000001"/>
    <n v="3"/>
    <x v="630"/>
    <x v="6"/>
    <x v="0"/>
  </r>
  <r>
    <n v="44392"/>
    <x v="197"/>
    <x v="19"/>
    <x v="2"/>
    <x v="9"/>
    <s v="Maxell 4.7GB DVD-R 5/Pack"/>
    <n v="2.97"/>
    <n v="3"/>
    <x v="660"/>
    <x v="6"/>
    <x v="0"/>
  </r>
  <r>
    <n v="44392"/>
    <x v="197"/>
    <x v="19"/>
    <x v="0"/>
    <x v="7"/>
    <s v="Advantus Push Pins"/>
    <n v="6.54"/>
    <n v="3"/>
    <x v="268"/>
    <x v="6"/>
    <x v="0"/>
  </r>
  <r>
    <n v="44395"/>
    <x v="303"/>
    <x v="12"/>
    <x v="1"/>
    <x v="5"/>
    <s v="Office Star - Ergonomically Designed Knee Chair"/>
    <n v="259.14"/>
    <n v="4"/>
    <x v="661"/>
    <x v="6"/>
    <x v="0"/>
  </r>
  <r>
    <n v="44395"/>
    <x v="304"/>
    <x v="20"/>
    <x v="0"/>
    <x v="3"/>
    <s v="Cardinal Slant-D Ring Binder, Heavy Gauge Vinyl"/>
    <n v="13.9"/>
    <n v="2"/>
    <x v="662"/>
    <x v="6"/>
    <x v="0"/>
  </r>
  <r>
    <n v="44396"/>
    <x v="305"/>
    <x v="37"/>
    <x v="2"/>
    <x v="6"/>
    <s v="Polycom VVX 310 VoIP phone"/>
    <n v="359.98"/>
    <n v="2"/>
    <x v="663"/>
    <x v="6"/>
    <x v="0"/>
  </r>
  <r>
    <n v="44396"/>
    <x v="305"/>
    <x v="37"/>
    <x v="1"/>
    <x v="13"/>
    <s v="Barricks 18&quot; x 48&quot; Non-Folding Utility Table with Bottom Storage Shelf"/>
    <n v="70.56"/>
    <n v="1"/>
    <x v="664"/>
    <x v="6"/>
    <x v="0"/>
  </r>
  <r>
    <n v="44396"/>
    <x v="305"/>
    <x v="37"/>
    <x v="0"/>
    <x v="3"/>
    <s v="Avery 3 1/2&quot; Diskette Storage Pages, 10/Pack"/>
    <n v="20.88"/>
    <n v="2"/>
    <x v="665"/>
    <x v="6"/>
    <x v="0"/>
  </r>
  <r>
    <n v="44396"/>
    <x v="305"/>
    <x v="37"/>
    <x v="0"/>
    <x v="3"/>
    <s v="Acco Hanging Data Binders"/>
    <n v="3.81"/>
    <n v="1"/>
    <x v="666"/>
    <x v="6"/>
    <x v="0"/>
  </r>
  <r>
    <n v="44396"/>
    <x v="306"/>
    <x v="35"/>
    <x v="0"/>
    <x v="3"/>
    <s v="Acco Pressboard Covers with Storage Hooks, 14 7/8&quot; x 11&quot;, Dark Blue"/>
    <n v="6.1"/>
    <n v="2"/>
    <x v="481"/>
    <x v="6"/>
    <x v="0"/>
  </r>
  <r>
    <n v="44397"/>
    <x v="307"/>
    <x v="0"/>
    <x v="0"/>
    <x v="2"/>
    <s v="Letter Size Cart"/>
    <n v="342.86"/>
    <n v="3"/>
    <x v="667"/>
    <x v="6"/>
    <x v="0"/>
  </r>
  <r>
    <n v="44397"/>
    <x v="307"/>
    <x v="0"/>
    <x v="1"/>
    <x v="8"/>
    <s v="Westinghouse Clip-On Gooseneck Lamps"/>
    <n v="16.739999999999998"/>
    <n v="5"/>
    <x v="668"/>
    <x v="6"/>
    <x v="0"/>
  </r>
  <r>
    <n v="44397"/>
    <x v="307"/>
    <x v="0"/>
    <x v="1"/>
    <x v="5"/>
    <s v="HON 5400 Series Task Chairs for Big and Tall"/>
    <n v="981.37"/>
    <n v="2"/>
    <x v="669"/>
    <x v="6"/>
    <x v="0"/>
  </r>
  <r>
    <n v="44397"/>
    <x v="308"/>
    <x v="10"/>
    <x v="0"/>
    <x v="2"/>
    <s v="Fellowes Neat Ideas Storage Cubes"/>
    <n v="25.98"/>
    <n v="1"/>
    <x v="670"/>
    <x v="6"/>
    <x v="0"/>
  </r>
  <r>
    <n v="44397"/>
    <x v="308"/>
    <x v="10"/>
    <x v="0"/>
    <x v="3"/>
    <s v="Ibico Plastic Spiral Binding Combs"/>
    <n v="27.36"/>
    <n v="3"/>
    <x v="671"/>
    <x v="6"/>
    <x v="0"/>
  </r>
  <r>
    <n v="44397"/>
    <x v="309"/>
    <x v="3"/>
    <x v="0"/>
    <x v="0"/>
    <s v="Xerox 189"/>
    <n v="104.85"/>
    <n v="1"/>
    <x v="672"/>
    <x v="6"/>
    <x v="0"/>
  </r>
  <r>
    <n v="44397"/>
    <x v="309"/>
    <x v="3"/>
    <x v="0"/>
    <x v="3"/>
    <s v="Wilson Jones Custom Binder Spines &amp; Labels"/>
    <n v="8.6999999999999993"/>
    <n v="2"/>
    <x v="673"/>
    <x v="6"/>
    <x v="0"/>
  </r>
  <r>
    <n v="44397"/>
    <x v="309"/>
    <x v="3"/>
    <x v="0"/>
    <x v="0"/>
    <s v="Xerox 1897"/>
    <n v="19.920000000000002"/>
    <n v="4"/>
    <x v="674"/>
    <x v="6"/>
    <x v="0"/>
  </r>
  <r>
    <n v="44397"/>
    <x v="309"/>
    <x v="3"/>
    <x v="1"/>
    <x v="8"/>
    <s v="Nu-Dell Leatherette Frames"/>
    <n v="43.02"/>
    <n v="3"/>
    <x v="675"/>
    <x v="6"/>
    <x v="0"/>
  </r>
  <r>
    <n v="44397"/>
    <x v="310"/>
    <x v="3"/>
    <x v="0"/>
    <x v="3"/>
    <s v="Clear Mylar Reinforcing Strips"/>
    <n v="89.71"/>
    <n v="6"/>
    <x v="676"/>
    <x v="6"/>
    <x v="0"/>
  </r>
  <r>
    <n v="44397"/>
    <x v="310"/>
    <x v="3"/>
    <x v="0"/>
    <x v="0"/>
    <s v="Wirebound Message Books, Two 4 1/4&quot; x 5&quot; Forms per Page"/>
    <n v="22.83"/>
    <n v="3"/>
    <x v="677"/>
    <x v="6"/>
    <x v="0"/>
  </r>
  <r>
    <n v="44397"/>
    <x v="104"/>
    <x v="3"/>
    <x v="2"/>
    <x v="9"/>
    <s v="Maxell 74 Minute CD-R Spindle, 50/Pack"/>
    <n v="41.94"/>
    <n v="2"/>
    <x v="678"/>
    <x v="6"/>
    <x v="0"/>
  </r>
  <r>
    <n v="44397"/>
    <x v="104"/>
    <x v="3"/>
    <x v="0"/>
    <x v="0"/>
    <s v="Xerox 1965"/>
    <n v="11.96"/>
    <n v="2"/>
    <x v="679"/>
    <x v="6"/>
    <x v="0"/>
  </r>
  <r>
    <n v="44397"/>
    <x v="104"/>
    <x v="3"/>
    <x v="0"/>
    <x v="4"/>
    <s v="Newell 348"/>
    <n v="13.12"/>
    <n v="4"/>
    <x v="338"/>
    <x v="6"/>
    <x v="0"/>
  </r>
  <r>
    <n v="44397"/>
    <x v="104"/>
    <x v="3"/>
    <x v="0"/>
    <x v="2"/>
    <s v="Hot File 7-Pocket, Floor Stand"/>
    <n v="535.41"/>
    <n v="3"/>
    <x v="680"/>
    <x v="6"/>
    <x v="0"/>
  </r>
  <r>
    <n v="44398"/>
    <x v="311"/>
    <x v="3"/>
    <x v="0"/>
    <x v="4"/>
    <s v="Newell 334"/>
    <n v="99.2"/>
    <n v="5"/>
    <x v="681"/>
    <x v="6"/>
    <x v="0"/>
  </r>
  <r>
    <n v="44398"/>
    <x v="311"/>
    <x v="3"/>
    <x v="1"/>
    <x v="5"/>
    <s v="Global Troy Executive Leather Low-Back Tilter"/>
    <n v="801.57"/>
    <n v="2"/>
    <x v="682"/>
    <x v="6"/>
    <x v="0"/>
  </r>
  <r>
    <n v="44398"/>
    <x v="311"/>
    <x v="3"/>
    <x v="1"/>
    <x v="13"/>
    <s v="Hon 30&quot; x 60&quot; Table with Locking Drawer"/>
    <n v="272.85000000000002"/>
    <n v="1"/>
    <x v="683"/>
    <x v="6"/>
    <x v="0"/>
  </r>
  <r>
    <n v="44398"/>
    <x v="312"/>
    <x v="0"/>
    <x v="0"/>
    <x v="12"/>
    <s v="Acco 6 Outlet Guardian Basic Surge Suppressor"/>
    <n v="4.99"/>
    <n v="3"/>
    <x v="684"/>
    <x v="6"/>
    <x v="0"/>
  </r>
  <r>
    <n v="44398"/>
    <x v="312"/>
    <x v="0"/>
    <x v="0"/>
    <x v="10"/>
    <s v="Inter-Office Recycled Envelopes, Brown Kraft, Button-String,10&quot; x 13&quot; , 100/Box"/>
    <n v="87.92"/>
    <n v="5"/>
    <x v="685"/>
    <x v="6"/>
    <x v="0"/>
  </r>
  <r>
    <n v="44398"/>
    <x v="312"/>
    <x v="0"/>
    <x v="1"/>
    <x v="5"/>
    <s v="Hon Every-Day Series Multi-Task Chairs"/>
    <n v="657.93"/>
    <n v="5"/>
    <x v="686"/>
    <x v="6"/>
    <x v="0"/>
  </r>
  <r>
    <n v="44398"/>
    <x v="312"/>
    <x v="0"/>
    <x v="0"/>
    <x v="3"/>
    <s v="Acco Economy Flexible Poly Round Ring Binder"/>
    <n v="1.04"/>
    <n v="1"/>
    <x v="687"/>
    <x v="6"/>
    <x v="0"/>
  </r>
  <r>
    <n v="44398"/>
    <x v="190"/>
    <x v="40"/>
    <x v="2"/>
    <x v="6"/>
    <s v="Griffin GC17055 Auxiliary Audio Cable"/>
    <n v="35.979999999999997"/>
    <n v="2"/>
    <x v="331"/>
    <x v="6"/>
    <x v="0"/>
  </r>
  <r>
    <n v="44399"/>
    <x v="313"/>
    <x v="20"/>
    <x v="0"/>
    <x v="4"/>
    <s v="Premium Writing Pencils, Soft, #2 by Central Association for the Blind"/>
    <n v="5.96"/>
    <n v="2"/>
    <x v="688"/>
    <x v="6"/>
    <x v="0"/>
  </r>
  <r>
    <n v="44399"/>
    <x v="313"/>
    <x v="20"/>
    <x v="2"/>
    <x v="9"/>
    <s v="Logitech G602 Wireless Gaming Mouse"/>
    <n v="159.97999999999999"/>
    <n v="2"/>
    <x v="277"/>
    <x v="6"/>
    <x v="0"/>
  </r>
  <r>
    <n v="44399"/>
    <x v="201"/>
    <x v="3"/>
    <x v="0"/>
    <x v="4"/>
    <s v="Newell 32"/>
    <n v="11.52"/>
    <n v="4"/>
    <x v="689"/>
    <x v="6"/>
    <x v="0"/>
  </r>
  <r>
    <n v="44399"/>
    <x v="201"/>
    <x v="3"/>
    <x v="1"/>
    <x v="5"/>
    <s v="Global Comet Stacking Armless Chair"/>
    <n v="717.72"/>
    <n v="3"/>
    <x v="690"/>
    <x v="6"/>
    <x v="0"/>
  </r>
  <r>
    <n v="44399"/>
    <x v="201"/>
    <x v="3"/>
    <x v="0"/>
    <x v="2"/>
    <s v="Eldon Mobile Mega Data Cart  Mega Stackable  Add-On Trays"/>
    <n v="236.5"/>
    <n v="10"/>
    <x v="691"/>
    <x v="6"/>
    <x v="0"/>
  </r>
  <r>
    <n v="44399"/>
    <x v="201"/>
    <x v="3"/>
    <x v="1"/>
    <x v="13"/>
    <s v="Safco Drafting Table"/>
    <n v="170.35"/>
    <n v="3"/>
    <x v="692"/>
    <x v="6"/>
    <x v="0"/>
  </r>
  <r>
    <n v="44399"/>
    <x v="314"/>
    <x v="3"/>
    <x v="0"/>
    <x v="4"/>
    <s v="Crayola Colored Pencils"/>
    <n v="19.68"/>
    <n v="6"/>
    <x v="38"/>
    <x v="6"/>
    <x v="0"/>
  </r>
  <r>
    <n v="44399"/>
    <x v="315"/>
    <x v="0"/>
    <x v="0"/>
    <x v="2"/>
    <s v="Fellowes Bases and Tops For Staxonsteel/High-Stak Systems"/>
    <n v="26.63"/>
    <n v="1"/>
    <x v="72"/>
    <x v="6"/>
    <x v="0"/>
  </r>
  <r>
    <n v="44400"/>
    <x v="316"/>
    <x v="12"/>
    <x v="0"/>
    <x v="3"/>
    <s v="Wilson Jones Custom Binder Spines &amp; Labels"/>
    <n v="8.16"/>
    <n v="5"/>
    <x v="693"/>
    <x v="6"/>
    <x v="0"/>
  </r>
  <r>
    <n v="44400"/>
    <x v="316"/>
    <x v="12"/>
    <x v="2"/>
    <x v="9"/>
    <s v="NETGEAR AC1750 Dual Band GigabitÂ Smart WiFi Router"/>
    <n v="1023.94"/>
    <n v="8"/>
    <x v="694"/>
    <x v="6"/>
    <x v="0"/>
  </r>
  <r>
    <n v="44400"/>
    <x v="316"/>
    <x v="12"/>
    <x v="0"/>
    <x v="4"/>
    <s v="Newell 324"/>
    <n v="9.24"/>
    <n v="1"/>
    <x v="695"/>
    <x v="6"/>
    <x v="0"/>
  </r>
  <r>
    <n v="44400"/>
    <x v="316"/>
    <x v="12"/>
    <x v="2"/>
    <x v="9"/>
    <s v="Microsoft Natural Keyboard Elite"/>
    <n v="479.04"/>
    <n v="10"/>
    <x v="696"/>
    <x v="6"/>
    <x v="0"/>
  </r>
  <r>
    <n v="44400"/>
    <x v="199"/>
    <x v="20"/>
    <x v="2"/>
    <x v="9"/>
    <s v="Case Logic 2.4GHz Wireless Keyboard"/>
    <n v="99.98"/>
    <n v="2"/>
    <x v="697"/>
    <x v="6"/>
    <x v="0"/>
  </r>
  <r>
    <n v="44400"/>
    <x v="317"/>
    <x v="3"/>
    <x v="2"/>
    <x v="6"/>
    <s v="VTech DS6151"/>
    <n v="604.75"/>
    <n v="6"/>
    <x v="698"/>
    <x v="6"/>
    <x v="0"/>
  </r>
  <r>
    <n v="44400"/>
    <x v="317"/>
    <x v="3"/>
    <x v="0"/>
    <x v="14"/>
    <s v="Acme Softgrip Scissors"/>
    <n v="40.700000000000003"/>
    <n v="5"/>
    <x v="699"/>
    <x v="6"/>
    <x v="0"/>
  </r>
  <r>
    <n v="44400"/>
    <x v="317"/>
    <x v="3"/>
    <x v="2"/>
    <x v="6"/>
    <s v="AT&amp;T CL2909"/>
    <n v="302.38"/>
    <n v="3"/>
    <x v="233"/>
    <x v="6"/>
    <x v="0"/>
  </r>
  <r>
    <n v="44400"/>
    <x v="317"/>
    <x v="3"/>
    <x v="2"/>
    <x v="9"/>
    <s v="ImationÂ 8gb Micro Traveldrive Usb 2.0Â Flash Drive"/>
    <n v="45"/>
    <n v="3"/>
    <x v="700"/>
    <x v="6"/>
    <x v="0"/>
  </r>
  <r>
    <n v="44402"/>
    <x v="318"/>
    <x v="3"/>
    <x v="0"/>
    <x v="2"/>
    <s v="Fellowes Personal Hanging Folder Files, Navy"/>
    <n v="53.72"/>
    <n v="4"/>
    <x v="701"/>
    <x v="6"/>
    <x v="0"/>
  </r>
  <r>
    <n v="44402"/>
    <x v="318"/>
    <x v="3"/>
    <x v="0"/>
    <x v="14"/>
    <s v="High Speed Automatic Electric Letter Opener"/>
    <n v="8187.65"/>
    <n v="5"/>
    <x v="702"/>
    <x v="6"/>
    <x v="0"/>
  </r>
  <r>
    <n v="44402"/>
    <x v="318"/>
    <x v="3"/>
    <x v="1"/>
    <x v="8"/>
    <s v="Staple-based wall hangings"/>
    <n v="77.92"/>
    <n v="8"/>
    <x v="703"/>
    <x v="6"/>
    <x v="0"/>
  </r>
  <r>
    <n v="44402"/>
    <x v="58"/>
    <x v="3"/>
    <x v="0"/>
    <x v="0"/>
    <s v="Xerox 1966"/>
    <n v="6.48"/>
    <n v="1"/>
    <x v="474"/>
    <x v="6"/>
    <x v="0"/>
  </r>
  <r>
    <n v="44402"/>
    <x v="58"/>
    <x v="3"/>
    <x v="0"/>
    <x v="14"/>
    <s v="Acme Kleen Earth Office Shears"/>
    <n v="15.52"/>
    <n v="4"/>
    <x v="704"/>
    <x v="6"/>
    <x v="0"/>
  </r>
  <r>
    <n v="44403"/>
    <x v="319"/>
    <x v="1"/>
    <x v="0"/>
    <x v="2"/>
    <s v="Belkin 19&quot; Vented Equipment Shelf, Black"/>
    <n v="123.55"/>
    <n v="3"/>
    <x v="705"/>
    <x v="6"/>
    <x v="0"/>
  </r>
  <r>
    <n v="44403"/>
    <x v="111"/>
    <x v="17"/>
    <x v="2"/>
    <x v="6"/>
    <s v="Apple iPhone 5S"/>
    <n v="911.98"/>
    <n v="2"/>
    <x v="706"/>
    <x v="6"/>
    <x v="0"/>
  </r>
  <r>
    <n v="44403"/>
    <x v="111"/>
    <x v="17"/>
    <x v="1"/>
    <x v="5"/>
    <s v="Hon 2090 Â“Pillow SoftÂ” Series Mid Back Swivel/Tilt Chairs"/>
    <n v="674.35"/>
    <n v="3"/>
    <x v="707"/>
    <x v="6"/>
    <x v="0"/>
  </r>
  <r>
    <n v="44403"/>
    <x v="111"/>
    <x v="17"/>
    <x v="1"/>
    <x v="8"/>
    <s v="Tensor Computer Mounted Lamp"/>
    <n v="134.01"/>
    <n v="9"/>
    <x v="708"/>
    <x v="6"/>
    <x v="0"/>
  </r>
  <r>
    <n v="44403"/>
    <x v="111"/>
    <x v="17"/>
    <x v="2"/>
    <x v="9"/>
    <s v="Logitech Illuminated Ultrathin Keyboard with Backlighting"/>
    <n v="170.97"/>
    <n v="3"/>
    <x v="709"/>
    <x v="6"/>
    <x v="0"/>
  </r>
  <r>
    <n v="44403"/>
    <x v="4"/>
    <x v="27"/>
    <x v="2"/>
    <x v="9"/>
    <s v="Memorex Micro Travel Drive 16 GB"/>
    <n v="111.93"/>
    <n v="7"/>
    <x v="710"/>
    <x v="6"/>
    <x v="0"/>
  </r>
  <r>
    <n v="44403"/>
    <x v="320"/>
    <x v="4"/>
    <x v="1"/>
    <x v="5"/>
    <s v="Metal Folding Chairs, Beige, 4/Carton"/>
    <n v="67.88"/>
    <n v="2"/>
    <x v="711"/>
    <x v="6"/>
    <x v="0"/>
  </r>
  <r>
    <n v="44403"/>
    <x v="320"/>
    <x v="4"/>
    <x v="0"/>
    <x v="1"/>
    <s v="Avery 485"/>
    <n v="162.88999999999999"/>
    <n v="13"/>
    <x v="712"/>
    <x v="6"/>
    <x v="0"/>
  </r>
  <r>
    <n v="44403"/>
    <x v="320"/>
    <x v="4"/>
    <x v="1"/>
    <x v="8"/>
    <s v="DAX Cubicle Frames, 8-1/2 x 11"/>
    <n v="25.71"/>
    <n v="3"/>
    <x v="713"/>
    <x v="6"/>
    <x v="0"/>
  </r>
  <r>
    <n v="44403"/>
    <x v="321"/>
    <x v="0"/>
    <x v="0"/>
    <x v="3"/>
    <s v="GBC DocuBind P400 Electric Binding System"/>
    <n v="2177.58"/>
    <n v="8"/>
    <x v="714"/>
    <x v="6"/>
    <x v="0"/>
  </r>
  <r>
    <n v="44403"/>
    <x v="321"/>
    <x v="0"/>
    <x v="1"/>
    <x v="8"/>
    <s v="DAX Clear Channel Poster Frame"/>
    <n v="17.5"/>
    <n v="3"/>
    <x v="715"/>
    <x v="6"/>
    <x v="0"/>
  </r>
  <r>
    <n v="44403"/>
    <x v="321"/>
    <x v="0"/>
    <x v="0"/>
    <x v="3"/>
    <s v="GBC Premium Transparent Covers with Diagonal Lined Pattern"/>
    <n v="16.78"/>
    <n v="4"/>
    <x v="716"/>
    <x v="6"/>
    <x v="0"/>
  </r>
  <r>
    <n v="44403"/>
    <x v="321"/>
    <x v="0"/>
    <x v="2"/>
    <x v="9"/>
    <s v="Microsoft Natural Keyboard Elite"/>
    <n v="431.14"/>
    <n v="9"/>
    <x v="717"/>
    <x v="6"/>
    <x v="0"/>
  </r>
  <r>
    <n v="44403"/>
    <x v="321"/>
    <x v="0"/>
    <x v="0"/>
    <x v="3"/>
    <s v="GBC Instant Index System for Binding Systems"/>
    <n v="8.8800000000000008"/>
    <n v="5"/>
    <x v="718"/>
    <x v="6"/>
    <x v="0"/>
  </r>
  <r>
    <n v="44403"/>
    <x v="321"/>
    <x v="0"/>
    <x v="0"/>
    <x v="12"/>
    <s v="Acco 6 Outlet Guardian Standard Surge Suppressor"/>
    <n v="4.84"/>
    <n v="2"/>
    <x v="719"/>
    <x v="6"/>
    <x v="0"/>
  </r>
  <r>
    <n v="44404"/>
    <x v="60"/>
    <x v="3"/>
    <x v="2"/>
    <x v="9"/>
    <s v="WD My Passport Ultra 2TB Portable External Hard Drive"/>
    <n v="238"/>
    <n v="2"/>
    <x v="720"/>
    <x v="6"/>
    <x v="0"/>
  </r>
  <r>
    <n v="44404"/>
    <x v="322"/>
    <x v="20"/>
    <x v="0"/>
    <x v="0"/>
    <s v="Xerox 1956"/>
    <n v="65.78"/>
    <n v="11"/>
    <x v="721"/>
    <x v="6"/>
    <x v="0"/>
  </r>
  <r>
    <n v="44404"/>
    <x v="323"/>
    <x v="3"/>
    <x v="0"/>
    <x v="2"/>
    <s v="SAFCO Commercial Wire Shelving, Black"/>
    <n v="276.27999999999997"/>
    <n v="2"/>
    <x v="62"/>
    <x v="6"/>
    <x v="0"/>
  </r>
  <r>
    <n v="44405"/>
    <x v="74"/>
    <x v="16"/>
    <x v="0"/>
    <x v="7"/>
    <s v="OIC Colored Binder Clips, Assorted Sizes"/>
    <n v="14.32"/>
    <n v="5"/>
    <x v="376"/>
    <x v="6"/>
    <x v="0"/>
  </r>
  <r>
    <n v="44405"/>
    <x v="74"/>
    <x v="16"/>
    <x v="1"/>
    <x v="8"/>
    <s v="DataProducts Ampli Magnifier Task Lamp, Black,"/>
    <n v="129.88999999999999"/>
    <n v="6"/>
    <x v="372"/>
    <x v="6"/>
    <x v="0"/>
  </r>
  <r>
    <n v="44405"/>
    <x v="74"/>
    <x v="16"/>
    <x v="0"/>
    <x v="10"/>
    <s v="#10- 4 1/8&quot; x 9 1/2&quot; Recycled Envelopes"/>
    <n v="48.94"/>
    <n v="7"/>
    <x v="722"/>
    <x v="6"/>
    <x v="0"/>
  </r>
  <r>
    <n v="44407"/>
    <x v="324"/>
    <x v="22"/>
    <x v="1"/>
    <x v="11"/>
    <s v="Rush Hierlooms Collection 1&quot; Thick Stackable Bookcases"/>
    <n v="1367.84"/>
    <n v="8"/>
    <x v="723"/>
    <x v="6"/>
    <x v="0"/>
  </r>
  <r>
    <n v="44409"/>
    <x v="302"/>
    <x v="25"/>
    <x v="0"/>
    <x v="1"/>
    <s v="Self-Adhesive Address Labels for Typewriters by Universal"/>
    <n v="17.54"/>
    <n v="3"/>
    <x v="204"/>
    <x v="7"/>
    <x v="0"/>
  </r>
  <r>
    <n v="44409"/>
    <x v="302"/>
    <x v="25"/>
    <x v="1"/>
    <x v="8"/>
    <s v="9-3/4 Diameter Round Wall Clock"/>
    <n v="44.13"/>
    <n v="4"/>
    <x v="724"/>
    <x v="7"/>
    <x v="0"/>
  </r>
  <r>
    <n v="44409"/>
    <x v="302"/>
    <x v="25"/>
    <x v="0"/>
    <x v="12"/>
    <s v="Honeywell Quietcare HEPA Air Cleaner"/>
    <n v="62.92"/>
    <n v="1"/>
    <x v="725"/>
    <x v="7"/>
    <x v="0"/>
  </r>
  <r>
    <n v="44409"/>
    <x v="302"/>
    <x v="25"/>
    <x v="0"/>
    <x v="0"/>
    <s v="Xerox 1916"/>
    <n v="78.3"/>
    <n v="2"/>
    <x v="726"/>
    <x v="7"/>
    <x v="0"/>
  </r>
  <r>
    <n v="44409"/>
    <x v="325"/>
    <x v="3"/>
    <x v="0"/>
    <x v="3"/>
    <s v="Wilson Jones data.warehouse D-Ring Binders with DublLock"/>
    <n v="19.75"/>
    <n v="3"/>
    <x v="112"/>
    <x v="7"/>
    <x v="0"/>
  </r>
  <r>
    <n v="44409"/>
    <x v="326"/>
    <x v="2"/>
    <x v="0"/>
    <x v="7"/>
    <s v="Acco Clips to Go Binder Clips, 24 Clips in Two Sizes"/>
    <n v="5.68"/>
    <n v="2"/>
    <x v="727"/>
    <x v="7"/>
    <x v="0"/>
  </r>
  <r>
    <n v="44410"/>
    <x v="327"/>
    <x v="24"/>
    <x v="0"/>
    <x v="3"/>
    <s v="Wilson Jones 14 Line Acrylic Coated Pressboard Data Binders"/>
    <n v="26.7"/>
    <n v="5"/>
    <x v="728"/>
    <x v="7"/>
    <x v="0"/>
  </r>
  <r>
    <n v="44410"/>
    <x v="327"/>
    <x v="24"/>
    <x v="2"/>
    <x v="9"/>
    <s v="Memorex Micro Travel Drive 4 GB"/>
    <n v="21.2"/>
    <n v="2"/>
    <x v="729"/>
    <x v="7"/>
    <x v="0"/>
  </r>
  <r>
    <n v="44410"/>
    <x v="327"/>
    <x v="24"/>
    <x v="0"/>
    <x v="2"/>
    <s v="Smead Adjustable Mobile File Trolley with Lockable Top"/>
    <n v="838.38"/>
    <n v="2"/>
    <x v="730"/>
    <x v="7"/>
    <x v="0"/>
  </r>
  <r>
    <n v="44411"/>
    <x v="206"/>
    <x v="26"/>
    <x v="1"/>
    <x v="13"/>
    <s v="BoxOffice By Design Rectangular and Half-Moon Meeting Room Tables"/>
    <n v="218.75"/>
    <n v="2"/>
    <x v="731"/>
    <x v="7"/>
    <x v="0"/>
  </r>
  <r>
    <n v="44411"/>
    <x v="206"/>
    <x v="26"/>
    <x v="0"/>
    <x v="12"/>
    <s v="Bravo II Megaboss 12-Amp Hard Body Upright, Replacement Belts, 2 Belts per Pack"/>
    <n v="2.6"/>
    <n v="1"/>
    <x v="732"/>
    <x v="7"/>
    <x v="0"/>
  </r>
  <r>
    <n v="44411"/>
    <x v="328"/>
    <x v="20"/>
    <x v="0"/>
    <x v="0"/>
    <s v="Xerox 1884"/>
    <n v="39.96"/>
    <n v="2"/>
    <x v="733"/>
    <x v="7"/>
    <x v="0"/>
  </r>
  <r>
    <n v="44411"/>
    <x v="328"/>
    <x v="20"/>
    <x v="0"/>
    <x v="14"/>
    <s v="Acme Box Cutter Scissors"/>
    <n v="102.3"/>
    <n v="10"/>
    <x v="734"/>
    <x v="7"/>
    <x v="0"/>
  </r>
  <r>
    <n v="44411"/>
    <x v="328"/>
    <x v="20"/>
    <x v="0"/>
    <x v="2"/>
    <s v="Staple magnet"/>
    <n v="21.36"/>
    <n v="2"/>
    <x v="169"/>
    <x v="7"/>
    <x v="0"/>
  </r>
  <r>
    <n v="44411"/>
    <x v="292"/>
    <x v="12"/>
    <x v="0"/>
    <x v="0"/>
    <s v="White Computer Printout Paper by Universal"/>
    <n v="93.02"/>
    <n v="3"/>
    <x v="735"/>
    <x v="7"/>
    <x v="0"/>
  </r>
  <r>
    <n v="44412"/>
    <x v="329"/>
    <x v="27"/>
    <x v="0"/>
    <x v="12"/>
    <s v="Hoover WindTunnel Plus Canister Vacuum"/>
    <n v="1089.75"/>
    <n v="3"/>
    <x v="736"/>
    <x v="7"/>
    <x v="0"/>
  </r>
  <r>
    <n v="44412"/>
    <x v="329"/>
    <x v="27"/>
    <x v="0"/>
    <x v="0"/>
    <s v="Xerox 1934"/>
    <n v="447.84"/>
    <n v="8"/>
    <x v="737"/>
    <x v="7"/>
    <x v="0"/>
  </r>
  <r>
    <n v="44412"/>
    <x v="329"/>
    <x v="27"/>
    <x v="0"/>
    <x v="4"/>
    <s v="Newell 329"/>
    <n v="16.399999999999999"/>
    <n v="5"/>
    <x v="738"/>
    <x v="7"/>
    <x v="0"/>
  </r>
  <r>
    <n v="44412"/>
    <x v="329"/>
    <x v="27"/>
    <x v="2"/>
    <x v="6"/>
    <s v="Panasonic KX T7731-B Digital phone"/>
    <n v="399.96"/>
    <n v="5"/>
    <x v="739"/>
    <x v="7"/>
    <x v="0"/>
  </r>
  <r>
    <n v="44412"/>
    <x v="329"/>
    <x v="27"/>
    <x v="0"/>
    <x v="2"/>
    <s v="Safco Wire Cube Shelving System, For Use as 4 or 5 14&quot; Cubes, Black"/>
    <n v="158.9"/>
    <n v="5"/>
    <x v="740"/>
    <x v="7"/>
    <x v="0"/>
  </r>
  <r>
    <n v="44412"/>
    <x v="329"/>
    <x v="27"/>
    <x v="0"/>
    <x v="3"/>
    <s v="Ibico Standard Transparent Covers"/>
    <n v="13.18"/>
    <n v="1"/>
    <x v="741"/>
    <x v="7"/>
    <x v="0"/>
  </r>
  <r>
    <n v="44412"/>
    <x v="44"/>
    <x v="41"/>
    <x v="0"/>
    <x v="12"/>
    <s v="Eureka The Boss Cordless Rechargeable Stick Vac"/>
    <n v="101.96"/>
    <n v="2"/>
    <x v="742"/>
    <x v="7"/>
    <x v="0"/>
  </r>
  <r>
    <n v="44412"/>
    <x v="44"/>
    <x v="41"/>
    <x v="0"/>
    <x v="0"/>
    <s v="Southworth 25% Cotton Premium Laser Paper and Envelopes"/>
    <n v="259.74"/>
    <n v="13"/>
    <x v="743"/>
    <x v="7"/>
    <x v="0"/>
  </r>
  <r>
    <n v="44412"/>
    <x v="44"/>
    <x v="41"/>
    <x v="2"/>
    <x v="9"/>
    <s v="Maxell 4.7GB DVD-R"/>
    <n v="255.42"/>
    <n v="9"/>
    <x v="744"/>
    <x v="7"/>
    <x v="0"/>
  </r>
  <r>
    <n v="44413"/>
    <x v="330"/>
    <x v="3"/>
    <x v="0"/>
    <x v="0"/>
    <s v="Adams Phone Message Book, Professional, 400 Message Capacity, 5 3/6Â” x 11Â”"/>
    <n v="20.94"/>
    <n v="3"/>
    <x v="745"/>
    <x v="7"/>
    <x v="0"/>
  </r>
  <r>
    <n v="44413"/>
    <x v="330"/>
    <x v="3"/>
    <x v="0"/>
    <x v="0"/>
    <s v="Xerox 1913"/>
    <n v="110.96"/>
    <n v="2"/>
    <x v="746"/>
    <x v="7"/>
    <x v="0"/>
  </r>
  <r>
    <n v="44413"/>
    <x v="330"/>
    <x v="3"/>
    <x v="1"/>
    <x v="5"/>
    <s v="Global Value Steno Chair, Gray"/>
    <n v="340.14"/>
    <n v="7"/>
    <x v="747"/>
    <x v="7"/>
    <x v="0"/>
  </r>
  <r>
    <n v="44413"/>
    <x v="331"/>
    <x v="3"/>
    <x v="2"/>
    <x v="9"/>
    <s v="Logitech Desktop MK120 Mouse and keyboard Combo"/>
    <n v="16.36"/>
    <n v="1"/>
    <x v="606"/>
    <x v="7"/>
    <x v="0"/>
  </r>
  <r>
    <n v="44413"/>
    <x v="331"/>
    <x v="3"/>
    <x v="0"/>
    <x v="2"/>
    <s v="Akro Stacking Bins"/>
    <n v="15.78"/>
    <n v="2"/>
    <x v="748"/>
    <x v="7"/>
    <x v="0"/>
  </r>
  <r>
    <n v="44413"/>
    <x v="331"/>
    <x v="3"/>
    <x v="0"/>
    <x v="4"/>
    <s v="Boston KS Multi-Size Manual Pencil Sharpener"/>
    <n v="45.98"/>
    <n v="2"/>
    <x v="749"/>
    <x v="7"/>
    <x v="0"/>
  </r>
  <r>
    <n v="44413"/>
    <x v="332"/>
    <x v="37"/>
    <x v="0"/>
    <x v="12"/>
    <s v="Fellowes Advanced Computer Series Surge Protectors"/>
    <n v="79.47"/>
    <n v="3"/>
    <x v="750"/>
    <x v="7"/>
    <x v="0"/>
  </r>
  <r>
    <n v="44413"/>
    <x v="332"/>
    <x v="37"/>
    <x v="0"/>
    <x v="4"/>
    <s v="Binney &amp; Smith inkTank Erasable Pocket Highlighter, Chisel Tip, Yellow"/>
    <n v="4.5599999999999996"/>
    <n v="2"/>
    <x v="751"/>
    <x v="7"/>
    <x v="0"/>
  </r>
  <r>
    <n v="44413"/>
    <x v="332"/>
    <x v="37"/>
    <x v="1"/>
    <x v="5"/>
    <s v="Hon GuestStacker Chair"/>
    <n v="1133.3499999999999"/>
    <n v="5"/>
    <x v="752"/>
    <x v="7"/>
    <x v="0"/>
  </r>
  <r>
    <n v="44413"/>
    <x v="153"/>
    <x v="20"/>
    <x v="2"/>
    <x v="6"/>
    <s v="Plantronics CS 50-USB -Â headsetÂ - Convertible, Monaural"/>
    <n v="135.99"/>
    <n v="1"/>
    <x v="753"/>
    <x v="7"/>
    <x v="0"/>
  </r>
  <r>
    <n v="44413"/>
    <x v="153"/>
    <x v="20"/>
    <x v="0"/>
    <x v="4"/>
    <s v="Binney &amp; Smith inkTank Erasable Pocket Highlighter, Chisel Tip, Yellow"/>
    <n v="15.96"/>
    <n v="7"/>
    <x v="162"/>
    <x v="7"/>
    <x v="0"/>
  </r>
  <r>
    <n v="44413"/>
    <x v="333"/>
    <x v="0"/>
    <x v="1"/>
    <x v="13"/>
    <s v="SAFCO PlanMaster Heigh-Adjustable Drafting Table Base, 43w x 30d x 30-37h, Black"/>
    <n v="489.23"/>
    <n v="2"/>
    <x v="754"/>
    <x v="7"/>
    <x v="0"/>
  </r>
  <r>
    <n v="44414"/>
    <x v="334"/>
    <x v="9"/>
    <x v="2"/>
    <x v="9"/>
    <s v="Maxell 74 Minute CD-R Spindle, 50/Pack"/>
    <n v="62.91"/>
    <n v="3"/>
    <x v="755"/>
    <x v="7"/>
    <x v="0"/>
  </r>
  <r>
    <n v="44414"/>
    <x v="335"/>
    <x v="20"/>
    <x v="2"/>
    <x v="9"/>
    <s v="Logitech G700s Rechargeable Gaming Mouse"/>
    <n v="199.98"/>
    <n v="2"/>
    <x v="756"/>
    <x v="7"/>
    <x v="0"/>
  </r>
  <r>
    <n v="44416"/>
    <x v="336"/>
    <x v="3"/>
    <x v="0"/>
    <x v="12"/>
    <s v="Fellowes Superior 10 Outlet Split Surge Protector"/>
    <n v="76.12"/>
    <n v="2"/>
    <x v="757"/>
    <x v="7"/>
    <x v="0"/>
  </r>
  <r>
    <n v="44416"/>
    <x v="336"/>
    <x v="3"/>
    <x v="2"/>
    <x v="16"/>
    <s v="Sharp AL-1530CS Digital Copier"/>
    <n v="1199.98"/>
    <n v="3"/>
    <x v="758"/>
    <x v="7"/>
    <x v="0"/>
  </r>
  <r>
    <n v="44416"/>
    <x v="336"/>
    <x v="3"/>
    <x v="2"/>
    <x v="6"/>
    <s v="AT&amp;T 1070 Corded Phone"/>
    <n v="445.96"/>
    <n v="5"/>
    <x v="759"/>
    <x v="7"/>
    <x v="0"/>
  </r>
  <r>
    <n v="44416"/>
    <x v="336"/>
    <x v="3"/>
    <x v="1"/>
    <x v="8"/>
    <s v="Dana Halogen Swing-Arm Architect Lamp"/>
    <n v="327.76"/>
    <n v="8"/>
    <x v="760"/>
    <x v="7"/>
    <x v="0"/>
  </r>
  <r>
    <n v="44416"/>
    <x v="337"/>
    <x v="12"/>
    <x v="1"/>
    <x v="8"/>
    <s v="Eldon Delta Triangular Chair Mat, 52&quot; x 58&quot;, Clear"/>
    <n v="121.38"/>
    <n v="4"/>
    <x v="761"/>
    <x v="7"/>
    <x v="0"/>
  </r>
  <r>
    <n v="44416"/>
    <x v="337"/>
    <x v="12"/>
    <x v="2"/>
    <x v="9"/>
    <s v="SanDisk Ultra 64 GB MicroSDHC Class 10 Memory Card"/>
    <n v="95.98"/>
    <n v="3"/>
    <x v="762"/>
    <x v="7"/>
    <x v="0"/>
  </r>
  <r>
    <n v="44416"/>
    <x v="51"/>
    <x v="3"/>
    <x v="0"/>
    <x v="2"/>
    <s v="Advantus Rolling Drawer Organizers"/>
    <n v="423.28"/>
    <n v="11"/>
    <x v="763"/>
    <x v="7"/>
    <x v="0"/>
  </r>
  <r>
    <n v="44416"/>
    <x v="338"/>
    <x v="14"/>
    <x v="2"/>
    <x v="16"/>
    <s v="Sharp 1540cs Digital Laser Copier"/>
    <n v="549.99"/>
    <n v="1"/>
    <x v="764"/>
    <x v="7"/>
    <x v="0"/>
  </r>
  <r>
    <n v="44416"/>
    <x v="338"/>
    <x v="14"/>
    <x v="0"/>
    <x v="12"/>
    <s v="Acco Smartsocket Table Surge Protector, 6 Color-Coded Adapter Outlets"/>
    <n v="167.54"/>
    <n v="3"/>
    <x v="765"/>
    <x v="7"/>
    <x v="0"/>
  </r>
  <r>
    <n v="44416"/>
    <x v="338"/>
    <x v="14"/>
    <x v="0"/>
    <x v="10"/>
    <s v="Globe Weis Peel &amp; Seel First Class Envelopes"/>
    <n v="38.340000000000003"/>
    <n v="3"/>
    <x v="766"/>
    <x v="7"/>
    <x v="0"/>
  </r>
  <r>
    <n v="44416"/>
    <x v="338"/>
    <x v="14"/>
    <x v="1"/>
    <x v="8"/>
    <s v="Nu-Dell Float Frame 11 x 14 1/2"/>
    <n v="53.88"/>
    <n v="6"/>
    <x v="767"/>
    <x v="7"/>
    <x v="0"/>
  </r>
  <r>
    <n v="44416"/>
    <x v="338"/>
    <x v="14"/>
    <x v="2"/>
    <x v="6"/>
    <s v="Motorola Droid Maxx"/>
    <n v="299.98"/>
    <n v="2"/>
    <x v="756"/>
    <x v="7"/>
    <x v="0"/>
  </r>
  <r>
    <n v="44416"/>
    <x v="339"/>
    <x v="16"/>
    <x v="1"/>
    <x v="11"/>
    <s v="O'Sullivan 2-Shelf Heavy-Duty Bookcases"/>
    <n v="155.46"/>
    <n v="4"/>
    <x v="768"/>
    <x v="7"/>
    <x v="0"/>
  </r>
  <r>
    <n v="44417"/>
    <x v="340"/>
    <x v="16"/>
    <x v="2"/>
    <x v="6"/>
    <s v="AT&amp;T 1070 Corded Phone"/>
    <n v="178.38"/>
    <n v="2"/>
    <x v="769"/>
    <x v="7"/>
    <x v="0"/>
  </r>
  <r>
    <n v="44417"/>
    <x v="340"/>
    <x v="16"/>
    <x v="0"/>
    <x v="0"/>
    <s v="Xerox 21"/>
    <n v="15.55"/>
    <n v="3"/>
    <x v="192"/>
    <x v="7"/>
    <x v="0"/>
  </r>
  <r>
    <n v="44417"/>
    <x v="341"/>
    <x v="3"/>
    <x v="0"/>
    <x v="1"/>
    <s v="Avery 494"/>
    <n v="20.88"/>
    <n v="8"/>
    <x v="665"/>
    <x v="7"/>
    <x v="0"/>
  </r>
  <r>
    <n v="44417"/>
    <x v="342"/>
    <x v="22"/>
    <x v="2"/>
    <x v="6"/>
    <s v="Cisco Unified IP Phone 7945G VoIP phone"/>
    <n v="1091.17"/>
    <n v="4"/>
    <x v="770"/>
    <x v="7"/>
    <x v="0"/>
  </r>
  <r>
    <n v="44417"/>
    <x v="342"/>
    <x v="22"/>
    <x v="2"/>
    <x v="6"/>
    <s v="Jawbone MINI JAMBOX Wireless Bluetooth Speaker"/>
    <n v="219.17"/>
    <n v="2"/>
    <x v="771"/>
    <x v="7"/>
    <x v="0"/>
  </r>
  <r>
    <n v="44417"/>
    <x v="343"/>
    <x v="22"/>
    <x v="0"/>
    <x v="3"/>
    <s v="Ibico Ibimaster 300 Manual Binding System"/>
    <n v="2060.7399999999998"/>
    <n v="7"/>
    <x v="772"/>
    <x v="7"/>
    <x v="0"/>
  </r>
  <r>
    <n v="44417"/>
    <x v="344"/>
    <x v="3"/>
    <x v="0"/>
    <x v="0"/>
    <s v="Great White Multi-Use Recycled Paper (20Lb. and 84 Bright)"/>
    <n v="5.98"/>
    <n v="1"/>
    <x v="773"/>
    <x v="7"/>
    <x v="0"/>
  </r>
  <r>
    <n v="44417"/>
    <x v="310"/>
    <x v="12"/>
    <x v="0"/>
    <x v="7"/>
    <s v="Super Bands, 12/Pack"/>
    <n v="4.46"/>
    <n v="3"/>
    <x v="774"/>
    <x v="7"/>
    <x v="0"/>
  </r>
  <r>
    <n v="44417"/>
    <x v="310"/>
    <x v="12"/>
    <x v="0"/>
    <x v="3"/>
    <s v="Avery Hole Reinforcements"/>
    <n v="9.35"/>
    <n v="5"/>
    <x v="775"/>
    <x v="7"/>
    <x v="0"/>
  </r>
  <r>
    <n v="44419"/>
    <x v="193"/>
    <x v="22"/>
    <x v="1"/>
    <x v="8"/>
    <s v="Eldon Image Series Desk Accessories, Ebony"/>
    <n v="12.35"/>
    <n v="1"/>
    <x v="776"/>
    <x v="7"/>
    <x v="0"/>
  </r>
  <r>
    <n v="44419"/>
    <x v="193"/>
    <x v="22"/>
    <x v="0"/>
    <x v="4"/>
    <s v="Sanford 52201 APSCO Electric Pencil Sharpener"/>
    <n v="40.97"/>
    <n v="1"/>
    <x v="529"/>
    <x v="7"/>
    <x v="0"/>
  </r>
  <r>
    <n v="44419"/>
    <x v="193"/>
    <x v="22"/>
    <x v="0"/>
    <x v="7"/>
    <s v="Vinyl Coated Wire Paper Clips in Organizer Box, 800/Box"/>
    <n v="22.96"/>
    <n v="2"/>
    <x v="777"/>
    <x v="7"/>
    <x v="0"/>
  </r>
  <r>
    <n v="44419"/>
    <x v="318"/>
    <x v="20"/>
    <x v="0"/>
    <x v="2"/>
    <s v="Tennsco Single-Tier Lockers"/>
    <n v="375.34"/>
    <n v="1"/>
    <x v="778"/>
    <x v="7"/>
    <x v="0"/>
  </r>
  <r>
    <n v="44420"/>
    <x v="345"/>
    <x v="23"/>
    <x v="0"/>
    <x v="3"/>
    <s v="Performers Binder/Pad Holder, Black"/>
    <n v="196.21"/>
    <n v="7"/>
    <x v="779"/>
    <x v="7"/>
    <x v="0"/>
  </r>
  <r>
    <n v="44420"/>
    <x v="346"/>
    <x v="3"/>
    <x v="2"/>
    <x v="6"/>
    <s v="BlackBerry Q10"/>
    <n v="806.34"/>
    <n v="8"/>
    <x v="780"/>
    <x v="7"/>
    <x v="0"/>
  </r>
  <r>
    <n v="44420"/>
    <x v="346"/>
    <x v="3"/>
    <x v="1"/>
    <x v="8"/>
    <s v="Seth Thomas 14&quot; Day/Date Wall Clock"/>
    <n v="85.44"/>
    <n v="3"/>
    <x v="781"/>
    <x v="7"/>
    <x v="0"/>
  </r>
  <r>
    <n v="44420"/>
    <x v="347"/>
    <x v="16"/>
    <x v="0"/>
    <x v="0"/>
    <s v="Xerox 229"/>
    <n v="31.1"/>
    <n v="6"/>
    <x v="782"/>
    <x v="7"/>
    <x v="0"/>
  </r>
  <r>
    <n v="44420"/>
    <x v="347"/>
    <x v="16"/>
    <x v="0"/>
    <x v="4"/>
    <s v="Bulldog Vacuum Base Pencil Sharpener"/>
    <n v="47.96"/>
    <n v="5"/>
    <x v="783"/>
    <x v="7"/>
    <x v="0"/>
  </r>
  <r>
    <n v="44420"/>
    <x v="347"/>
    <x v="16"/>
    <x v="2"/>
    <x v="9"/>
    <s v="Maxell 4.7GB DVD-R"/>
    <n v="158.93"/>
    <n v="7"/>
    <x v="784"/>
    <x v="7"/>
    <x v="0"/>
  </r>
  <r>
    <n v="44420"/>
    <x v="347"/>
    <x v="16"/>
    <x v="0"/>
    <x v="12"/>
    <s v="Acco Smartsocket Color-Coded Six-Outlet AC Adapter Model Surge Protectors"/>
    <n v="211.25"/>
    <n v="6"/>
    <x v="785"/>
    <x v="7"/>
    <x v="0"/>
  </r>
  <r>
    <n v="44420"/>
    <x v="347"/>
    <x v="16"/>
    <x v="0"/>
    <x v="14"/>
    <s v="Acco Side-Punched Conventional Columnar Pads"/>
    <n v="5.55"/>
    <n v="2"/>
    <x v="786"/>
    <x v="7"/>
    <x v="0"/>
  </r>
  <r>
    <n v="44420"/>
    <x v="347"/>
    <x v="16"/>
    <x v="0"/>
    <x v="1"/>
    <s v="Avery 501"/>
    <n v="2.95"/>
    <n v="1"/>
    <x v="202"/>
    <x v="7"/>
    <x v="0"/>
  </r>
  <r>
    <n v="44420"/>
    <x v="172"/>
    <x v="4"/>
    <x v="0"/>
    <x v="3"/>
    <s v="Acco Translucent Poly Ring Binders"/>
    <n v="14.04"/>
    <n v="3"/>
    <x v="787"/>
    <x v="7"/>
    <x v="0"/>
  </r>
  <r>
    <n v="44420"/>
    <x v="172"/>
    <x v="4"/>
    <x v="2"/>
    <x v="9"/>
    <s v="Maxell 74 Minute CD-R Spindle, 50/Pack"/>
    <n v="272.61"/>
    <n v="13"/>
    <x v="788"/>
    <x v="7"/>
    <x v="0"/>
  </r>
  <r>
    <n v="44423"/>
    <x v="348"/>
    <x v="0"/>
    <x v="0"/>
    <x v="3"/>
    <s v="GBC Durable Plastic Covers"/>
    <n v="30.96"/>
    <n v="8"/>
    <x v="789"/>
    <x v="7"/>
    <x v="0"/>
  </r>
  <r>
    <n v="44423"/>
    <x v="349"/>
    <x v="37"/>
    <x v="0"/>
    <x v="3"/>
    <s v="Premium Transparent Presentation Covers by GBC"/>
    <n v="62.94"/>
    <n v="3"/>
    <x v="790"/>
    <x v="7"/>
    <x v="0"/>
  </r>
  <r>
    <n v="44423"/>
    <x v="349"/>
    <x v="16"/>
    <x v="0"/>
    <x v="0"/>
    <s v="Xerox 1955"/>
    <n v="91.36"/>
    <n v="5"/>
    <x v="791"/>
    <x v="7"/>
    <x v="0"/>
  </r>
  <r>
    <n v="44423"/>
    <x v="349"/>
    <x v="16"/>
    <x v="0"/>
    <x v="12"/>
    <s v="Fellowes Superior 10 Outlet Split Surge Protector"/>
    <n v="152.24"/>
    <n v="5"/>
    <x v="792"/>
    <x v="7"/>
    <x v="0"/>
  </r>
  <r>
    <n v="44423"/>
    <x v="12"/>
    <x v="3"/>
    <x v="0"/>
    <x v="12"/>
    <s v="Tripp Lite TLP810NET Broadband Surge for Modem/Fax"/>
    <n v="152.91"/>
    <n v="3"/>
    <x v="793"/>
    <x v="7"/>
    <x v="0"/>
  </r>
  <r>
    <n v="44423"/>
    <x v="12"/>
    <x v="3"/>
    <x v="0"/>
    <x v="0"/>
    <s v="Xerox 1925"/>
    <n v="92.94"/>
    <n v="3"/>
    <x v="794"/>
    <x v="7"/>
    <x v="0"/>
  </r>
  <r>
    <n v="44423"/>
    <x v="12"/>
    <x v="3"/>
    <x v="0"/>
    <x v="3"/>
    <s v="Avery Heavy-Duty EZD  Binder With Locking Rings"/>
    <n v="17.86"/>
    <n v="4"/>
    <x v="795"/>
    <x v="7"/>
    <x v="0"/>
  </r>
  <r>
    <n v="44423"/>
    <x v="12"/>
    <x v="3"/>
    <x v="0"/>
    <x v="3"/>
    <s v="GBC Durable Plastic Covers"/>
    <n v="46.44"/>
    <n v="3"/>
    <x v="796"/>
    <x v="7"/>
    <x v="0"/>
  </r>
  <r>
    <n v="44423"/>
    <x v="12"/>
    <x v="3"/>
    <x v="1"/>
    <x v="5"/>
    <s v="Novimex Fabric Task Chair"/>
    <n v="195.14"/>
    <n v="4"/>
    <x v="797"/>
    <x v="7"/>
    <x v="0"/>
  </r>
  <r>
    <n v="44424"/>
    <x v="350"/>
    <x v="2"/>
    <x v="1"/>
    <x v="13"/>
    <s v="Chromcraft Rectangular Conference Tables"/>
    <n v="853.09"/>
    <n v="6"/>
    <x v="798"/>
    <x v="7"/>
    <x v="0"/>
  </r>
  <r>
    <n v="44425"/>
    <x v="127"/>
    <x v="0"/>
    <x v="0"/>
    <x v="0"/>
    <s v="Xerox 203"/>
    <n v="15.55"/>
    <n v="3"/>
    <x v="192"/>
    <x v="7"/>
    <x v="0"/>
  </r>
  <r>
    <n v="44425"/>
    <x v="351"/>
    <x v="13"/>
    <x v="0"/>
    <x v="0"/>
    <s v="Xerox 1929"/>
    <n v="114.2"/>
    <n v="5"/>
    <x v="799"/>
    <x v="7"/>
    <x v="0"/>
  </r>
  <r>
    <n v="44425"/>
    <x v="351"/>
    <x v="13"/>
    <x v="0"/>
    <x v="3"/>
    <s v="Avery Non-Stick Binders"/>
    <n v="17.96"/>
    <n v="4"/>
    <x v="800"/>
    <x v="7"/>
    <x v="0"/>
  </r>
  <r>
    <n v="44425"/>
    <x v="351"/>
    <x v="13"/>
    <x v="0"/>
    <x v="7"/>
    <s v="Colored Push Pins"/>
    <n v="12.67"/>
    <n v="7"/>
    <x v="801"/>
    <x v="7"/>
    <x v="0"/>
  </r>
  <r>
    <n v="44425"/>
    <x v="351"/>
    <x v="13"/>
    <x v="2"/>
    <x v="9"/>
    <s v="LogitechÂ Gaming G510s - Keyboard"/>
    <n v="339.96"/>
    <n v="4"/>
    <x v="802"/>
    <x v="7"/>
    <x v="0"/>
  </r>
  <r>
    <n v="44427"/>
    <x v="232"/>
    <x v="10"/>
    <x v="0"/>
    <x v="4"/>
    <s v="Turquoise Lead Holder with Pocket Clip"/>
    <n v="10.72"/>
    <n v="2"/>
    <x v="803"/>
    <x v="7"/>
    <x v="0"/>
  </r>
  <r>
    <n v="44427"/>
    <x v="282"/>
    <x v="10"/>
    <x v="0"/>
    <x v="3"/>
    <s v="GBC DocuBind P50 Personal Binding Machine"/>
    <n v="76.78"/>
    <n v="4"/>
    <x v="804"/>
    <x v="7"/>
    <x v="0"/>
  </r>
  <r>
    <n v="44427"/>
    <x v="282"/>
    <x v="10"/>
    <x v="0"/>
    <x v="14"/>
    <s v="Acme Kleencut Forged Steel Scissors"/>
    <n v="9.18"/>
    <n v="2"/>
    <x v="805"/>
    <x v="7"/>
    <x v="0"/>
  </r>
  <r>
    <n v="44427"/>
    <x v="352"/>
    <x v="13"/>
    <x v="1"/>
    <x v="11"/>
    <s v="Hon Metal Bookcases, Gray"/>
    <n v="638.82000000000005"/>
    <n v="9"/>
    <x v="806"/>
    <x v="7"/>
    <x v="0"/>
  </r>
  <r>
    <n v="44427"/>
    <x v="17"/>
    <x v="3"/>
    <x v="1"/>
    <x v="8"/>
    <s v="Deflect-o EconoMat Studded, No Bevel Mat for Low Pile Carpeting"/>
    <n v="289.24"/>
    <n v="7"/>
    <x v="807"/>
    <x v="7"/>
    <x v="0"/>
  </r>
  <r>
    <n v="44427"/>
    <x v="17"/>
    <x v="3"/>
    <x v="0"/>
    <x v="3"/>
    <s v="Satellite Sectional Post Binders"/>
    <n v="69.459999999999994"/>
    <n v="2"/>
    <x v="808"/>
    <x v="7"/>
    <x v="0"/>
  </r>
  <r>
    <n v="44427"/>
    <x v="183"/>
    <x v="4"/>
    <x v="0"/>
    <x v="2"/>
    <s v="Space Solutions HD Industrial Steel Shelving."/>
    <n v="344.91"/>
    <n v="3"/>
    <x v="381"/>
    <x v="7"/>
    <x v="0"/>
  </r>
  <r>
    <n v="44428"/>
    <x v="353"/>
    <x v="1"/>
    <x v="1"/>
    <x v="5"/>
    <s v="Global Leather and Oak Executive Chair, Black"/>
    <n v="421.37"/>
    <n v="2"/>
    <x v="809"/>
    <x v="7"/>
    <x v="0"/>
  </r>
  <r>
    <n v="44428"/>
    <x v="317"/>
    <x v="6"/>
    <x v="1"/>
    <x v="5"/>
    <s v="Safco Chair Connectors, 6/Carton"/>
    <n v="500.24"/>
    <n v="13"/>
    <x v="810"/>
    <x v="7"/>
    <x v="0"/>
  </r>
  <r>
    <n v="44428"/>
    <x v="317"/>
    <x v="6"/>
    <x v="0"/>
    <x v="0"/>
    <s v="Riverleaf Stik-Withit Designer Note Cubes"/>
    <n v="20.12"/>
    <n v="2"/>
    <x v="713"/>
    <x v="7"/>
    <x v="0"/>
  </r>
  <r>
    <n v="44428"/>
    <x v="317"/>
    <x v="6"/>
    <x v="0"/>
    <x v="3"/>
    <s v="GBC DocuBind TL300 Electric Binding System"/>
    <n v="896.99"/>
    <n v="1"/>
    <x v="811"/>
    <x v="7"/>
    <x v="0"/>
  </r>
  <r>
    <n v="44430"/>
    <x v="354"/>
    <x v="10"/>
    <x v="0"/>
    <x v="4"/>
    <s v="Faber Castell Col-Erase Pencils"/>
    <n v="3.91"/>
    <n v="1"/>
    <x v="812"/>
    <x v="7"/>
    <x v="0"/>
  </r>
  <r>
    <n v="44430"/>
    <x v="355"/>
    <x v="16"/>
    <x v="0"/>
    <x v="14"/>
    <s v="Acme Serrated Blade Letter Opener"/>
    <n v="7.63"/>
    <n v="3"/>
    <x v="813"/>
    <x v="7"/>
    <x v="0"/>
  </r>
  <r>
    <n v="44430"/>
    <x v="259"/>
    <x v="24"/>
    <x v="0"/>
    <x v="0"/>
    <s v="Xerox 1899"/>
    <n v="11.56"/>
    <n v="2"/>
    <x v="814"/>
    <x v="7"/>
    <x v="0"/>
  </r>
  <r>
    <n v="44431"/>
    <x v="356"/>
    <x v="20"/>
    <x v="0"/>
    <x v="0"/>
    <s v="Xerox 1994"/>
    <n v="25.92"/>
    <n v="4"/>
    <x v="496"/>
    <x v="7"/>
    <x v="0"/>
  </r>
  <r>
    <n v="44431"/>
    <x v="356"/>
    <x v="20"/>
    <x v="0"/>
    <x v="0"/>
    <s v="Personal Creations Ink Jet Cards and Labels"/>
    <n v="45.92"/>
    <n v="4"/>
    <x v="815"/>
    <x v="7"/>
    <x v="0"/>
  </r>
  <r>
    <n v="44431"/>
    <x v="357"/>
    <x v="3"/>
    <x v="0"/>
    <x v="3"/>
    <s v="GBC Linen Binding Covers"/>
    <n v="49.57"/>
    <n v="2"/>
    <x v="816"/>
    <x v="7"/>
    <x v="0"/>
  </r>
  <r>
    <n v="44431"/>
    <x v="358"/>
    <x v="26"/>
    <x v="0"/>
    <x v="0"/>
    <s v="Xerox 1976"/>
    <n v="15.55"/>
    <n v="3"/>
    <x v="192"/>
    <x v="7"/>
    <x v="0"/>
  </r>
  <r>
    <n v="44431"/>
    <x v="358"/>
    <x v="26"/>
    <x v="0"/>
    <x v="14"/>
    <s v="Acme Titanium Bonded Scissors"/>
    <n v="6.8"/>
    <n v="1"/>
    <x v="817"/>
    <x v="7"/>
    <x v="0"/>
  </r>
  <r>
    <n v="44431"/>
    <x v="358"/>
    <x v="26"/>
    <x v="1"/>
    <x v="8"/>
    <s v="Regeneration Desk Collection"/>
    <n v="4.22"/>
    <n v="3"/>
    <x v="818"/>
    <x v="7"/>
    <x v="0"/>
  </r>
  <r>
    <n v="44431"/>
    <x v="358"/>
    <x v="26"/>
    <x v="2"/>
    <x v="6"/>
    <s v="Cisco SPA525G2 IP Phone - Wireless"/>
    <n v="143.63999999999999"/>
    <n v="9"/>
    <x v="819"/>
    <x v="7"/>
    <x v="0"/>
  </r>
  <r>
    <n v="44431"/>
    <x v="358"/>
    <x v="26"/>
    <x v="0"/>
    <x v="0"/>
    <s v="Xerox 1931"/>
    <n v="31.1"/>
    <n v="6"/>
    <x v="782"/>
    <x v="7"/>
    <x v="0"/>
  </r>
  <r>
    <n v="44431"/>
    <x v="358"/>
    <x v="26"/>
    <x v="0"/>
    <x v="0"/>
    <s v="Xerox 1988"/>
    <n v="223.06"/>
    <n v="9"/>
    <x v="820"/>
    <x v="7"/>
    <x v="0"/>
  </r>
  <r>
    <n v="44431"/>
    <x v="234"/>
    <x v="14"/>
    <x v="0"/>
    <x v="0"/>
    <s v="Xerox 1993"/>
    <n v="19.440000000000001"/>
    <n v="3"/>
    <x v="821"/>
    <x v="7"/>
    <x v="0"/>
  </r>
  <r>
    <n v="44432"/>
    <x v="357"/>
    <x v="35"/>
    <x v="0"/>
    <x v="3"/>
    <s v="SlimView Poly Binder, 3/8&quot;"/>
    <n v="8.2899999999999991"/>
    <n v="2"/>
    <x v="773"/>
    <x v="7"/>
    <x v="0"/>
  </r>
  <r>
    <n v="44432"/>
    <x v="359"/>
    <x v="20"/>
    <x v="1"/>
    <x v="8"/>
    <s v="G.E. Longer-Life Indoor Recessed Floodlight Bulbs"/>
    <n v="13.28"/>
    <n v="2"/>
    <x v="822"/>
    <x v="7"/>
    <x v="0"/>
  </r>
  <r>
    <n v="44432"/>
    <x v="359"/>
    <x v="20"/>
    <x v="0"/>
    <x v="3"/>
    <s v="Wilson Jones 1&quot; Hanging DublLock Ring Binders"/>
    <n v="12.67"/>
    <n v="3"/>
    <x v="823"/>
    <x v="7"/>
    <x v="0"/>
  </r>
  <r>
    <n v="44432"/>
    <x v="360"/>
    <x v="5"/>
    <x v="0"/>
    <x v="14"/>
    <s v="Acme Titanium Bonded Scissors"/>
    <n v="25.5"/>
    <n v="3"/>
    <x v="824"/>
    <x v="7"/>
    <x v="0"/>
  </r>
  <r>
    <n v="44433"/>
    <x v="361"/>
    <x v="10"/>
    <x v="0"/>
    <x v="7"/>
    <s v="OIC Colored Binder Clips, Assorted Sizes"/>
    <n v="40.1"/>
    <n v="14"/>
    <x v="825"/>
    <x v="7"/>
    <x v="0"/>
  </r>
  <r>
    <n v="44433"/>
    <x v="361"/>
    <x v="10"/>
    <x v="0"/>
    <x v="10"/>
    <s v="Redi-Strip #10 Envelopes, 4 1/8 x 9 1/2"/>
    <n v="4.72"/>
    <n v="2"/>
    <x v="826"/>
    <x v="7"/>
    <x v="0"/>
  </r>
  <r>
    <n v="44433"/>
    <x v="361"/>
    <x v="10"/>
    <x v="0"/>
    <x v="0"/>
    <s v="Xerox 1921"/>
    <n v="23.98"/>
    <n v="3"/>
    <x v="509"/>
    <x v="7"/>
    <x v="0"/>
  </r>
  <r>
    <n v="44433"/>
    <x v="361"/>
    <x v="10"/>
    <x v="0"/>
    <x v="10"/>
    <s v="Tyvek  Top-Opening Peel &amp; Seel Envelopes, Plain White"/>
    <n v="130.46"/>
    <n v="6"/>
    <x v="827"/>
    <x v="7"/>
    <x v="0"/>
  </r>
  <r>
    <n v="44433"/>
    <x v="362"/>
    <x v="3"/>
    <x v="1"/>
    <x v="8"/>
    <s v="Eldon 200 Class Desk Accessories, Smoke"/>
    <n v="6.28"/>
    <n v="1"/>
    <x v="172"/>
    <x v="7"/>
    <x v="0"/>
  </r>
  <r>
    <n v="44433"/>
    <x v="362"/>
    <x v="3"/>
    <x v="2"/>
    <x v="9"/>
    <s v="SanDisk Cruzer 32 GB USB Flash Drive"/>
    <n v="95.1"/>
    <n v="5"/>
    <x v="828"/>
    <x v="7"/>
    <x v="0"/>
  </r>
  <r>
    <n v="44433"/>
    <x v="362"/>
    <x v="3"/>
    <x v="0"/>
    <x v="0"/>
    <s v="Xerox 23"/>
    <n v="25.92"/>
    <n v="4"/>
    <x v="496"/>
    <x v="7"/>
    <x v="0"/>
  </r>
  <r>
    <n v="44433"/>
    <x v="362"/>
    <x v="3"/>
    <x v="0"/>
    <x v="2"/>
    <s v="Portable Personal File Box"/>
    <n v="48.84"/>
    <n v="4"/>
    <x v="829"/>
    <x v="7"/>
    <x v="0"/>
  </r>
  <r>
    <n v="44433"/>
    <x v="363"/>
    <x v="22"/>
    <x v="2"/>
    <x v="6"/>
    <s v="Polycom VVX 310 VoIP phone"/>
    <n v="1007.94"/>
    <n v="7"/>
    <x v="830"/>
    <x v="7"/>
    <x v="0"/>
  </r>
  <r>
    <n v="44433"/>
    <x v="364"/>
    <x v="0"/>
    <x v="0"/>
    <x v="3"/>
    <s v="Wilson Jones Elliptical Ring 3 1/2&quot; Capacity Binders, 800 sheets"/>
    <n v="25.68"/>
    <n v="3"/>
    <x v="831"/>
    <x v="7"/>
    <x v="0"/>
  </r>
  <r>
    <n v="44433"/>
    <x v="364"/>
    <x v="0"/>
    <x v="0"/>
    <x v="3"/>
    <s v="Square Ring Data Binders, Rigid 75 Pt. Covers, 11&quot; x 14-7/8&quot;"/>
    <n v="12.38"/>
    <n v="3"/>
    <x v="832"/>
    <x v="7"/>
    <x v="0"/>
  </r>
  <r>
    <n v="44433"/>
    <x v="14"/>
    <x v="10"/>
    <x v="0"/>
    <x v="3"/>
    <s v="Wilson Jones Custom Binder Spines &amp; Labels"/>
    <n v="6.53"/>
    <n v="4"/>
    <x v="833"/>
    <x v="7"/>
    <x v="0"/>
  </r>
  <r>
    <n v="44433"/>
    <x v="14"/>
    <x v="10"/>
    <x v="0"/>
    <x v="3"/>
    <s v="Insertable Tab Indexes For Data Binders"/>
    <n v="2.86"/>
    <n v="3"/>
    <x v="834"/>
    <x v="7"/>
    <x v="0"/>
  </r>
  <r>
    <n v="44433"/>
    <x v="14"/>
    <x v="10"/>
    <x v="0"/>
    <x v="3"/>
    <s v="Cardinal Slant-D Ring Binder, Heavy Gauge Vinyl"/>
    <n v="20.86"/>
    <n v="8"/>
    <x v="835"/>
    <x v="7"/>
    <x v="0"/>
  </r>
  <r>
    <n v="44434"/>
    <x v="365"/>
    <x v="3"/>
    <x v="2"/>
    <x v="9"/>
    <s v="SanDisk Ultra 32 GB MicroSDHC Class 10 Memory Card"/>
    <n v="176.8"/>
    <n v="8"/>
    <x v="836"/>
    <x v="7"/>
    <x v="0"/>
  </r>
  <r>
    <n v="44434"/>
    <x v="366"/>
    <x v="7"/>
    <x v="1"/>
    <x v="8"/>
    <s v="Acrylic Self-Standing Desk Frames"/>
    <n v="10.68"/>
    <n v="4"/>
    <x v="837"/>
    <x v="7"/>
    <x v="0"/>
  </r>
  <r>
    <n v="44434"/>
    <x v="366"/>
    <x v="7"/>
    <x v="0"/>
    <x v="0"/>
    <s v="Xerox 1978"/>
    <n v="17.34"/>
    <n v="3"/>
    <x v="838"/>
    <x v="7"/>
    <x v="0"/>
  </r>
  <r>
    <n v="44434"/>
    <x v="366"/>
    <x v="7"/>
    <x v="0"/>
    <x v="0"/>
    <s v="Avoid Verbal Orders Carbonless Minifold Book"/>
    <n v="3.38"/>
    <n v="1"/>
    <x v="839"/>
    <x v="7"/>
    <x v="0"/>
  </r>
  <r>
    <n v="44434"/>
    <x v="367"/>
    <x v="7"/>
    <x v="0"/>
    <x v="4"/>
    <s v="Newell 340"/>
    <n v="8.64"/>
    <n v="3"/>
    <x v="368"/>
    <x v="7"/>
    <x v="0"/>
  </r>
  <r>
    <n v="44434"/>
    <x v="367"/>
    <x v="7"/>
    <x v="2"/>
    <x v="9"/>
    <s v="Plantronics Audio 478 Stereo USB Headset"/>
    <n v="149.97"/>
    <n v="3"/>
    <x v="428"/>
    <x v="7"/>
    <x v="0"/>
  </r>
  <r>
    <n v="44435"/>
    <x v="368"/>
    <x v="3"/>
    <x v="0"/>
    <x v="4"/>
    <s v="Newell 341"/>
    <n v="8.56"/>
    <n v="2"/>
    <x v="840"/>
    <x v="7"/>
    <x v="0"/>
  </r>
  <r>
    <n v="44435"/>
    <x v="368"/>
    <x v="3"/>
    <x v="2"/>
    <x v="6"/>
    <s v="Cisco SPA 501G IP Phone"/>
    <n v="213.48"/>
    <n v="3"/>
    <x v="841"/>
    <x v="7"/>
    <x v="0"/>
  </r>
  <r>
    <n v="44435"/>
    <x v="368"/>
    <x v="3"/>
    <x v="0"/>
    <x v="3"/>
    <s v="Wilson Jones Hanging View Binder, White, 1&quot;"/>
    <n v="22.72"/>
    <n v="4"/>
    <x v="842"/>
    <x v="7"/>
    <x v="0"/>
  </r>
  <r>
    <n v="44435"/>
    <x v="369"/>
    <x v="6"/>
    <x v="2"/>
    <x v="6"/>
    <s v="GE 30522EE2"/>
    <n v="579.95000000000005"/>
    <n v="5"/>
    <x v="843"/>
    <x v="7"/>
    <x v="0"/>
  </r>
  <r>
    <n v="44435"/>
    <x v="369"/>
    <x v="6"/>
    <x v="1"/>
    <x v="8"/>
    <s v="Master Caster Door Stop, Large Neon Orange"/>
    <n v="29.12"/>
    <n v="4"/>
    <x v="844"/>
    <x v="7"/>
    <x v="0"/>
  </r>
  <r>
    <n v="44435"/>
    <x v="369"/>
    <x v="6"/>
    <x v="1"/>
    <x v="13"/>
    <s v="Bretford CR8500 Series Meeting Room Furniture"/>
    <n v="1202.94"/>
    <n v="3"/>
    <x v="845"/>
    <x v="7"/>
    <x v="0"/>
  </r>
  <r>
    <n v="44435"/>
    <x v="13"/>
    <x v="6"/>
    <x v="0"/>
    <x v="0"/>
    <s v="Xerox 1898"/>
    <n v="13.36"/>
    <n v="2"/>
    <x v="846"/>
    <x v="7"/>
    <x v="0"/>
  </r>
  <r>
    <n v="44437"/>
    <x v="370"/>
    <x v="3"/>
    <x v="0"/>
    <x v="0"/>
    <s v="Xerox 1940"/>
    <n v="109.92"/>
    <n v="2"/>
    <x v="847"/>
    <x v="7"/>
    <x v="0"/>
  </r>
  <r>
    <n v="44437"/>
    <x v="370"/>
    <x v="3"/>
    <x v="0"/>
    <x v="0"/>
    <s v="Xerox 1986"/>
    <n v="13.36"/>
    <n v="2"/>
    <x v="846"/>
    <x v="7"/>
    <x v="0"/>
  </r>
  <r>
    <n v="44437"/>
    <x v="371"/>
    <x v="16"/>
    <x v="0"/>
    <x v="10"/>
    <s v="Jiffy Padded Mailers with Self-Seal Closure"/>
    <n v="29.81"/>
    <n v="2"/>
    <x v="848"/>
    <x v="7"/>
    <x v="0"/>
  </r>
  <r>
    <n v="44437"/>
    <x v="371"/>
    <x v="16"/>
    <x v="0"/>
    <x v="3"/>
    <s v="GBC DocuBind 200 Manual Binding Machine"/>
    <n v="505.18"/>
    <n v="4"/>
    <x v="849"/>
    <x v="7"/>
    <x v="0"/>
  </r>
  <r>
    <n v="44437"/>
    <x v="371"/>
    <x v="16"/>
    <x v="1"/>
    <x v="13"/>
    <s v="Balt Solid Wood Rectangular Table"/>
    <n v="174.06"/>
    <n v="3"/>
    <x v="850"/>
    <x v="7"/>
    <x v="0"/>
  </r>
  <r>
    <n v="44438"/>
    <x v="372"/>
    <x v="37"/>
    <x v="0"/>
    <x v="3"/>
    <s v="Wilson Jones Standard D-Ring Binders"/>
    <n v="25.3"/>
    <n v="5"/>
    <x v="851"/>
    <x v="7"/>
    <x v="0"/>
  </r>
  <r>
    <n v="44438"/>
    <x v="372"/>
    <x v="37"/>
    <x v="0"/>
    <x v="2"/>
    <s v="Fellowes Bankers Box Stor/Drawer Steel Plus"/>
    <n v="95.94"/>
    <n v="3"/>
    <x v="852"/>
    <x v="7"/>
    <x v="0"/>
  </r>
  <r>
    <n v="44439"/>
    <x v="373"/>
    <x v="31"/>
    <x v="2"/>
    <x v="9"/>
    <s v="KeyTronicÂ KT400U2 -Â KeyboardÂ - Black"/>
    <n v="92.52"/>
    <n v="9"/>
    <x v="853"/>
    <x v="7"/>
    <x v="0"/>
  </r>
  <r>
    <n v="44440"/>
    <x v="374"/>
    <x v="3"/>
    <x v="0"/>
    <x v="4"/>
    <s v="BOSTON Model 1800 Electric Pencil Sharpeners, Putty/Woodgrain"/>
    <n v="53.94"/>
    <n v="3"/>
    <x v="854"/>
    <x v="8"/>
    <x v="0"/>
  </r>
  <r>
    <n v="44440"/>
    <x v="304"/>
    <x v="0"/>
    <x v="0"/>
    <x v="3"/>
    <s v="Prestige Round Ring Binders"/>
    <n v="3.65"/>
    <n v="3"/>
    <x v="809"/>
    <x v="8"/>
    <x v="0"/>
  </r>
  <r>
    <n v="44440"/>
    <x v="304"/>
    <x v="0"/>
    <x v="0"/>
    <x v="0"/>
    <s v="Xerox 216"/>
    <n v="31.1"/>
    <n v="6"/>
    <x v="782"/>
    <x v="8"/>
    <x v="0"/>
  </r>
  <r>
    <n v="44440"/>
    <x v="352"/>
    <x v="20"/>
    <x v="0"/>
    <x v="3"/>
    <s v="Wilson Jones Hanging Recycled Pressboard Data Binders"/>
    <n v="23.74"/>
    <n v="2"/>
    <x v="855"/>
    <x v="8"/>
    <x v="0"/>
  </r>
  <r>
    <n v="44440"/>
    <x v="352"/>
    <x v="20"/>
    <x v="2"/>
    <x v="9"/>
    <s v="WD My Passport Ultra 2TB Portable External Hard Drive"/>
    <n v="357"/>
    <n v="3"/>
    <x v="856"/>
    <x v="8"/>
    <x v="0"/>
  </r>
  <r>
    <n v="44441"/>
    <x v="176"/>
    <x v="20"/>
    <x v="0"/>
    <x v="12"/>
    <s v="Holmes Cool Mist Humidifier for the Whole House with 8-Gallon Output per Day, Extended Life Filter"/>
    <n v="19.899999999999999"/>
    <n v="1"/>
    <x v="857"/>
    <x v="8"/>
    <x v="0"/>
  </r>
  <r>
    <n v="44441"/>
    <x v="176"/>
    <x v="20"/>
    <x v="1"/>
    <x v="8"/>
    <s v="Tenex Carpeted, Granite-Look or Clear Contemporary Contour Shape Chair Mats"/>
    <n v="70.709999999999994"/>
    <n v="1"/>
    <x v="700"/>
    <x v="8"/>
    <x v="0"/>
  </r>
  <r>
    <n v="44441"/>
    <x v="68"/>
    <x v="20"/>
    <x v="0"/>
    <x v="4"/>
    <s v="SANFORD Major Accent Highlighters"/>
    <n v="21.24"/>
    <n v="3"/>
    <x v="858"/>
    <x v="8"/>
    <x v="0"/>
  </r>
  <r>
    <n v="44441"/>
    <x v="375"/>
    <x v="20"/>
    <x v="0"/>
    <x v="4"/>
    <s v="Newell 324"/>
    <n v="57.75"/>
    <n v="5"/>
    <x v="859"/>
    <x v="8"/>
    <x v="0"/>
  </r>
  <r>
    <n v="44441"/>
    <x v="375"/>
    <x v="20"/>
    <x v="0"/>
    <x v="0"/>
    <s v="Easy-staple paper"/>
    <n v="14.94"/>
    <n v="3"/>
    <x v="162"/>
    <x v="8"/>
    <x v="0"/>
  </r>
  <r>
    <n v="44441"/>
    <x v="107"/>
    <x v="1"/>
    <x v="2"/>
    <x v="9"/>
    <s v="Logitech Wireless Performance Mouse MX for PC and Mac"/>
    <n v="239.98"/>
    <n v="3"/>
    <x v="860"/>
    <x v="8"/>
    <x v="0"/>
  </r>
  <r>
    <n v="44441"/>
    <x v="340"/>
    <x v="0"/>
    <x v="2"/>
    <x v="15"/>
    <s v="Epson TM-T88V Direct Thermal Printer - Monochrome - Desktop"/>
    <n v="559.71"/>
    <n v="3"/>
    <x v="861"/>
    <x v="8"/>
    <x v="0"/>
  </r>
  <r>
    <n v="44441"/>
    <x v="42"/>
    <x v="13"/>
    <x v="0"/>
    <x v="3"/>
    <s v="GBC DocuBind TL300 Electric Binding System"/>
    <n v="1793.98"/>
    <n v="2"/>
    <x v="862"/>
    <x v="8"/>
    <x v="0"/>
  </r>
  <r>
    <n v="44441"/>
    <x v="240"/>
    <x v="1"/>
    <x v="2"/>
    <x v="9"/>
    <s v="LogitechÂ Gaming G510s - Keyboard"/>
    <n v="475.94"/>
    <n v="7"/>
    <x v="863"/>
    <x v="8"/>
    <x v="0"/>
  </r>
  <r>
    <n v="44442"/>
    <x v="156"/>
    <x v="20"/>
    <x v="0"/>
    <x v="1"/>
    <s v="Avery 514"/>
    <n v="14.4"/>
    <n v="5"/>
    <x v="639"/>
    <x v="8"/>
    <x v="0"/>
  </r>
  <r>
    <n v="44442"/>
    <x v="376"/>
    <x v="0"/>
    <x v="0"/>
    <x v="3"/>
    <s v="GBC VeloBinder Strips"/>
    <n v="7.68"/>
    <n v="5"/>
    <x v="864"/>
    <x v="8"/>
    <x v="0"/>
  </r>
  <r>
    <n v="44444"/>
    <x v="377"/>
    <x v="10"/>
    <x v="0"/>
    <x v="2"/>
    <s v="Economy Rollaway Files"/>
    <n v="264.32"/>
    <n v="2"/>
    <x v="865"/>
    <x v="8"/>
    <x v="0"/>
  </r>
  <r>
    <n v="44444"/>
    <x v="378"/>
    <x v="16"/>
    <x v="1"/>
    <x v="8"/>
    <s v="Telescoping Adjustable Floor Lamp"/>
    <n v="31.98"/>
    <n v="2"/>
    <x v="866"/>
    <x v="8"/>
    <x v="0"/>
  </r>
  <r>
    <n v="44445"/>
    <x v="379"/>
    <x v="3"/>
    <x v="1"/>
    <x v="8"/>
    <s v="Eldon Expressions Wood and Plastic Desk Accessories, Cherry Wood"/>
    <n v="41.88"/>
    <n v="6"/>
    <x v="867"/>
    <x v="8"/>
    <x v="0"/>
  </r>
  <r>
    <n v="44445"/>
    <x v="379"/>
    <x v="3"/>
    <x v="0"/>
    <x v="1"/>
    <s v="Avery 516"/>
    <n v="58.48"/>
    <n v="8"/>
    <x v="868"/>
    <x v="8"/>
    <x v="0"/>
  </r>
  <r>
    <n v="44446"/>
    <x v="191"/>
    <x v="2"/>
    <x v="0"/>
    <x v="2"/>
    <s v="Carina 42&quot;Hx23 3/4&quot;W Media Storage Unit"/>
    <n v="64.78"/>
    <n v="1"/>
    <x v="869"/>
    <x v="8"/>
    <x v="0"/>
  </r>
  <r>
    <n v="44446"/>
    <x v="191"/>
    <x v="2"/>
    <x v="2"/>
    <x v="6"/>
    <s v="invisibleSHIELD by ZAGG Smudge-Free Screen Protector"/>
    <n v="32.380000000000003"/>
    <n v="3"/>
    <x v="870"/>
    <x v="8"/>
    <x v="0"/>
  </r>
  <r>
    <n v="44446"/>
    <x v="191"/>
    <x v="2"/>
    <x v="1"/>
    <x v="8"/>
    <s v="DAX Natural Wood-Tone Poster Frame"/>
    <n v="42.37"/>
    <n v="2"/>
    <x v="871"/>
    <x v="8"/>
    <x v="0"/>
  </r>
  <r>
    <n v="44446"/>
    <x v="191"/>
    <x v="2"/>
    <x v="2"/>
    <x v="15"/>
    <s v="StarTech.com 10/100 VDSL2 Ethernet Extender Kit"/>
    <n v="399.54"/>
    <n v="4"/>
    <x v="872"/>
    <x v="8"/>
    <x v="0"/>
  </r>
  <r>
    <n v="44446"/>
    <x v="23"/>
    <x v="39"/>
    <x v="1"/>
    <x v="8"/>
    <s v="Executive Impressions 13&quot; Clairmont Wall Clock"/>
    <n v="57.69"/>
    <n v="3"/>
    <x v="873"/>
    <x v="8"/>
    <x v="0"/>
  </r>
  <r>
    <n v="44446"/>
    <x v="23"/>
    <x v="39"/>
    <x v="0"/>
    <x v="3"/>
    <s v="GBC Laser Imprintable Binding System Covers, Desert Sand"/>
    <n v="42.81"/>
    <n v="3"/>
    <x v="874"/>
    <x v="8"/>
    <x v="0"/>
  </r>
  <r>
    <n v="44446"/>
    <x v="23"/>
    <x v="39"/>
    <x v="0"/>
    <x v="0"/>
    <s v="Xerox 2000"/>
    <n v="12.96"/>
    <n v="2"/>
    <x v="113"/>
    <x v="8"/>
    <x v="0"/>
  </r>
  <r>
    <n v="44446"/>
    <x v="23"/>
    <x v="39"/>
    <x v="1"/>
    <x v="8"/>
    <s v="3M Polarizing Task Lamp with Clamp Arm, Light Gray"/>
    <n v="821.88"/>
    <n v="6"/>
    <x v="875"/>
    <x v="8"/>
    <x v="0"/>
  </r>
  <r>
    <n v="44446"/>
    <x v="23"/>
    <x v="39"/>
    <x v="2"/>
    <x v="6"/>
    <s v="Plantronics CordlessÂ Phone HeadsetÂ with In-line Volume - M214C"/>
    <n v="104.85"/>
    <n v="3"/>
    <x v="876"/>
    <x v="8"/>
    <x v="0"/>
  </r>
  <r>
    <n v="44446"/>
    <x v="380"/>
    <x v="20"/>
    <x v="2"/>
    <x v="6"/>
    <s v="AT&amp;T EL51110 DECT"/>
    <n v="377.97"/>
    <n v="3"/>
    <x v="877"/>
    <x v="8"/>
    <x v="0"/>
  </r>
  <r>
    <n v="44446"/>
    <x v="381"/>
    <x v="0"/>
    <x v="2"/>
    <x v="6"/>
    <s v="Panasonic KX TS3282B Corded phone"/>
    <n v="196.78"/>
    <n v="3"/>
    <x v="878"/>
    <x v="8"/>
    <x v="0"/>
  </r>
  <r>
    <n v="44446"/>
    <x v="381"/>
    <x v="0"/>
    <x v="0"/>
    <x v="3"/>
    <s v="Angle-D Binders with Locking Rings, Label Holders"/>
    <n v="2.92"/>
    <n v="2"/>
    <x v="879"/>
    <x v="8"/>
    <x v="0"/>
  </r>
  <r>
    <n v="44446"/>
    <x v="381"/>
    <x v="0"/>
    <x v="1"/>
    <x v="13"/>
    <s v="Riverside Furniture Oval Coffee Table, Oval End Table, End Table with Drawer"/>
    <n v="200.8"/>
    <n v="1"/>
    <x v="880"/>
    <x v="8"/>
    <x v="0"/>
  </r>
  <r>
    <n v="44446"/>
    <x v="381"/>
    <x v="0"/>
    <x v="2"/>
    <x v="9"/>
    <s v="Belkin Standard 104 key USB Keyboard"/>
    <n v="46.69"/>
    <n v="4"/>
    <x v="881"/>
    <x v="8"/>
    <x v="0"/>
  </r>
  <r>
    <n v="44446"/>
    <x v="381"/>
    <x v="0"/>
    <x v="0"/>
    <x v="4"/>
    <s v="Dixon Ticonderoga Core-Lock Colored Pencils"/>
    <n v="21.86"/>
    <n v="3"/>
    <x v="339"/>
    <x v="8"/>
    <x v="0"/>
  </r>
  <r>
    <n v="44446"/>
    <x v="81"/>
    <x v="39"/>
    <x v="1"/>
    <x v="13"/>
    <s v="KI Adjustable-Height Table"/>
    <n v="429.9"/>
    <n v="5"/>
    <x v="882"/>
    <x v="8"/>
    <x v="0"/>
  </r>
  <r>
    <n v="44446"/>
    <x v="81"/>
    <x v="39"/>
    <x v="0"/>
    <x v="3"/>
    <s v="Avery Recycled Flexi-View Covers for Binding Systems"/>
    <n v="32.06"/>
    <n v="2"/>
    <x v="883"/>
    <x v="8"/>
    <x v="0"/>
  </r>
  <r>
    <n v="44446"/>
    <x v="81"/>
    <x v="39"/>
    <x v="1"/>
    <x v="5"/>
    <s v="Padded Folding Chairs, Black, 4/Carton"/>
    <n v="161.96"/>
    <n v="2"/>
    <x v="884"/>
    <x v="8"/>
    <x v="0"/>
  </r>
  <r>
    <n v="44446"/>
    <x v="81"/>
    <x v="39"/>
    <x v="0"/>
    <x v="2"/>
    <s v="Akro-Mils 12-Gallon Tote"/>
    <n v="19.86"/>
    <n v="2"/>
    <x v="885"/>
    <x v="8"/>
    <x v="0"/>
  </r>
  <r>
    <n v="44446"/>
    <x v="382"/>
    <x v="3"/>
    <x v="0"/>
    <x v="14"/>
    <s v="Acme Design Line 8&quot; Stainless Steel Bent Scissors w/Champagne Handles, 3-1/8&quot; Cut"/>
    <n v="27.36"/>
    <n v="4"/>
    <x v="886"/>
    <x v="8"/>
    <x v="0"/>
  </r>
  <r>
    <n v="44446"/>
    <x v="382"/>
    <x v="3"/>
    <x v="0"/>
    <x v="0"/>
    <s v="Message Book, Wirebound, Four 5 1/2&quot; X 4&quot; Forms/Pg., 200 Dupl. Sets/Book"/>
    <n v="20.56"/>
    <n v="2"/>
    <x v="887"/>
    <x v="8"/>
    <x v="0"/>
  </r>
  <r>
    <n v="44446"/>
    <x v="382"/>
    <x v="3"/>
    <x v="0"/>
    <x v="3"/>
    <s v="Avery Legal 4-Ring Binder"/>
    <n v="83.92"/>
    <n v="5"/>
    <x v="888"/>
    <x v="8"/>
    <x v="0"/>
  </r>
  <r>
    <n v="44446"/>
    <x v="228"/>
    <x v="1"/>
    <x v="0"/>
    <x v="7"/>
    <s v="Acco Hot Clips Clips to Go"/>
    <n v="13.16"/>
    <n v="5"/>
    <x v="889"/>
    <x v="8"/>
    <x v="0"/>
  </r>
  <r>
    <n v="44446"/>
    <x v="228"/>
    <x v="1"/>
    <x v="0"/>
    <x v="3"/>
    <s v="Avery Heavy-Duty EZD View Binder with Locking Rings"/>
    <n v="3.83"/>
    <n v="3"/>
    <x v="890"/>
    <x v="8"/>
    <x v="0"/>
  </r>
  <r>
    <n v="44446"/>
    <x v="228"/>
    <x v="1"/>
    <x v="0"/>
    <x v="3"/>
    <s v="Ibico Hi-Tech Manual Binding System"/>
    <n v="304.99"/>
    <n v="5"/>
    <x v="891"/>
    <x v="8"/>
    <x v="0"/>
  </r>
  <r>
    <n v="44447"/>
    <x v="383"/>
    <x v="0"/>
    <x v="0"/>
    <x v="4"/>
    <s v="BIC Brite Liner Highlighters"/>
    <n v="9.94"/>
    <n v="3"/>
    <x v="892"/>
    <x v="8"/>
    <x v="0"/>
  </r>
  <r>
    <n v="44447"/>
    <x v="383"/>
    <x v="0"/>
    <x v="2"/>
    <x v="15"/>
    <s v="Lexmark MX611dhe Monochrome Laser Printer"/>
    <n v="8159.95"/>
    <n v="8"/>
    <x v="893"/>
    <x v="8"/>
    <x v="0"/>
  </r>
  <r>
    <n v="44447"/>
    <x v="383"/>
    <x v="0"/>
    <x v="0"/>
    <x v="2"/>
    <s v="Space Solutions HD Industrial Steel Shelving."/>
    <n v="275.93"/>
    <n v="3"/>
    <x v="894"/>
    <x v="8"/>
    <x v="0"/>
  </r>
  <r>
    <n v="44447"/>
    <x v="383"/>
    <x v="0"/>
    <x v="1"/>
    <x v="5"/>
    <s v="SAFCO Arco Folding Chair"/>
    <n v="1740.06"/>
    <n v="9"/>
    <x v="895"/>
    <x v="8"/>
    <x v="0"/>
  </r>
  <r>
    <n v="44447"/>
    <x v="383"/>
    <x v="0"/>
    <x v="0"/>
    <x v="4"/>
    <s v="Sanford Liquid Accent Highlighters"/>
    <n v="32.06"/>
    <n v="6"/>
    <x v="896"/>
    <x v="8"/>
    <x v="0"/>
  </r>
  <r>
    <n v="44447"/>
    <x v="383"/>
    <x v="0"/>
    <x v="0"/>
    <x v="12"/>
    <s v="Kensington 7 Outlet MasterPiece Power Center"/>
    <n v="177.98"/>
    <n v="5"/>
    <x v="897"/>
    <x v="8"/>
    <x v="0"/>
  </r>
  <r>
    <n v="44447"/>
    <x v="383"/>
    <x v="0"/>
    <x v="2"/>
    <x v="6"/>
    <s v="JBL Micro Wireless Portable Bluetooth Speaker"/>
    <n v="143.97999999999999"/>
    <n v="3"/>
    <x v="246"/>
    <x v="8"/>
    <x v="0"/>
  </r>
  <r>
    <n v="44447"/>
    <x v="333"/>
    <x v="3"/>
    <x v="2"/>
    <x v="9"/>
    <s v="Logitech Wireless Touch Keyboard K400"/>
    <n v="49.98"/>
    <n v="2"/>
    <x v="838"/>
    <x v="8"/>
    <x v="0"/>
  </r>
  <r>
    <n v="44447"/>
    <x v="384"/>
    <x v="0"/>
    <x v="0"/>
    <x v="3"/>
    <s v="GBC ProClick Punch Binding System"/>
    <n v="51.18"/>
    <n v="4"/>
    <x v="898"/>
    <x v="8"/>
    <x v="0"/>
  </r>
  <r>
    <n v="44447"/>
    <x v="385"/>
    <x v="4"/>
    <x v="2"/>
    <x v="9"/>
    <s v="Memorex Froggy Flash Drive 4 GB"/>
    <n v="32.97"/>
    <n v="3"/>
    <x v="899"/>
    <x v="8"/>
    <x v="0"/>
  </r>
  <r>
    <n v="44447"/>
    <x v="385"/>
    <x v="4"/>
    <x v="2"/>
    <x v="9"/>
    <s v="Maxell 74 Minute CD-R Spindle, 50/Pack"/>
    <n v="83.88"/>
    <n v="4"/>
    <x v="900"/>
    <x v="8"/>
    <x v="0"/>
  </r>
  <r>
    <n v="44447"/>
    <x v="285"/>
    <x v="3"/>
    <x v="0"/>
    <x v="12"/>
    <s v="Holmes Replacement Filter for HEPA Air Cleaner, Medium Room"/>
    <n v="56.65"/>
    <n v="5"/>
    <x v="901"/>
    <x v="8"/>
    <x v="0"/>
  </r>
  <r>
    <n v="44447"/>
    <x v="285"/>
    <x v="3"/>
    <x v="0"/>
    <x v="2"/>
    <s v="Pizazz Global Quick File"/>
    <n v="14.97"/>
    <n v="1"/>
    <x v="902"/>
    <x v="8"/>
    <x v="0"/>
  </r>
  <r>
    <n v="44447"/>
    <x v="285"/>
    <x v="3"/>
    <x v="0"/>
    <x v="7"/>
    <s v="Ideal Clamps"/>
    <n v="4.0199999999999996"/>
    <n v="2"/>
    <x v="532"/>
    <x v="8"/>
    <x v="0"/>
  </r>
  <r>
    <n v="44447"/>
    <x v="207"/>
    <x v="6"/>
    <x v="0"/>
    <x v="7"/>
    <s v="Advantus Plastic Paper Clips"/>
    <n v="45"/>
    <n v="9"/>
    <x v="903"/>
    <x v="8"/>
    <x v="0"/>
  </r>
  <r>
    <n v="44447"/>
    <x v="207"/>
    <x v="6"/>
    <x v="2"/>
    <x v="15"/>
    <s v="Epson WorkForce WF-2530 All-in-One Printer, Copier Scanner"/>
    <n v="209.97"/>
    <n v="3"/>
    <x v="904"/>
    <x v="8"/>
    <x v="0"/>
  </r>
  <r>
    <n v="44447"/>
    <x v="386"/>
    <x v="20"/>
    <x v="0"/>
    <x v="12"/>
    <s v="Black &amp; Decker Filter for Double Action Dustbuster Cordless Vac BLDV7210"/>
    <n v="16.78"/>
    <n v="2"/>
    <x v="783"/>
    <x v="8"/>
    <x v="0"/>
  </r>
  <r>
    <n v="44447"/>
    <x v="387"/>
    <x v="22"/>
    <x v="0"/>
    <x v="4"/>
    <s v="Prang Colored Pencils"/>
    <n v="5.88"/>
    <n v="2"/>
    <x v="505"/>
    <x v="8"/>
    <x v="0"/>
  </r>
  <r>
    <n v="44447"/>
    <x v="387"/>
    <x v="22"/>
    <x v="1"/>
    <x v="5"/>
    <s v="Hon Deluxe Fabric Upholstered Stacking Chairs, Rounded Back"/>
    <n v="975.92"/>
    <n v="5"/>
    <x v="905"/>
    <x v="8"/>
    <x v="0"/>
  </r>
  <r>
    <n v="44447"/>
    <x v="387"/>
    <x v="22"/>
    <x v="0"/>
    <x v="4"/>
    <s v="Hunt PowerHouse Electric Pencil Sharpener, Blue"/>
    <n v="303.83999999999997"/>
    <n v="8"/>
    <x v="906"/>
    <x v="8"/>
    <x v="0"/>
  </r>
  <r>
    <n v="44447"/>
    <x v="387"/>
    <x v="22"/>
    <x v="0"/>
    <x v="2"/>
    <s v="Carina Double Wide Media Storage Towers in Natural &amp; Black"/>
    <n v="485.88"/>
    <n v="6"/>
    <x v="503"/>
    <x v="8"/>
    <x v="0"/>
  </r>
  <r>
    <n v="44447"/>
    <x v="388"/>
    <x v="0"/>
    <x v="0"/>
    <x v="0"/>
    <s v="Geographics Note Cards, Blank, White, 8 1/2&quot; x 11&quot;"/>
    <n v="17.899999999999999"/>
    <n v="2"/>
    <x v="907"/>
    <x v="8"/>
    <x v="0"/>
  </r>
  <r>
    <n v="44447"/>
    <x v="388"/>
    <x v="0"/>
    <x v="1"/>
    <x v="5"/>
    <s v="SAFCO Arco Folding Chair"/>
    <n v="966.7"/>
    <n v="5"/>
    <x v="908"/>
    <x v="8"/>
    <x v="0"/>
  </r>
  <r>
    <n v="44447"/>
    <x v="388"/>
    <x v="0"/>
    <x v="0"/>
    <x v="0"/>
    <s v="Snap-A-Way Black Print Carbonless Ruled Speed Letter, Triplicate"/>
    <n v="182.11"/>
    <n v="6"/>
    <x v="909"/>
    <x v="8"/>
    <x v="0"/>
  </r>
  <r>
    <n v="44447"/>
    <x v="367"/>
    <x v="20"/>
    <x v="1"/>
    <x v="5"/>
    <s v="Global Super Steno Chair"/>
    <n v="172.76"/>
    <n v="2"/>
    <x v="910"/>
    <x v="8"/>
    <x v="0"/>
  </r>
  <r>
    <n v="44447"/>
    <x v="367"/>
    <x v="20"/>
    <x v="0"/>
    <x v="4"/>
    <s v="Nontoxic Chalk"/>
    <n v="3.52"/>
    <n v="2"/>
    <x v="566"/>
    <x v="8"/>
    <x v="0"/>
  </r>
  <r>
    <n v="44447"/>
    <x v="18"/>
    <x v="3"/>
    <x v="0"/>
    <x v="3"/>
    <s v="Acco PRESSTEX Data Binder with Storage Hooks, Light Blue, 9 1/2&quot; X 11&quot;"/>
    <n v="8.61"/>
    <n v="2"/>
    <x v="13"/>
    <x v="8"/>
    <x v="0"/>
  </r>
  <r>
    <n v="44448"/>
    <x v="389"/>
    <x v="14"/>
    <x v="0"/>
    <x v="1"/>
    <s v="Alphabetical Labels for Top Tab Filing"/>
    <n v="103.6"/>
    <n v="7"/>
    <x v="911"/>
    <x v="8"/>
    <x v="0"/>
  </r>
  <r>
    <n v="44448"/>
    <x v="390"/>
    <x v="32"/>
    <x v="0"/>
    <x v="0"/>
    <s v="Xerox 1913"/>
    <n v="166.44"/>
    <n v="3"/>
    <x v="912"/>
    <x v="8"/>
    <x v="0"/>
  </r>
  <r>
    <n v="44448"/>
    <x v="390"/>
    <x v="32"/>
    <x v="1"/>
    <x v="5"/>
    <s v="Global Italian Leather Office Chair"/>
    <n v="785.88"/>
    <n v="6"/>
    <x v="913"/>
    <x v="8"/>
    <x v="0"/>
  </r>
  <r>
    <n v="44448"/>
    <x v="390"/>
    <x v="32"/>
    <x v="0"/>
    <x v="0"/>
    <s v="Advantus Motivational Note Cards"/>
    <n v="26.2"/>
    <n v="2"/>
    <x v="914"/>
    <x v="8"/>
    <x v="0"/>
  </r>
  <r>
    <n v="44448"/>
    <x v="390"/>
    <x v="32"/>
    <x v="0"/>
    <x v="2"/>
    <s v="Tennsco 6- and 18-Compartment Lockers"/>
    <n v="1325.85"/>
    <n v="5"/>
    <x v="27"/>
    <x v="8"/>
    <x v="0"/>
  </r>
  <r>
    <n v="44448"/>
    <x v="391"/>
    <x v="2"/>
    <x v="0"/>
    <x v="0"/>
    <s v="Xerox 210"/>
    <n v="15.55"/>
    <n v="3"/>
    <x v="192"/>
    <x v="8"/>
    <x v="0"/>
  </r>
  <r>
    <n v="44448"/>
    <x v="391"/>
    <x v="2"/>
    <x v="2"/>
    <x v="9"/>
    <s v="Rosewill 107 Normal Keys USB Wired Standard Keyboard"/>
    <n v="64.7"/>
    <n v="6"/>
    <x v="915"/>
    <x v="8"/>
    <x v="0"/>
  </r>
  <r>
    <n v="44448"/>
    <x v="391"/>
    <x v="2"/>
    <x v="1"/>
    <x v="8"/>
    <s v="Master Caster Door Stop, Large Neon Orange"/>
    <n v="17.47"/>
    <n v="3"/>
    <x v="67"/>
    <x v="8"/>
    <x v="0"/>
  </r>
  <r>
    <n v="44448"/>
    <x v="391"/>
    <x v="2"/>
    <x v="2"/>
    <x v="6"/>
    <s v="Polycom SoundPoint IP 450 VoIP phone"/>
    <n v="135.52000000000001"/>
    <n v="1"/>
    <x v="916"/>
    <x v="8"/>
    <x v="0"/>
  </r>
  <r>
    <n v="44448"/>
    <x v="392"/>
    <x v="25"/>
    <x v="2"/>
    <x v="15"/>
    <s v="3D Systems Cube Printer, 2nd Generation, White"/>
    <n v="1299.99"/>
    <n v="2"/>
    <x v="917"/>
    <x v="8"/>
    <x v="0"/>
  </r>
  <r>
    <n v="44448"/>
    <x v="155"/>
    <x v="10"/>
    <x v="1"/>
    <x v="8"/>
    <s v="Nu-Dell Executive Frame"/>
    <n v="60.67"/>
    <n v="6"/>
    <x v="918"/>
    <x v="8"/>
    <x v="0"/>
  </r>
  <r>
    <n v="44448"/>
    <x v="155"/>
    <x v="10"/>
    <x v="0"/>
    <x v="4"/>
    <s v="Newell 320"/>
    <n v="30.82"/>
    <n v="9"/>
    <x v="222"/>
    <x v="8"/>
    <x v="0"/>
  </r>
  <r>
    <n v="44448"/>
    <x v="393"/>
    <x v="1"/>
    <x v="0"/>
    <x v="0"/>
    <s v="Ampad Poly Cover Wirebound Steno Book, 6&quot; x 9&quot; Assorted Colors, Gregg Ruled"/>
    <n v="10.9"/>
    <n v="3"/>
    <x v="919"/>
    <x v="8"/>
    <x v="0"/>
  </r>
  <r>
    <n v="44449"/>
    <x v="163"/>
    <x v="6"/>
    <x v="0"/>
    <x v="3"/>
    <s v="Tuff Stuff Recycled Round Ring Binders"/>
    <n v="9.64"/>
    <n v="2"/>
    <x v="522"/>
    <x v="8"/>
    <x v="0"/>
  </r>
  <r>
    <n v="44449"/>
    <x v="68"/>
    <x v="11"/>
    <x v="0"/>
    <x v="10"/>
    <s v="Peel &amp; Seel Envelopes"/>
    <n v="21.73"/>
    <n v="7"/>
    <x v="920"/>
    <x v="8"/>
    <x v="0"/>
  </r>
  <r>
    <n v="44449"/>
    <x v="68"/>
    <x v="11"/>
    <x v="1"/>
    <x v="5"/>
    <s v="GuestStacker Chair with Chrome Finish Legs"/>
    <n v="1487.04"/>
    <n v="5"/>
    <x v="360"/>
    <x v="8"/>
    <x v="0"/>
  </r>
  <r>
    <n v="44449"/>
    <x v="394"/>
    <x v="23"/>
    <x v="0"/>
    <x v="12"/>
    <s v="Kensington 6 Outlet Guardian Standard Surge Protector"/>
    <n v="81.92"/>
    <n v="4"/>
    <x v="921"/>
    <x v="8"/>
    <x v="0"/>
  </r>
  <r>
    <n v="44449"/>
    <x v="394"/>
    <x v="23"/>
    <x v="1"/>
    <x v="8"/>
    <s v="Dana Fluorescent Magnifying Lamp, White, 36&quot;"/>
    <n v="254.9"/>
    <n v="5"/>
    <x v="922"/>
    <x v="8"/>
    <x v="0"/>
  </r>
  <r>
    <n v="44450"/>
    <x v="395"/>
    <x v="3"/>
    <x v="1"/>
    <x v="8"/>
    <s v="Deflect-o DuraMat Lighweight, Studded, Beveled Mat for Low Pile Carpeting"/>
    <n v="127.95"/>
    <n v="3"/>
    <x v="923"/>
    <x v="8"/>
    <x v="0"/>
  </r>
  <r>
    <n v="44451"/>
    <x v="26"/>
    <x v="20"/>
    <x v="2"/>
    <x v="15"/>
    <s v="Epson WorkForce WF-2530 All-in-One Printer, Copier Scanner"/>
    <n v="69.989999999999995"/>
    <n v="1"/>
    <x v="924"/>
    <x v="8"/>
    <x v="0"/>
  </r>
  <r>
    <n v="44451"/>
    <x v="396"/>
    <x v="25"/>
    <x v="0"/>
    <x v="0"/>
    <s v="Xerox 220"/>
    <n v="10.37"/>
    <n v="2"/>
    <x v="316"/>
    <x v="8"/>
    <x v="0"/>
  </r>
  <r>
    <n v="44451"/>
    <x v="396"/>
    <x v="25"/>
    <x v="0"/>
    <x v="12"/>
    <s v="Fellowes 8 Outlet Superior Workstation Surge Protector"/>
    <n v="166.84"/>
    <n v="5"/>
    <x v="778"/>
    <x v="8"/>
    <x v="0"/>
  </r>
  <r>
    <n v="44451"/>
    <x v="396"/>
    <x v="25"/>
    <x v="2"/>
    <x v="9"/>
    <s v="SanDisk Cruzer 32 GB USB Flash Drive"/>
    <n v="15.22"/>
    <n v="1"/>
    <x v="925"/>
    <x v="8"/>
    <x v="0"/>
  </r>
  <r>
    <n v="44451"/>
    <x v="397"/>
    <x v="0"/>
    <x v="0"/>
    <x v="3"/>
    <s v="Wilson Jones Impact Binders"/>
    <n v="5.18"/>
    <n v="5"/>
    <x v="926"/>
    <x v="8"/>
    <x v="0"/>
  </r>
  <r>
    <n v="44451"/>
    <x v="192"/>
    <x v="10"/>
    <x v="0"/>
    <x v="3"/>
    <s v="Premier Elliptical Ring Binder, Black"/>
    <n v="63.92"/>
    <n v="7"/>
    <x v="927"/>
    <x v="8"/>
    <x v="0"/>
  </r>
  <r>
    <n v="44451"/>
    <x v="398"/>
    <x v="42"/>
    <x v="0"/>
    <x v="14"/>
    <s v="Compact Automatic Electric Letter Opener"/>
    <n v="357.93"/>
    <n v="3"/>
    <x v="928"/>
    <x v="8"/>
    <x v="0"/>
  </r>
  <r>
    <n v="44451"/>
    <x v="398"/>
    <x v="42"/>
    <x v="2"/>
    <x v="9"/>
    <s v="SanDisk Cruzer 16 GB USB Flash Drive"/>
    <n v="57.4"/>
    <n v="5"/>
    <x v="929"/>
    <x v="8"/>
    <x v="0"/>
  </r>
  <r>
    <n v="44451"/>
    <x v="398"/>
    <x v="42"/>
    <x v="0"/>
    <x v="3"/>
    <s v="GBC DocuBind P100 Manual Binding Machine"/>
    <n v="331.96"/>
    <n v="2"/>
    <x v="930"/>
    <x v="8"/>
    <x v="0"/>
  </r>
  <r>
    <n v="44451"/>
    <x v="398"/>
    <x v="42"/>
    <x v="1"/>
    <x v="8"/>
    <s v="Seth Thomas 8 1/2&quot; Cubicle Clock"/>
    <n v="40.56"/>
    <n v="2"/>
    <x v="931"/>
    <x v="8"/>
    <x v="0"/>
  </r>
  <r>
    <n v="44451"/>
    <x v="399"/>
    <x v="20"/>
    <x v="1"/>
    <x v="5"/>
    <s v="HON 5400 Series Task Chairs for Big and Tall"/>
    <n v="3785.29"/>
    <n v="6"/>
    <x v="932"/>
    <x v="8"/>
    <x v="0"/>
  </r>
  <r>
    <n v="44452"/>
    <x v="400"/>
    <x v="25"/>
    <x v="0"/>
    <x v="3"/>
    <s v="GBC Instant Index System for Binding Systems"/>
    <n v="18.649999999999999"/>
    <n v="7"/>
    <x v="933"/>
    <x v="8"/>
    <x v="0"/>
  </r>
  <r>
    <n v="44452"/>
    <x v="401"/>
    <x v="2"/>
    <x v="0"/>
    <x v="0"/>
    <s v="Xerox 1985"/>
    <n v="15.55"/>
    <n v="3"/>
    <x v="192"/>
    <x v="8"/>
    <x v="0"/>
  </r>
  <r>
    <n v="44452"/>
    <x v="401"/>
    <x v="2"/>
    <x v="2"/>
    <x v="9"/>
    <s v="Hypercom P1300 Pinpad"/>
    <n v="252"/>
    <n v="5"/>
    <x v="934"/>
    <x v="8"/>
    <x v="0"/>
  </r>
  <r>
    <n v="44452"/>
    <x v="284"/>
    <x v="20"/>
    <x v="0"/>
    <x v="4"/>
    <s v="Newell 322"/>
    <n v="5.46"/>
    <n v="3"/>
    <x v="935"/>
    <x v="8"/>
    <x v="0"/>
  </r>
  <r>
    <n v="44452"/>
    <x v="402"/>
    <x v="12"/>
    <x v="0"/>
    <x v="2"/>
    <s v="Eldon File Chest Portable File"/>
    <n v="79.400000000000006"/>
    <n v="5"/>
    <x v="936"/>
    <x v="8"/>
    <x v="0"/>
  </r>
  <r>
    <n v="44452"/>
    <x v="288"/>
    <x v="0"/>
    <x v="1"/>
    <x v="5"/>
    <s v="Padded Folding Chairs, Black, 4/Carton"/>
    <n v="340.12"/>
    <n v="6"/>
    <x v="937"/>
    <x v="8"/>
    <x v="0"/>
  </r>
  <r>
    <n v="44452"/>
    <x v="352"/>
    <x v="10"/>
    <x v="0"/>
    <x v="3"/>
    <s v="Acco Suede Grain Vinyl Round Ring Binder"/>
    <n v="2.5"/>
    <n v="3"/>
    <x v="938"/>
    <x v="8"/>
    <x v="0"/>
  </r>
  <r>
    <n v="44452"/>
    <x v="218"/>
    <x v="22"/>
    <x v="0"/>
    <x v="7"/>
    <s v="OIC Thumb-Tacks"/>
    <n v="5.7"/>
    <n v="5"/>
    <x v="268"/>
    <x v="8"/>
    <x v="0"/>
  </r>
  <r>
    <n v="44452"/>
    <x v="218"/>
    <x v="22"/>
    <x v="1"/>
    <x v="8"/>
    <s v="C-Line Cubicle Keepers Polyproplyene Holder With Velcro Backings"/>
    <n v="14.19"/>
    <n v="3"/>
    <x v="91"/>
    <x v="8"/>
    <x v="0"/>
  </r>
  <r>
    <n v="44452"/>
    <x v="218"/>
    <x v="22"/>
    <x v="0"/>
    <x v="14"/>
    <s v="Acme Value Line Scissors"/>
    <n v="7.3"/>
    <n v="2"/>
    <x v="939"/>
    <x v="8"/>
    <x v="0"/>
  </r>
  <r>
    <n v="44452"/>
    <x v="218"/>
    <x v="22"/>
    <x v="2"/>
    <x v="9"/>
    <s v="Logitech Wireless Performance Mouse MX for PC and Mac"/>
    <n v="199.98"/>
    <n v="2"/>
    <x v="940"/>
    <x v="8"/>
    <x v="0"/>
  </r>
  <r>
    <n v="44452"/>
    <x v="218"/>
    <x v="22"/>
    <x v="2"/>
    <x v="9"/>
    <s v="Memorex Mini Travel Drive 64 GB USB 2.0 Flash Drive"/>
    <n v="144.96"/>
    <n v="4"/>
    <x v="941"/>
    <x v="8"/>
    <x v="0"/>
  </r>
  <r>
    <n v="44452"/>
    <x v="218"/>
    <x v="22"/>
    <x v="2"/>
    <x v="9"/>
    <s v="WD My Passport Ultra 500GB Portable External Hard Drive"/>
    <n v="118"/>
    <n v="2"/>
    <x v="942"/>
    <x v="8"/>
    <x v="0"/>
  </r>
  <r>
    <n v="44452"/>
    <x v="218"/>
    <x v="22"/>
    <x v="0"/>
    <x v="0"/>
    <s v="Xerox 1942"/>
    <n v="48.94"/>
    <n v="1"/>
    <x v="943"/>
    <x v="8"/>
    <x v="0"/>
  </r>
  <r>
    <n v="44452"/>
    <x v="218"/>
    <x v="22"/>
    <x v="0"/>
    <x v="12"/>
    <s v="Holmes Replacement Filter for HEPA Air Cleaner, Medium Room"/>
    <n v="22.66"/>
    <n v="2"/>
    <x v="90"/>
    <x v="8"/>
    <x v="0"/>
  </r>
  <r>
    <n v="44453"/>
    <x v="403"/>
    <x v="1"/>
    <x v="0"/>
    <x v="12"/>
    <s v="Kensington 7 Outlet MasterPiece HOMEOFFICE Power Control Center"/>
    <n v="52.45"/>
    <n v="2"/>
    <x v="944"/>
    <x v="8"/>
    <x v="0"/>
  </r>
  <r>
    <n v="44453"/>
    <x v="403"/>
    <x v="1"/>
    <x v="0"/>
    <x v="1"/>
    <s v="Avery 51"/>
    <n v="20.16"/>
    <n v="4"/>
    <x v="945"/>
    <x v="8"/>
    <x v="0"/>
  </r>
  <r>
    <n v="44453"/>
    <x v="404"/>
    <x v="20"/>
    <x v="0"/>
    <x v="2"/>
    <s v="Fellowes Officeware Wire Shelving"/>
    <n v="449.15"/>
    <n v="5"/>
    <x v="946"/>
    <x v="8"/>
    <x v="0"/>
  </r>
  <r>
    <n v="44453"/>
    <x v="404"/>
    <x v="20"/>
    <x v="0"/>
    <x v="10"/>
    <s v="Colored Envelopes"/>
    <n v="11.07"/>
    <n v="3"/>
    <x v="947"/>
    <x v="8"/>
    <x v="0"/>
  </r>
  <r>
    <n v="44453"/>
    <x v="273"/>
    <x v="16"/>
    <x v="0"/>
    <x v="12"/>
    <s v="Sanitaire Vibra Groomer IR Commercial Upright Vacuum, Replacement Belts"/>
    <n v="13"/>
    <n v="5"/>
    <x v="948"/>
    <x v="8"/>
    <x v="0"/>
  </r>
  <r>
    <n v="44453"/>
    <x v="273"/>
    <x v="16"/>
    <x v="1"/>
    <x v="8"/>
    <s v="Advantus Panel Wall Acrylic Frame"/>
    <n v="13.13"/>
    <n v="3"/>
    <x v="949"/>
    <x v="8"/>
    <x v="0"/>
  </r>
  <r>
    <n v="44453"/>
    <x v="405"/>
    <x v="4"/>
    <x v="1"/>
    <x v="8"/>
    <s v="Seth Thomas 14&quot; Day/Date Wall Clock"/>
    <n v="142.4"/>
    <n v="5"/>
    <x v="950"/>
    <x v="8"/>
    <x v="0"/>
  </r>
  <r>
    <n v="44453"/>
    <x v="405"/>
    <x v="4"/>
    <x v="0"/>
    <x v="3"/>
    <s v="Avery Poly Binder Pockets"/>
    <n v="7.16"/>
    <n v="2"/>
    <x v="951"/>
    <x v="8"/>
    <x v="0"/>
  </r>
  <r>
    <n v="44453"/>
    <x v="406"/>
    <x v="20"/>
    <x v="1"/>
    <x v="13"/>
    <s v="KI Adjustable-Height Table"/>
    <n v="464.29"/>
    <n v="9"/>
    <x v="952"/>
    <x v="8"/>
    <x v="0"/>
  </r>
  <r>
    <n v="44453"/>
    <x v="406"/>
    <x v="20"/>
    <x v="0"/>
    <x v="10"/>
    <s v="Staple envelope"/>
    <n v="68.459999999999994"/>
    <n v="7"/>
    <x v="469"/>
    <x v="8"/>
    <x v="0"/>
  </r>
  <r>
    <n v="44453"/>
    <x v="406"/>
    <x v="20"/>
    <x v="2"/>
    <x v="15"/>
    <s v="Ativa V4110MDD Micro-Cut Shredder"/>
    <n v="2799.96"/>
    <n v="4"/>
    <x v="953"/>
    <x v="8"/>
    <x v="0"/>
  </r>
  <r>
    <n v="44453"/>
    <x v="406"/>
    <x v="20"/>
    <x v="0"/>
    <x v="12"/>
    <s v="Honeywell Enviracaire Portable HEPA Air Cleaner for 17' x 22' Room"/>
    <n v="601.29999999999995"/>
    <n v="2"/>
    <x v="954"/>
    <x v="8"/>
    <x v="0"/>
  </r>
  <r>
    <n v="44453"/>
    <x v="406"/>
    <x v="20"/>
    <x v="2"/>
    <x v="6"/>
    <s v="Spigen Samsung Galaxy S5 Case Wallet"/>
    <n v="16.989999999999998"/>
    <n v="1"/>
    <x v="955"/>
    <x v="8"/>
    <x v="0"/>
  </r>
  <r>
    <n v="44453"/>
    <x v="406"/>
    <x v="20"/>
    <x v="2"/>
    <x v="6"/>
    <s v="Vtech CS6719"/>
    <n v="287.97000000000003"/>
    <n v="3"/>
    <x v="956"/>
    <x v="8"/>
    <x v="0"/>
  </r>
  <r>
    <n v="44453"/>
    <x v="406"/>
    <x v="20"/>
    <x v="0"/>
    <x v="0"/>
    <s v="Xerox 198"/>
    <n v="44.82"/>
    <n v="9"/>
    <x v="957"/>
    <x v="8"/>
    <x v="0"/>
  </r>
  <r>
    <n v="44453"/>
    <x v="134"/>
    <x v="0"/>
    <x v="0"/>
    <x v="7"/>
    <s v="Revere Boxed Rubber Bands by Revere"/>
    <n v="6.05"/>
    <n v="4"/>
    <x v="958"/>
    <x v="8"/>
    <x v="0"/>
  </r>
  <r>
    <n v="44453"/>
    <x v="134"/>
    <x v="0"/>
    <x v="0"/>
    <x v="0"/>
    <s v="Xerox 1900"/>
    <n v="6.85"/>
    <n v="2"/>
    <x v="959"/>
    <x v="8"/>
    <x v="0"/>
  </r>
  <r>
    <n v="44453"/>
    <x v="134"/>
    <x v="0"/>
    <x v="1"/>
    <x v="8"/>
    <s v="Stacking Trays by OIC"/>
    <n v="9.9600000000000009"/>
    <n v="5"/>
    <x v="960"/>
    <x v="8"/>
    <x v="0"/>
  </r>
  <r>
    <n v="44453"/>
    <x v="134"/>
    <x v="0"/>
    <x v="0"/>
    <x v="3"/>
    <s v="Trimflex Flexible Post Binders"/>
    <n v="8.5500000000000007"/>
    <n v="2"/>
    <x v="961"/>
    <x v="8"/>
    <x v="0"/>
  </r>
  <r>
    <n v="44454"/>
    <x v="407"/>
    <x v="2"/>
    <x v="1"/>
    <x v="8"/>
    <s v="Seth Thomas 16&quot; Steel Case Clock"/>
    <n v="103.94"/>
    <n v="4"/>
    <x v="962"/>
    <x v="8"/>
    <x v="0"/>
  </r>
  <r>
    <n v="44454"/>
    <x v="116"/>
    <x v="20"/>
    <x v="0"/>
    <x v="0"/>
    <s v="Easy-staple paper"/>
    <n v="14.94"/>
    <n v="3"/>
    <x v="162"/>
    <x v="8"/>
    <x v="0"/>
  </r>
  <r>
    <n v="44454"/>
    <x v="116"/>
    <x v="20"/>
    <x v="1"/>
    <x v="8"/>
    <s v="Master Caster Door Stop, Large Neon Orange"/>
    <n v="14.56"/>
    <n v="2"/>
    <x v="963"/>
    <x v="8"/>
    <x v="0"/>
  </r>
  <r>
    <n v="44455"/>
    <x v="211"/>
    <x v="20"/>
    <x v="0"/>
    <x v="3"/>
    <s v="Avery Trapezoid Extra Heavy Duty 4&quot; Binders"/>
    <n v="33.549999999999997"/>
    <n v="1"/>
    <x v="964"/>
    <x v="8"/>
    <x v="0"/>
  </r>
  <r>
    <n v="44456"/>
    <x v="408"/>
    <x v="2"/>
    <x v="0"/>
    <x v="3"/>
    <s v="Acco Pressboard Covers with Storage Hooks, 14 7/8&quot; x 11&quot;, Light Blue"/>
    <n v="5.89"/>
    <n v="4"/>
    <x v="965"/>
    <x v="8"/>
    <x v="0"/>
  </r>
  <r>
    <n v="44456"/>
    <x v="388"/>
    <x v="25"/>
    <x v="2"/>
    <x v="9"/>
    <s v="Logitech Trackman Marble Mouse"/>
    <n v="47.98"/>
    <n v="2"/>
    <x v="966"/>
    <x v="8"/>
    <x v="0"/>
  </r>
  <r>
    <n v="44456"/>
    <x v="388"/>
    <x v="25"/>
    <x v="0"/>
    <x v="0"/>
    <s v="Xerox 1924"/>
    <n v="4.62"/>
    <n v="1"/>
    <x v="967"/>
    <x v="8"/>
    <x v="0"/>
  </r>
  <r>
    <n v="44456"/>
    <x v="84"/>
    <x v="22"/>
    <x v="0"/>
    <x v="2"/>
    <s v="Eldon Gobal File Keepers"/>
    <n v="30.28"/>
    <n v="2"/>
    <x v="968"/>
    <x v="8"/>
    <x v="0"/>
  </r>
  <r>
    <n v="44456"/>
    <x v="84"/>
    <x v="22"/>
    <x v="0"/>
    <x v="2"/>
    <s v="Eldon ProFile File 'N Store Portable File Tub Letter/Legal Size Black"/>
    <n v="57.93"/>
    <n v="3"/>
    <x v="969"/>
    <x v="8"/>
    <x v="0"/>
  </r>
  <r>
    <n v="44456"/>
    <x v="84"/>
    <x v="22"/>
    <x v="1"/>
    <x v="8"/>
    <s v="Executive Impressions 12&quot; Wall Clock"/>
    <n v="35.340000000000003"/>
    <n v="2"/>
    <x v="970"/>
    <x v="8"/>
    <x v="0"/>
  </r>
  <r>
    <n v="44456"/>
    <x v="84"/>
    <x v="22"/>
    <x v="0"/>
    <x v="3"/>
    <s v="GBC Prestige Therm-A-Bind Covers"/>
    <n v="137.24"/>
    <n v="5"/>
    <x v="971"/>
    <x v="8"/>
    <x v="0"/>
  </r>
  <r>
    <n v="44456"/>
    <x v="245"/>
    <x v="3"/>
    <x v="0"/>
    <x v="10"/>
    <s v="Tyvek Interoffice Envelopes, 9 1/2&quot; x 12 1/2&quot;, 100/Box"/>
    <n v="182.94"/>
    <n v="3"/>
    <x v="972"/>
    <x v="8"/>
    <x v="0"/>
  </r>
  <r>
    <n v="44456"/>
    <x v="409"/>
    <x v="11"/>
    <x v="0"/>
    <x v="4"/>
    <s v="Newell 313"/>
    <n v="5.25"/>
    <n v="2"/>
    <x v="973"/>
    <x v="8"/>
    <x v="0"/>
  </r>
  <r>
    <n v="44456"/>
    <x v="409"/>
    <x v="11"/>
    <x v="0"/>
    <x v="4"/>
    <s v="Boston 16701 Slimline Battery Pencil Sharpener"/>
    <n v="38.26"/>
    <n v="3"/>
    <x v="741"/>
    <x v="8"/>
    <x v="0"/>
  </r>
  <r>
    <n v="44456"/>
    <x v="409"/>
    <x v="11"/>
    <x v="0"/>
    <x v="0"/>
    <s v="Riverleaf Stik-Withit Designer Note Cubes"/>
    <n v="40.24"/>
    <n v="5"/>
    <x v="974"/>
    <x v="8"/>
    <x v="0"/>
  </r>
  <r>
    <n v="44456"/>
    <x v="409"/>
    <x v="11"/>
    <x v="2"/>
    <x v="15"/>
    <s v="Plantronics Single Ear Headset"/>
    <n v="29.93"/>
    <n v="5"/>
    <x v="975"/>
    <x v="8"/>
    <x v="0"/>
  </r>
  <r>
    <n v="44456"/>
    <x v="409"/>
    <x v="11"/>
    <x v="0"/>
    <x v="0"/>
    <s v="Xerox 1960"/>
    <n v="148.69999999999999"/>
    <n v="6"/>
    <x v="976"/>
    <x v="8"/>
    <x v="0"/>
  </r>
  <r>
    <n v="44456"/>
    <x v="409"/>
    <x v="11"/>
    <x v="2"/>
    <x v="9"/>
    <s v="Verbatim 25 GB 6x Blu-ray Single Layer Recordable Disc, 3/Pack"/>
    <n v="55.92"/>
    <n v="10"/>
    <x v="977"/>
    <x v="8"/>
    <x v="0"/>
  </r>
  <r>
    <n v="44458"/>
    <x v="191"/>
    <x v="0"/>
    <x v="2"/>
    <x v="15"/>
    <s v="Lexmark MX611dhe Monochrome Laser Printer"/>
    <n v="3059.98"/>
    <n v="3"/>
    <x v="978"/>
    <x v="8"/>
    <x v="0"/>
  </r>
  <r>
    <n v="44458"/>
    <x v="191"/>
    <x v="0"/>
    <x v="2"/>
    <x v="15"/>
    <s v="Xerox WorkCentre 6505DN Laser Multifunction Printer"/>
    <n v="2519.96"/>
    <n v="7"/>
    <x v="979"/>
    <x v="8"/>
    <x v="0"/>
  </r>
  <r>
    <n v="44458"/>
    <x v="410"/>
    <x v="3"/>
    <x v="0"/>
    <x v="7"/>
    <s v="OIC Binder Clips"/>
    <n v="7.16"/>
    <n v="2"/>
    <x v="980"/>
    <x v="8"/>
    <x v="0"/>
  </r>
  <r>
    <n v="44458"/>
    <x v="154"/>
    <x v="25"/>
    <x v="0"/>
    <x v="2"/>
    <s v="Project Tote Personal File"/>
    <n v="67.34"/>
    <n v="6"/>
    <x v="285"/>
    <x v="8"/>
    <x v="0"/>
  </r>
  <r>
    <n v="44458"/>
    <x v="154"/>
    <x v="25"/>
    <x v="2"/>
    <x v="15"/>
    <s v="HP Designjet T520 Inkjet Large Format Printer - 24&quot; Color"/>
    <n v="2624.99"/>
    <n v="3"/>
    <x v="981"/>
    <x v="8"/>
    <x v="0"/>
  </r>
  <r>
    <n v="44458"/>
    <x v="183"/>
    <x v="20"/>
    <x v="1"/>
    <x v="5"/>
    <s v="Hon Olson Stacker Stools"/>
    <n v="887.1"/>
    <n v="7"/>
    <x v="982"/>
    <x v="8"/>
    <x v="0"/>
  </r>
  <r>
    <n v="44458"/>
    <x v="411"/>
    <x v="22"/>
    <x v="0"/>
    <x v="2"/>
    <s v="Decoflex Hanging Personal Folder File, Blue"/>
    <n v="92.52"/>
    <n v="6"/>
    <x v="983"/>
    <x v="8"/>
    <x v="0"/>
  </r>
  <r>
    <n v="44458"/>
    <x v="412"/>
    <x v="3"/>
    <x v="0"/>
    <x v="7"/>
    <s v="Revere Boxed Rubber Bands by Revere"/>
    <n v="5.67"/>
    <n v="3"/>
    <x v="984"/>
    <x v="8"/>
    <x v="0"/>
  </r>
  <r>
    <n v="44458"/>
    <x v="37"/>
    <x v="12"/>
    <x v="1"/>
    <x v="13"/>
    <s v="Hon 2111 Invitation Series Straight Table"/>
    <n v="73.92"/>
    <n v="1"/>
    <x v="985"/>
    <x v="8"/>
    <x v="0"/>
  </r>
  <r>
    <n v="44459"/>
    <x v="413"/>
    <x v="1"/>
    <x v="1"/>
    <x v="13"/>
    <s v="Bevis 44 x 96 Conference Tables"/>
    <n v="617.70000000000005"/>
    <n v="6"/>
    <x v="986"/>
    <x v="8"/>
    <x v="0"/>
  </r>
  <r>
    <n v="44459"/>
    <x v="414"/>
    <x v="3"/>
    <x v="0"/>
    <x v="1"/>
    <s v="Avery 499"/>
    <n v="9.9600000000000009"/>
    <n v="2"/>
    <x v="290"/>
    <x v="8"/>
    <x v="0"/>
  </r>
  <r>
    <n v="44459"/>
    <x v="414"/>
    <x v="3"/>
    <x v="0"/>
    <x v="0"/>
    <s v="Wirebound Message Book, 4 per Page"/>
    <n v="21.72"/>
    <n v="4"/>
    <x v="987"/>
    <x v="8"/>
    <x v="0"/>
  </r>
  <r>
    <n v="44459"/>
    <x v="159"/>
    <x v="16"/>
    <x v="0"/>
    <x v="4"/>
    <s v="Nontoxic Chalk"/>
    <n v="2.82"/>
    <n v="2"/>
    <x v="988"/>
    <x v="8"/>
    <x v="0"/>
  </r>
  <r>
    <n v="44459"/>
    <x v="415"/>
    <x v="3"/>
    <x v="0"/>
    <x v="12"/>
    <s v="Staple holder"/>
    <n v="43.92"/>
    <n v="4"/>
    <x v="989"/>
    <x v="8"/>
    <x v="0"/>
  </r>
  <r>
    <n v="44459"/>
    <x v="415"/>
    <x v="3"/>
    <x v="0"/>
    <x v="3"/>
    <s v="Ibico Plastic and Wire Spiral Binding Combs"/>
    <n v="20.23"/>
    <n v="3"/>
    <x v="990"/>
    <x v="8"/>
    <x v="0"/>
  </r>
  <r>
    <n v="44459"/>
    <x v="416"/>
    <x v="36"/>
    <x v="1"/>
    <x v="8"/>
    <s v="C-Line Cubicle Keepers Polyproplyene Holder w/Velcro Back, 8-1/2x11, 25/Bx"/>
    <n v="164.22"/>
    <n v="3"/>
    <x v="991"/>
    <x v="8"/>
    <x v="0"/>
  </r>
  <r>
    <n v="44459"/>
    <x v="416"/>
    <x v="36"/>
    <x v="1"/>
    <x v="11"/>
    <s v="O'Sullivan Living Dimensions 2-Shelf Bookcases"/>
    <n v="362.94"/>
    <n v="3"/>
    <x v="992"/>
    <x v="8"/>
    <x v="0"/>
  </r>
  <r>
    <n v="44459"/>
    <x v="416"/>
    <x v="36"/>
    <x v="2"/>
    <x v="9"/>
    <s v="Logitech 910-002974 M325 Wireless Mouse for Web Scrolling"/>
    <n v="59.98"/>
    <n v="2"/>
    <x v="485"/>
    <x v="8"/>
    <x v="0"/>
  </r>
  <r>
    <n v="44459"/>
    <x v="417"/>
    <x v="1"/>
    <x v="1"/>
    <x v="11"/>
    <s v="Bush Heritage Pine Collection 5-Shelf Bookcase, Albany Pine Finish, *Special Order"/>
    <n v="493.43"/>
    <n v="5"/>
    <x v="993"/>
    <x v="8"/>
    <x v="0"/>
  </r>
  <r>
    <n v="44459"/>
    <x v="417"/>
    <x v="1"/>
    <x v="2"/>
    <x v="6"/>
    <s v="QVS USB Car Charger 2-Port 2.1Amp for iPod/iPhone/iPad/iPad 2/iPad 3"/>
    <n v="11.12"/>
    <n v="2"/>
    <x v="994"/>
    <x v="8"/>
    <x v="0"/>
  </r>
  <r>
    <n v="44459"/>
    <x v="418"/>
    <x v="3"/>
    <x v="0"/>
    <x v="0"/>
    <s v="Xerox 1900"/>
    <n v="8.56"/>
    <n v="2"/>
    <x v="995"/>
    <x v="8"/>
    <x v="0"/>
  </r>
  <r>
    <n v="44459"/>
    <x v="363"/>
    <x v="20"/>
    <x v="2"/>
    <x v="6"/>
    <s v="Ooma Telo VoIP Home Phone System"/>
    <n v="629.95000000000005"/>
    <n v="5"/>
    <x v="996"/>
    <x v="8"/>
    <x v="0"/>
  </r>
  <r>
    <n v="44459"/>
    <x v="363"/>
    <x v="20"/>
    <x v="1"/>
    <x v="5"/>
    <s v="Global Leather Executive Chair"/>
    <n v="631.78"/>
    <n v="2"/>
    <x v="997"/>
    <x v="8"/>
    <x v="0"/>
  </r>
  <r>
    <n v="44459"/>
    <x v="363"/>
    <x v="20"/>
    <x v="1"/>
    <x v="11"/>
    <s v="DMI Eclipse Executive Suite Bookcases"/>
    <n v="801.57"/>
    <n v="2"/>
    <x v="998"/>
    <x v="8"/>
    <x v="0"/>
  </r>
  <r>
    <n v="44459"/>
    <x v="363"/>
    <x v="20"/>
    <x v="0"/>
    <x v="1"/>
    <s v="Avery 485"/>
    <n v="75.180000000000007"/>
    <n v="6"/>
    <x v="999"/>
    <x v="8"/>
    <x v="0"/>
  </r>
  <r>
    <n v="44459"/>
    <x v="363"/>
    <x v="20"/>
    <x v="0"/>
    <x v="12"/>
    <s v="Euro-Pro Shark Turbo Vacuum"/>
    <n v="30.98"/>
    <n v="1"/>
    <x v="1000"/>
    <x v="8"/>
    <x v="0"/>
  </r>
  <r>
    <n v="44459"/>
    <x v="363"/>
    <x v="20"/>
    <x v="2"/>
    <x v="6"/>
    <s v="Panasonic KX-TG9541B DECT 6.0 Digital 2-Line Expandable Cordless Phone With Digital Answering System"/>
    <n v="1349.91"/>
    <n v="9"/>
    <x v="1001"/>
    <x v="8"/>
    <x v="0"/>
  </r>
  <r>
    <n v="44460"/>
    <x v="419"/>
    <x v="22"/>
    <x v="2"/>
    <x v="6"/>
    <s v="Nortel Meridian M3904 Professional Digital phone"/>
    <n v="246.38"/>
    <n v="2"/>
    <x v="1002"/>
    <x v="8"/>
    <x v="0"/>
  </r>
  <r>
    <n v="44460"/>
    <x v="419"/>
    <x v="22"/>
    <x v="2"/>
    <x v="16"/>
    <s v="Canon PC1080F Personal Copier"/>
    <n v="1799.97"/>
    <n v="3"/>
    <x v="1003"/>
    <x v="8"/>
    <x v="0"/>
  </r>
  <r>
    <n v="44460"/>
    <x v="291"/>
    <x v="40"/>
    <x v="0"/>
    <x v="12"/>
    <s v="Fellowes Basic Home/Office Series Surge Protectors"/>
    <n v="25.96"/>
    <n v="2"/>
    <x v="1004"/>
    <x v="8"/>
    <x v="0"/>
  </r>
  <r>
    <n v="44460"/>
    <x v="291"/>
    <x v="40"/>
    <x v="0"/>
    <x v="12"/>
    <s v="Acco 6 Outlet Guardian Standard Surge Suppressor"/>
    <n v="36.270000000000003"/>
    <n v="3"/>
    <x v="1005"/>
    <x v="8"/>
    <x v="0"/>
  </r>
  <r>
    <n v="44460"/>
    <x v="291"/>
    <x v="40"/>
    <x v="0"/>
    <x v="0"/>
    <s v="Xerox 224"/>
    <n v="6.48"/>
    <n v="1"/>
    <x v="1006"/>
    <x v="8"/>
    <x v="0"/>
  </r>
  <r>
    <n v="44460"/>
    <x v="221"/>
    <x v="3"/>
    <x v="0"/>
    <x v="10"/>
    <s v="Staple envelope"/>
    <n v="15.56"/>
    <n v="2"/>
    <x v="1007"/>
    <x v="8"/>
    <x v="0"/>
  </r>
  <r>
    <n v="44460"/>
    <x v="221"/>
    <x v="3"/>
    <x v="0"/>
    <x v="10"/>
    <s v="#10 White Business Envelopes,4 1/8 x 9 1/2"/>
    <n v="78.349999999999994"/>
    <n v="5"/>
    <x v="1008"/>
    <x v="8"/>
    <x v="0"/>
  </r>
  <r>
    <n v="44460"/>
    <x v="221"/>
    <x v="3"/>
    <x v="0"/>
    <x v="4"/>
    <s v="Newell 34"/>
    <n v="59.52"/>
    <n v="3"/>
    <x v="142"/>
    <x v="8"/>
    <x v="0"/>
  </r>
  <r>
    <n v="44460"/>
    <x v="221"/>
    <x v="3"/>
    <x v="0"/>
    <x v="0"/>
    <s v="Xerox 1971"/>
    <n v="38.520000000000003"/>
    <n v="9"/>
    <x v="1009"/>
    <x v="8"/>
    <x v="0"/>
  </r>
  <r>
    <n v="44460"/>
    <x v="221"/>
    <x v="3"/>
    <x v="2"/>
    <x v="6"/>
    <s v="Polycom CX300 Desktop Phone USB VoIP phone"/>
    <n v="239.98"/>
    <n v="2"/>
    <x v="1010"/>
    <x v="8"/>
    <x v="0"/>
  </r>
  <r>
    <n v="44460"/>
    <x v="221"/>
    <x v="3"/>
    <x v="0"/>
    <x v="0"/>
    <s v="Wirebound Four 2-3/4 x 5 Forms per Page, 400 Sets per Book"/>
    <n v="19.350000000000001"/>
    <n v="3"/>
    <x v="1011"/>
    <x v="8"/>
    <x v="0"/>
  </r>
  <r>
    <n v="44460"/>
    <x v="338"/>
    <x v="2"/>
    <x v="0"/>
    <x v="0"/>
    <s v="While You Were Out Pads, 50 per Pad, 4 x 5 1/4, Green Cycle"/>
    <n v="11.35"/>
    <n v="3"/>
    <x v="1012"/>
    <x v="8"/>
    <x v="0"/>
  </r>
  <r>
    <n v="44460"/>
    <x v="338"/>
    <x v="2"/>
    <x v="0"/>
    <x v="1"/>
    <s v="Staple-on labels"/>
    <n v="20.81"/>
    <n v="9"/>
    <x v="162"/>
    <x v="8"/>
    <x v="0"/>
  </r>
  <r>
    <n v="44460"/>
    <x v="179"/>
    <x v="0"/>
    <x v="1"/>
    <x v="8"/>
    <s v="Dana Swing-Arm Lamps"/>
    <n v="8.5399999999999991"/>
    <n v="2"/>
    <x v="1013"/>
    <x v="8"/>
    <x v="0"/>
  </r>
  <r>
    <n v="44460"/>
    <x v="420"/>
    <x v="2"/>
    <x v="0"/>
    <x v="3"/>
    <s v="Angle-D Binders with Locking Rings, Label Holders"/>
    <n v="6.57"/>
    <n v="3"/>
    <x v="1014"/>
    <x v="8"/>
    <x v="0"/>
  </r>
  <r>
    <n v="44460"/>
    <x v="421"/>
    <x v="20"/>
    <x v="0"/>
    <x v="4"/>
    <s v="Boston 16801 Nautilus Battery Pencil Sharpener"/>
    <n v="66.03"/>
    <n v="3"/>
    <x v="1015"/>
    <x v="8"/>
    <x v="0"/>
  </r>
  <r>
    <n v="44461"/>
    <x v="389"/>
    <x v="16"/>
    <x v="0"/>
    <x v="1"/>
    <s v="Avery File Folder Labels"/>
    <n v="4.6100000000000003"/>
    <n v="2"/>
    <x v="688"/>
    <x v="8"/>
    <x v="0"/>
  </r>
  <r>
    <n v="44461"/>
    <x v="422"/>
    <x v="1"/>
    <x v="0"/>
    <x v="2"/>
    <s v="SAFCO Commercial Wire Shelving, Black"/>
    <n v="331.54"/>
    <n v="3"/>
    <x v="1016"/>
    <x v="8"/>
    <x v="0"/>
  </r>
  <r>
    <n v="44461"/>
    <x v="145"/>
    <x v="3"/>
    <x v="0"/>
    <x v="2"/>
    <s v="File Shuttle II and Handi-File, Black"/>
    <n v="169.45"/>
    <n v="5"/>
    <x v="1017"/>
    <x v="8"/>
    <x v="0"/>
  </r>
  <r>
    <n v="44461"/>
    <x v="145"/>
    <x v="3"/>
    <x v="0"/>
    <x v="2"/>
    <s v="Tennsco Commercial Shelving"/>
    <n v="40.68"/>
    <n v="2"/>
    <x v="1018"/>
    <x v="8"/>
    <x v="0"/>
  </r>
  <r>
    <n v="44461"/>
    <x v="423"/>
    <x v="20"/>
    <x v="1"/>
    <x v="8"/>
    <s v="Computer Room Manger, 14&quot;"/>
    <n v="97.44"/>
    <n v="3"/>
    <x v="1019"/>
    <x v="8"/>
    <x v="0"/>
  </r>
  <r>
    <n v="44461"/>
    <x v="423"/>
    <x v="20"/>
    <x v="0"/>
    <x v="3"/>
    <s v="Cardinal Holdit Business Card Pockets"/>
    <n v="3.98"/>
    <n v="1"/>
    <x v="1020"/>
    <x v="8"/>
    <x v="0"/>
  </r>
  <r>
    <n v="44461"/>
    <x v="423"/>
    <x v="20"/>
    <x v="0"/>
    <x v="4"/>
    <s v="Avery Hi-Liter GlideStik Fluorescent Highlighter, Yellow Ink"/>
    <n v="13.04"/>
    <n v="4"/>
    <x v="480"/>
    <x v="8"/>
    <x v="0"/>
  </r>
  <r>
    <n v="44461"/>
    <x v="423"/>
    <x v="20"/>
    <x v="1"/>
    <x v="5"/>
    <s v="Office Star - Mid Back Dual function Ergonomic High Back Chair with 2-Way Adjustable Arms"/>
    <n v="579.53"/>
    <n v="4"/>
    <x v="1021"/>
    <x v="8"/>
    <x v="0"/>
  </r>
  <r>
    <n v="44462"/>
    <x v="291"/>
    <x v="3"/>
    <x v="1"/>
    <x v="11"/>
    <s v="Rush Hierlooms Collection 1&quot; Thick Stackable Bookcases"/>
    <n v="436"/>
    <n v="3"/>
    <x v="1022"/>
    <x v="8"/>
    <x v="0"/>
  </r>
  <r>
    <n v="44462"/>
    <x v="291"/>
    <x v="3"/>
    <x v="2"/>
    <x v="6"/>
    <s v="netTALK DUO VoIP Telephone Service"/>
    <n v="83.98"/>
    <n v="2"/>
    <x v="469"/>
    <x v="8"/>
    <x v="0"/>
  </r>
  <r>
    <n v="44462"/>
    <x v="43"/>
    <x v="20"/>
    <x v="0"/>
    <x v="3"/>
    <s v="Avery Arch Ring Binders"/>
    <n v="139.44"/>
    <n v="3"/>
    <x v="1023"/>
    <x v="8"/>
    <x v="0"/>
  </r>
  <r>
    <n v="44462"/>
    <x v="42"/>
    <x v="28"/>
    <x v="0"/>
    <x v="0"/>
    <s v="Xerox 217"/>
    <n v="32.4"/>
    <n v="5"/>
    <x v="327"/>
    <x v="8"/>
    <x v="0"/>
  </r>
  <r>
    <n v="44462"/>
    <x v="42"/>
    <x v="28"/>
    <x v="0"/>
    <x v="2"/>
    <s v="Carina Double Wide Media Storage Towers in Natural &amp; Black"/>
    <n v="404.9"/>
    <n v="5"/>
    <x v="1024"/>
    <x v="8"/>
    <x v="0"/>
  </r>
  <r>
    <n v="44462"/>
    <x v="42"/>
    <x v="28"/>
    <x v="0"/>
    <x v="3"/>
    <s v="Ibico EPK-21 Electric Binding System"/>
    <n v="9449.9500000000007"/>
    <n v="5"/>
    <x v="1025"/>
    <x v="8"/>
    <x v="0"/>
  </r>
  <r>
    <n v="44462"/>
    <x v="42"/>
    <x v="28"/>
    <x v="0"/>
    <x v="3"/>
    <s v="GBC Instant Report Kit"/>
    <n v="12.94"/>
    <n v="2"/>
    <x v="257"/>
    <x v="8"/>
    <x v="0"/>
  </r>
  <r>
    <n v="44462"/>
    <x v="412"/>
    <x v="10"/>
    <x v="0"/>
    <x v="0"/>
    <s v="EcoTones Memo Sheets"/>
    <n v="28.8"/>
    <n v="9"/>
    <x v="1026"/>
    <x v="8"/>
    <x v="0"/>
  </r>
  <r>
    <n v="44462"/>
    <x v="424"/>
    <x v="7"/>
    <x v="0"/>
    <x v="3"/>
    <s v="Wilson Jones Suede Grain Vinyl Binders"/>
    <n v="11.12"/>
    <n v="4"/>
    <x v="1027"/>
    <x v="8"/>
    <x v="0"/>
  </r>
  <r>
    <n v="44462"/>
    <x v="425"/>
    <x v="20"/>
    <x v="0"/>
    <x v="3"/>
    <s v="Avery Binding System Hidden Tab Executive Style Index Sets"/>
    <n v="18.46"/>
    <n v="4"/>
    <x v="1028"/>
    <x v="8"/>
    <x v="0"/>
  </r>
  <r>
    <n v="44462"/>
    <x v="426"/>
    <x v="7"/>
    <x v="0"/>
    <x v="4"/>
    <s v="Newell 351"/>
    <n v="9.84"/>
    <n v="3"/>
    <x v="1029"/>
    <x v="8"/>
    <x v="0"/>
  </r>
  <r>
    <n v="44462"/>
    <x v="426"/>
    <x v="7"/>
    <x v="0"/>
    <x v="3"/>
    <s v="Ibico Covers for Plastic or Wire Binding Elements"/>
    <n v="34.5"/>
    <n v="3"/>
    <x v="1030"/>
    <x v="8"/>
    <x v="0"/>
  </r>
  <r>
    <n v="44463"/>
    <x v="427"/>
    <x v="3"/>
    <x v="0"/>
    <x v="2"/>
    <s v="Gould Plastics 9-Pocket Panel Bin, 18-3/8w x 5-1/4d x 20-1/2h, Black"/>
    <n v="211.96"/>
    <n v="4"/>
    <x v="1031"/>
    <x v="8"/>
    <x v="0"/>
  </r>
  <r>
    <n v="44464"/>
    <x v="428"/>
    <x v="0"/>
    <x v="0"/>
    <x v="0"/>
    <s v="Xerox 1954"/>
    <n v="33.79"/>
    <n v="8"/>
    <x v="1032"/>
    <x v="8"/>
    <x v="0"/>
  </r>
  <r>
    <n v="44464"/>
    <x v="428"/>
    <x v="0"/>
    <x v="1"/>
    <x v="11"/>
    <s v="O'Sullivan Living Dimensions 5-Shelf Bookcases"/>
    <n v="300.52999999999997"/>
    <n v="2"/>
    <x v="1033"/>
    <x v="8"/>
    <x v="0"/>
  </r>
  <r>
    <n v="44464"/>
    <x v="428"/>
    <x v="0"/>
    <x v="0"/>
    <x v="3"/>
    <s v="Avery Self-Adhesive Photo Pockets for Polaroid Photos"/>
    <n v="2.72"/>
    <n v="2"/>
    <x v="1034"/>
    <x v="8"/>
    <x v="0"/>
  </r>
  <r>
    <n v="44464"/>
    <x v="428"/>
    <x v="0"/>
    <x v="0"/>
    <x v="10"/>
    <s v="Poly String Tie Envelopes"/>
    <n v="3.26"/>
    <n v="2"/>
    <x v="1035"/>
    <x v="8"/>
    <x v="0"/>
  </r>
  <r>
    <n v="44464"/>
    <x v="429"/>
    <x v="26"/>
    <x v="0"/>
    <x v="4"/>
    <s v="Dixon Ticonderoga Core-Lock Colored Pencils"/>
    <n v="14.58"/>
    <n v="2"/>
    <x v="1036"/>
    <x v="8"/>
    <x v="0"/>
  </r>
  <r>
    <n v="44465"/>
    <x v="388"/>
    <x v="3"/>
    <x v="1"/>
    <x v="5"/>
    <s v="Leather Task Chair, Black"/>
    <n v="145.57"/>
    <n v="2"/>
    <x v="62"/>
    <x v="8"/>
    <x v="0"/>
  </r>
  <r>
    <n v="44465"/>
    <x v="418"/>
    <x v="0"/>
    <x v="0"/>
    <x v="3"/>
    <s v="Acco 3-Hole Punch"/>
    <n v="0.88"/>
    <n v="1"/>
    <x v="1037"/>
    <x v="8"/>
    <x v="0"/>
  </r>
  <r>
    <n v="44465"/>
    <x v="430"/>
    <x v="2"/>
    <x v="0"/>
    <x v="12"/>
    <s v="Belkin 8 Outlet SurgeMaster II Gold Surge Protector"/>
    <n v="143.94999999999999"/>
    <n v="3"/>
    <x v="1038"/>
    <x v="8"/>
    <x v="0"/>
  </r>
  <r>
    <n v="44465"/>
    <x v="431"/>
    <x v="22"/>
    <x v="0"/>
    <x v="2"/>
    <s v="Dual Level, Single-Width Filing Carts"/>
    <n v="310.12"/>
    <n v="2"/>
    <x v="956"/>
    <x v="8"/>
    <x v="0"/>
  </r>
  <r>
    <n v="44465"/>
    <x v="432"/>
    <x v="3"/>
    <x v="1"/>
    <x v="5"/>
    <s v="Hon Deluxe Fabric Upholstered Stacking Chairs, Rounded Back"/>
    <n v="585.54999999999995"/>
    <n v="3"/>
    <x v="528"/>
    <x v="8"/>
    <x v="0"/>
  </r>
  <r>
    <n v="44465"/>
    <x v="432"/>
    <x v="3"/>
    <x v="0"/>
    <x v="0"/>
    <s v="Xerox 217"/>
    <n v="19.440000000000001"/>
    <n v="3"/>
    <x v="5"/>
    <x v="8"/>
    <x v="0"/>
  </r>
  <r>
    <n v="44465"/>
    <x v="71"/>
    <x v="2"/>
    <x v="0"/>
    <x v="3"/>
    <s v="Avery Durable Slant Ring Binders, No Labels"/>
    <n v="5.97"/>
    <n v="5"/>
    <x v="1039"/>
    <x v="8"/>
    <x v="0"/>
  </r>
  <r>
    <n v="44465"/>
    <x v="71"/>
    <x v="2"/>
    <x v="1"/>
    <x v="8"/>
    <s v="DAX Black Cherry Wood-Tone Poster Frame"/>
    <n v="21.18"/>
    <n v="1"/>
    <x v="105"/>
    <x v="8"/>
    <x v="0"/>
  </r>
  <r>
    <n v="44465"/>
    <x v="71"/>
    <x v="2"/>
    <x v="0"/>
    <x v="12"/>
    <s v="Acco Six-Outlet Power Strip, 4' Cord Length"/>
    <n v="41.38"/>
    <n v="6"/>
    <x v="1040"/>
    <x v="8"/>
    <x v="0"/>
  </r>
  <r>
    <n v="44465"/>
    <x v="163"/>
    <x v="10"/>
    <x v="0"/>
    <x v="12"/>
    <s v="Hoover Commercial Lightweight Upright Vacuum"/>
    <n v="16.7"/>
    <n v="6"/>
    <x v="164"/>
    <x v="8"/>
    <x v="0"/>
  </r>
  <r>
    <n v="44465"/>
    <x v="163"/>
    <x v="10"/>
    <x v="2"/>
    <x v="9"/>
    <s v="Maxell CD-R Discs"/>
    <n v="3.15"/>
    <n v="2"/>
    <x v="1041"/>
    <x v="8"/>
    <x v="0"/>
  </r>
  <r>
    <n v="44465"/>
    <x v="163"/>
    <x v="10"/>
    <x v="0"/>
    <x v="0"/>
    <s v="Message Book, Wirebound, Four 5 1/2&quot; X 4&quot; Forms/Pg., 200 Dupl. Sets/Book"/>
    <n v="32.9"/>
    <n v="4"/>
    <x v="117"/>
    <x v="8"/>
    <x v="0"/>
  </r>
  <r>
    <n v="44465"/>
    <x v="13"/>
    <x v="1"/>
    <x v="2"/>
    <x v="9"/>
    <s v="Maxell Pro 80 Minute CD-R, 10/Pack"/>
    <n v="153.82"/>
    <n v="11"/>
    <x v="1042"/>
    <x v="8"/>
    <x v="0"/>
  </r>
  <r>
    <n v="44466"/>
    <x v="93"/>
    <x v="23"/>
    <x v="1"/>
    <x v="8"/>
    <s v="Deflect-o SuperTray Unbreakable Stackable Tray, Letter, Black"/>
    <n v="87.54"/>
    <n v="3"/>
    <x v="1043"/>
    <x v="8"/>
    <x v="0"/>
  </r>
  <r>
    <n v="44466"/>
    <x v="433"/>
    <x v="3"/>
    <x v="1"/>
    <x v="5"/>
    <s v="DMI Arturo Collection Mission-style Design Wood Chair"/>
    <n v="603.91999999999996"/>
    <n v="5"/>
    <x v="1044"/>
    <x v="8"/>
    <x v="0"/>
  </r>
  <r>
    <n v="44466"/>
    <x v="433"/>
    <x v="3"/>
    <x v="0"/>
    <x v="0"/>
    <s v="Xerox 1919"/>
    <n v="81.98"/>
    <n v="2"/>
    <x v="1045"/>
    <x v="8"/>
    <x v="0"/>
  </r>
  <r>
    <n v="44467"/>
    <x v="434"/>
    <x v="32"/>
    <x v="0"/>
    <x v="2"/>
    <s v="Decoflex Hanging Personal Folder File, Blue"/>
    <n v="46.26"/>
    <n v="3"/>
    <x v="1046"/>
    <x v="8"/>
    <x v="0"/>
  </r>
  <r>
    <n v="44467"/>
    <x v="435"/>
    <x v="25"/>
    <x v="0"/>
    <x v="0"/>
    <s v="White GlueTop Scratch Pads"/>
    <n v="96.26"/>
    <n v="8"/>
    <x v="1047"/>
    <x v="8"/>
    <x v="0"/>
  </r>
  <r>
    <n v="44467"/>
    <x v="435"/>
    <x v="25"/>
    <x v="0"/>
    <x v="0"/>
    <s v="Xerox 195"/>
    <n v="10.69"/>
    <n v="2"/>
    <x v="1048"/>
    <x v="8"/>
    <x v="0"/>
  </r>
  <r>
    <n v="44467"/>
    <x v="21"/>
    <x v="16"/>
    <x v="1"/>
    <x v="8"/>
    <s v="Deflect-o DuraMat Antistatic Studded Beveled Mat for Medium Pile Carpeting"/>
    <n v="337.09"/>
    <n v="4"/>
    <x v="1049"/>
    <x v="8"/>
    <x v="0"/>
  </r>
  <r>
    <n v="44468"/>
    <x v="358"/>
    <x v="3"/>
    <x v="1"/>
    <x v="8"/>
    <s v="Luxo Professional Combination Clamp-On Lamps"/>
    <n v="204.6"/>
    <n v="2"/>
    <x v="216"/>
    <x v="8"/>
    <x v="0"/>
  </r>
  <r>
    <n v="44468"/>
    <x v="358"/>
    <x v="3"/>
    <x v="0"/>
    <x v="7"/>
    <s v="Stockwell Push Pins"/>
    <n v="8.7200000000000006"/>
    <n v="4"/>
    <x v="245"/>
    <x v="8"/>
    <x v="0"/>
  </r>
  <r>
    <n v="44468"/>
    <x v="358"/>
    <x v="3"/>
    <x v="0"/>
    <x v="0"/>
    <s v="Xerox 223"/>
    <n v="6.48"/>
    <n v="1"/>
    <x v="1006"/>
    <x v="8"/>
    <x v="0"/>
  </r>
  <r>
    <n v="44468"/>
    <x v="358"/>
    <x v="3"/>
    <x v="2"/>
    <x v="15"/>
    <s v="Star Micronics TSP800 TSP847IIU Receipt Printer"/>
    <n v="686.32"/>
    <n v="2"/>
    <x v="1050"/>
    <x v="8"/>
    <x v="0"/>
  </r>
  <r>
    <n v="44468"/>
    <x v="358"/>
    <x v="3"/>
    <x v="0"/>
    <x v="2"/>
    <s v="Fellowes Mobile File Cart, Black"/>
    <n v="62.18"/>
    <n v="1"/>
    <x v="1051"/>
    <x v="8"/>
    <x v="0"/>
  </r>
  <r>
    <n v="44468"/>
    <x v="436"/>
    <x v="2"/>
    <x v="0"/>
    <x v="4"/>
    <s v="Nontoxic Chalk"/>
    <n v="4.22"/>
    <n v="3"/>
    <x v="9"/>
    <x v="8"/>
    <x v="0"/>
  </r>
  <r>
    <n v="44468"/>
    <x v="436"/>
    <x v="2"/>
    <x v="1"/>
    <x v="13"/>
    <s v="Hon 30&quot; x 60&quot; Table with Locking Drawer"/>
    <n v="409.27"/>
    <n v="2"/>
    <x v="1052"/>
    <x v="8"/>
    <x v="0"/>
  </r>
  <r>
    <n v="44468"/>
    <x v="436"/>
    <x v="2"/>
    <x v="0"/>
    <x v="1"/>
    <s v="Permanent Self-Adhesive File Folder Labels for Typewriters, 1 1/8 x 3 1/2, White"/>
    <n v="55.44"/>
    <n v="11"/>
    <x v="1053"/>
    <x v="8"/>
    <x v="0"/>
  </r>
  <r>
    <n v="44468"/>
    <x v="436"/>
    <x v="2"/>
    <x v="0"/>
    <x v="0"/>
    <s v="Southworth Parchment Paper &amp; Envelopes"/>
    <n v="20.93"/>
    <n v="4"/>
    <x v="1054"/>
    <x v="8"/>
    <x v="0"/>
  </r>
  <r>
    <n v="44468"/>
    <x v="436"/>
    <x v="2"/>
    <x v="0"/>
    <x v="2"/>
    <s v="Tennsco Single-Tier Lockers"/>
    <n v="1801.63"/>
    <n v="6"/>
    <x v="1055"/>
    <x v="8"/>
    <x v="0"/>
  </r>
  <r>
    <n v="44468"/>
    <x v="436"/>
    <x v="2"/>
    <x v="1"/>
    <x v="13"/>
    <s v="Hon 4060 Series Tables"/>
    <n v="67.180000000000007"/>
    <n v="1"/>
    <x v="1056"/>
    <x v="8"/>
    <x v="0"/>
  </r>
  <r>
    <n v="44468"/>
    <x v="367"/>
    <x v="22"/>
    <x v="1"/>
    <x v="8"/>
    <s v="Longer-Life Soft White Bulbs"/>
    <n v="6.16"/>
    <n v="2"/>
    <x v="1057"/>
    <x v="8"/>
    <x v="0"/>
  </r>
  <r>
    <n v="44468"/>
    <x v="367"/>
    <x v="22"/>
    <x v="1"/>
    <x v="13"/>
    <s v="Bevis Oval Conference Table, Walnut"/>
    <n v="2348.8200000000002"/>
    <n v="9"/>
    <x v="1058"/>
    <x v="8"/>
    <x v="0"/>
  </r>
  <r>
    <n v="44468"/>
    <x v="437"/>
    <x v="20"/>
    <x v="0"/>
    <x v="2"/>
    <s v="Dual Level, Single-Width Filing Carts"/>
    <n v="1395.54"/>
    <n v="9"/>
    <x v="1059"/>
    <x v="8"/>
    <x v="0"/>
  </r>
  <r>
    <n v="44468"/>
    <x v="437"/>
    <x v="20"/>
    <x v="1"/>
    <x v="8"/>
    <s v="Seth Thomas 14&quot; Putty-Colored Wall Clock"/>
    <n v="117.36"/>
    <n v="4"/>
    <x v="1060"/>
    <x v="8"/>
    <x v="0"/>
  </r>
  <r>
    <n v="44468"/>
    <x v="437"/>
    <x v="20"/>
    <x v="0"/>
    <x v="1"/>
    <s v="Avery 48"/>
    <n v="18.899999999999999"/>
    <n v="3"/>
    <x v="1061"/>
    <x v="8"/>
    <x v="0"/>
  </r>
  <r>
    <n v="44468"/>
    <x v="437"/>
    <x v="20"/>
    <x v="0"/>
    <x v="0"/>
    <s v="White Computer Printout Paper by Universal"/>
    <n v="77.52"/>
    <n v="2"/>
    <x v="1062"/>
    <x v="8"/>
    <x v="0"/>
  </r>
  <r>
    <n v="44468"/>
    <x v="438"/>
    <x v="22"/>
    <x v="0"/>
    <x v="3"/>
    <s v="GBC Standard Plastic Binding Systems' Combs"/>
    <n v="10.050000000000001"/>
    <n v="2"/>
    <x v="1063"/>
    <x v="8"/>
    <x v="0"/>
  </r>
  <r>
    <n v="44468"/>
    <x v="438"/>
    <x v="22"/>
    <x v="0"/>
    <x v="2"/>
    <s v="Fellowes Super Stor/Drawer Files"/>
    <n v="807.75"/>
    <n v="5"/>
    <x v="1064"/>
    <x v="8"/>
    <x v="0"/>
  </r>
  <r>
    <n v="44469"/>
    <x v="277"/>
    <x v="20"/>
    <x v="0"/>
    <x v="0"/>
    <s v="Tops Green Bar Computer Printout Paper"/>
    <n v="48.94"/>
    <n v="1"/>
    <x v="943"/>
    <x v="8"/>
    <x v="0"/>
  </r>
  <r>
    <n v="44469"/>
    <x v="346"/>
    <x v="16"/>
    <x v="0"/>
    <x v="0"/>
    <s v="Xerox 217"/>
    <n v="15.55"/>
    <n v="3"/>
    <x v="192"/>
    <x v="8"/>
    <x v="0"/>
  </r>
  <r>
    <n v="44469"/>
    <x v="439"/>
    <x v="15"/>
    <x v="0"/>
    <x v="12"/>
    <s v="Holmes Odor Grabber"/>
    <n v="69.22"/>
    <n v="6"/>
    <x v="1065"/>
    <x v="8"/>
    <x v="0"/>
  </r>
  <r>
    <n v="44469"/>
    <x v="440"/>
    <x v="22"/>
    <x v="0"/>
    <x v="3"/>
    <s v="DXL Angle-View Binders with Locking Rings by Samsill"/>
    <n v="43.18"/>
    <n v="7"/>
    <x v="1066"/>
    <x v="8"/>
    <x v="0"/>
  </r>
  <r>
    <n v="44469"/>
    <x v="223"/>
    <x v="20"/>
    <x v="1"/>
    <x v="8"/>
    <s v="Master Caster Door Stop, Brown"/>
    <n v="15.24"/>
    <n v="3"/>
    <x v="510"/>
    <x v="8"/>
    <x v="0"/>
  </r>
  <r>
    <n v="44469"/>
    <x v="441"/>
    <x v="10"/>
    <x v="0"/>
    <x v="12"/>
    <s v="Eureka Sanitaire  Commercial Upright"/>
    <n v="795.41"/>
    <n v="6"/>
    <x v="1067"/>
    <x v="8"/>
    <x v="0"/>
  </r>
  <r>
    <n v="44470"/>
    <x v="82"/>
    <x v="17"/>
    <x v="0"/>
    <x v="7"/>
    <s v="Sterling Rubber Bands by Alliance"/>
    <n v="4.71"/>
    <n v="1"/>
    <x v="62"/>
    <x v="9"/>
    <x v="0"/>
  </r>
  <r>
    <n v="44471"/>
    <x v="442"/>
    <x v="12"/>
    <x v="0"/>
    <x v="0"/>
    <s v="Adams Telephone Message Book W/Dividers/Space For Phone Numbers, 5 1/4&quot;X8 1/2&quot;, 300/Messages"/>
    <n v="9.41"/>
    <n v="2"/>
    <x v="919"/>
    <x v="9"/>
    <x v="0"/>
  </r>
  <r>
    <n v="44471"/>
    <x v="442"/>
    <x v="12"/>
    <x v="0"/>
    <x v="7"/>
    <s v="Staples"/>
    <n v="4.67"/>
    <n v="2"/>
    <x v="1068"/>
    <x v="9"/>
    <x v="0"/>
  </r>
  <r>
    <n v="44471"/>
    <x v="442"/>
    <x v="12"/>
    <x v="2"/>
    <x v="6"/>
    <s v="Bose SoundLink Bluetooth Speaker"/>
    <n v="318.39999999999998"/>
    <n v="2"/>
    <x v="1069"/>
    <x v="9"/>
    <x v="0"/>
  </r>
  <r>
    <n v="44471"/>
    <x v="442"/>
    <x v="12"/>
    <x v="0"/>
    <x v="10"/>
    <s v="Letter or Legal Size Expandable Poly String Tie Envelopes"/>
    <n v="12.77"/>
    <n v="6"/>
    <x v="1070"/>
    <x v="9"/>
    <x v="0"/>
  </r>
  <r>
    <n v="44471"/>
    <x v="442"/>
    <x v="12"/>
    <x v="0"/>
    <x v="14"/>
    <s v="Stiletto Hand Letter Openers"/>
    <n v="15.36"/>
    <n v="2"/>
    <x v="1071"/>
    <x v="9"/>
    <x v="0"/>
  </r>
  <r>
    <n v="44471"/>
    <x v="442"/>
    <x v="12"/>
    <x v="2"/>
    <x v="6"/>
    <s v="Pyle PMP37LED"/>
    <n v="230.38"/>
    <n v="3"/>
    <x v="468"/>
    <x v="9"/>
    <x v="0"/>
  </r>
  <r>
    <n v="44471"/>
    <x v="442"/>
    <x v="12"/>
    <x v="2"/>
    <x v="9"/>
    <s v="Kingston Digital DataTraveler 16GB USB 2.0"/>
    <n v="7.16"/>
    <n v="1"/>
    <x v="1072"/>
    <x v="9"/>
    <x v="0"/>
  </r>
  <r>
    <n v="44472"/>
    <x v="443"/>
    <x v="1"/>
    <x v="1"/>
    <x v="5"/>
    <s v="Global High-Back Leather Tilter, Burgundy"/>
    <n v="258.27999999999997"/>
    <n v="3"/>
    <x v="1073"/>
    <x v="9"/>
    <x v="0"/>
  </r>
  <r>
    <n v="44472"/>
    <x v="444"/>
    <x v="3"/>
    <x v="1"/>
    <x v="13"/>
    <s v="Bevis Round Conference Room Tables and Bases"/>
    <n v="143.43"/>
    <n v="1"/>
    <x v="1074"/>
    <x v="9"/>
    <x v="0"/>
  </r>
  <r>
    <n v="44472"/>
    <x v="444"/>
    <x v="3"/>
    <x v="1"/>
    <x v="5"/>
    <s v="Global Deluxe Stacking Chair, Gray"/>
    <n v="122.35"/>
    <n v="3"/>
    <x v="1075"/>
    <x v="9"/>
    <x v="0"/>
  </r>
  <r>
    <n v="44472"/>
    <x v="421"/>
    <x v="25"/>
    <x v="0"/>
    <x v="2"/>
    <s v="Advantus Rolling Drawer Organizers"/>
    <n v="61.57"/>
    <n v="2"/>
    <x v="1076"/>
    <x v="9"/>
    <x v="0"/>
  </r>
  <r>
    <n v="44472"/>
    <x v="421"/>
    <x v="25"/>
    <x v="0"/>
    <x v="4"/>
    <s v="DIXON Oriole Pencils"/>
    <n v="6.19"/>
    <n v="3"/>
    <x v="973"/>
    <x v="9"/>
    <x v="0"/>
  </r>
  <r>
    <n v="44472"/>
    <x v="445"/>
    <x v="10"/>
    <x v="0"/>
    <x v="4"/>
    <s v="Hunt Boston Vacuum Mount KS Pencil Sharpener"/>
    <n v="55.98"/>
    <n v="2"/>
    <x v="783"/>
    <x v="9"/>
    <x v="0"/>
  </r>
  <r>
    <n v="44472"/>
    <x v="445"/>
    <x v="10"/>
    <x v="0"/>
    <x v="10"/>
    <s v="Convenience Packs of Business Envelopes"/>
    <n v="14.48"/>
    <n v="5"/>
    <x v="1077"/>
    <x v="9"/>
    <x v="0"/>
  </r>
  <r>
    <n v="44472"/>
    <x v="445"/>
    <x v="10"/>
    <x v="2"/>
    <x v="9"/>
    <s v="Logitech G105 Gaming Keyboard"/>
    <n v="142.49"/>
    <n v="3"/>
    <x v="1078"/>
    <x v="9"/>
    <x v="0"/>
  </r>
  <r>
    <n v="44472"/>
    <x v="446"/>
    <x v="0"/>
    <x v="0"/>
    <x v="7"/>
    <s v="Colored Push Pins"/>
    <n v="4.34"/>
    <n v="3"/>
    <x v="1079"/>
    <x v="9"/>
    <x v="0"/>
  </r>
  <r>
    <n v="44472"/>
    <x v="446"/>
    <x v="0"/>
    <x v="1"/>
    <x v="8"/>
    <s v="DAX Natural Wood-Tone Poster Frame"/>
    <n v="31.78"/>
    <n v="3"/>
    <x v="1080"/>
    <x v="9"/>
    <x v="0"/>
  </r>
  <r>
    <n v="44472"/>
    <x v="446"/>
    <x v="0"/>
    <x v="0"/>
    <x v="1"/>
    <s v="Smead Alpha-Z Color-Coded Second Alphabetical Labels and Starter Set"/>
    <n v="4.93"/>
    <n v="2"/>
    <x v="1081"/>
    <x v="9"/>
    <x v="0"/>
  </r>
  <r>
    <n v="44472"/>
    <x v="446"/>
    <x v="0"/>
    <x v="0"/>
    <x v="3"/>
    <s v="Avery Hidden Tab Dividers for Binding Systems"/>
    <n v="1.79"/>
    <n v="3"/>
    <x v="1082"/>
    <x v="9"/>
    <x v="0"/>
  </r>
  <r>
    <n v="44472"/>
    <x v="446"/>
    <x v="0"/>
    <x v="0"/>
    <x v="7"/>
    <s v="Sterling Rubber Bands by Alliance"/>
    <n v="15.07"/>
    <n v="4"/>
    <x v="1083"/>
    <x v="9"/>
    <x v="0"/>
  </r>
  <r>
    <n v="44473"/>
    <x v="447"/>
    <x v="3"/>
    <x v="0"/>
    <x v="1"/>
    <s v="Avery 512"/>
    <n v="14.45"/>
    <n v="5"/>
    <x v="1084"/>
    <x v="9"/>
    <x v="0"/>
  </r>
  <r>
    <n v="44473"/>
    <x v="447"/>
    <x v="3"/>
    <x v="0"/>
    <x v="3"/>
    <s v="GBC Recycled Regency Composition Covers"/>
    <n v="95.65"/>
    <n v="2"/>
    <x v="1085"/>
    <x v="9"/>
    <x v="0"/>
  </r>
  <r>
    <n v="44473"/>
    <x v="448"/>
    <x v="22"/>
    <x v="0"/>
    <x v="1"/>
    <s v="Avery 519"/>
    <n v="29.24"/>
    <n v="4"/>
    <x v="1086"/>
    <x v="9"/>
    <x v="0"/>
  </r>
  <r>
    <n v="44473"/>
    <x v="393"/>
    <x v="20"/>
    <x v="1"/>
    <x v="5"/>
    <s v="Office Star - Contemporary Task Swivel chair with Loop Arms, Charcoal"/>
    <n v="589.41"/>
    <n v="5"/>
    <x v="1087"/>
    <x v="9"/>
    <x v="0"/>
  </r>
  <r>
    <n v="44474"/>
    <x v="449"/>
    <x v="10"/>
    <x v="0"/>
    <x v="12"/>
    <s v="Belkin F5C206VTEL 6 Outlet Surge"/>
    <n v="91.92"/>
    <n v="5"/>
    <x v="1088"/>
    <x v="9"/>
    <x v="0"/>
  </r>
  <r>
    <n v="44474"/>
    <x v="348"/>
    <x v="3"/>
    <x v="2"/>
    <x v="9"/>
    <s v="Plantronics Audio 478 Stereo USB Headset"/>
    <n v="99.98"/>
    <n v="2"/>
    <x v="1089"/>
    <x v="9"/>
    <x v="0"/>
  </r>
  <r>
    <n v="44475"/>
    <x v="21"/>
    <x v="3"/>
    <x v="2"/>
    <x v="9"/>
    <s v="ImationÂ USB 2.0 SwivelÂ Flash DriveÂ USBÂ flash driveÂ - 4 GB - Pink"/>
    <n v="9.09"/>
    <n v="3"/>
    <x v="1090"/>
    <x v="9"/>
    <x v="0"/>
  </r>
  <r>
    <n v="44475"/>
    <x v="450"/>
    <x v="40"/>
    <x v="0"/>
    <x v="3"/>
    <s v="GBC VeloBinder Strips"/>
    <n v="15.36"/>
    <n v="2"/>
    <x v="196"/>
    <x v="9"/>
    <x v="0"/>
  </r>
  <r>
    <n v="44475"/>
    <x v="448"/>
    <x v="2"/>
    <x v="0"/>
    <x v="2"/>
    <s v="Tennsco Lockers, Gray"/>
    <n v="83.92"/>
    <n v="5"/>
    <x v="1091"/>
    <x v="9"/>
    <x v="0"/>
  </r>
  <r>
    <n v="44475"/>
    <x v="379"/>
    <x v="18"/>
    <x v="0"/>
    <x v="2"/>
    <s v="Fellowes Staxonsteel Drawer Files"/>
    <n v="386.34"/>
    <n v="2"/>
    <x v="1092"/>
    <x v="9"/>
    <x v="0"/>
  </r>
  <r>
    <n v="44476"/>
    <x v="376"/>
    <x v="2"/>
    <x v="1"/>
    <x v="8"/>
    <s v="Seth Thomas 16&quot; Steel Case Clock"/>
    <n v="129.91999999999999"/>
    <n v="5"/>
    <x v="1093"/>
    <x v="9"/>
    <x v="0"/>
  </r>
  <r>
    <n v="44476"/>
    <x v="130"/>
    <x v="0"/>
    <x v="0"/>
    <x v="2"/>
    <s v="Fellowes Personal Hanging Folder Files, Navy"/>
    <n v="107.44"/>
    <n v="10"/>
    <x v="153"/>
    <x v="9"/>
    <x v="0"/>
  </r>
  <r>
    <n v="44477"/>
    <x v="419"/>
    <x v="25"/>
    <x v="2"/>
    <x v="9"/>
    <s v="Maxell 74 Minute CDR, 10/Pack"/>
    <n v="23.47"/>
    <n v="3"/>
    <x v="1094"/>
    <x v="9"/>
    <x v="0"/>
  </r>
  <r>
    <n v="44477"/>
    <x v="416"/>
    <x v="20"/>
    <x v="0"/>
    <x v="0"/>
    <s v="Xerox 197"/>
    <n v="123.92"/>
    <n v="4"/>
    <x v="1095"/>
    <x v="9"/>
    <x v="0"/>
  </r>
  <r>
    <n v="44478"/>
    <x v="244"/>
    <x v="25"/>
    <x v="0"/>
    <x v="0"/>
    <s v="Eaton Premium Continuous-Feed Paper, 25% Cotton, Letter Size, White, 1000 Shts/Box"/>
    <n v="88.77"/>
    <n v="2"/>
    <x v="1096"/>
    <x v="9"/>
    <x v="0"/>
  </r>
  <r>
    <n v="44478"/>
    <x v="373"/>
    <x v="3"/>
    <x v="0"/>
    <x v="4"/>
    <s v="Boston Heavy-Duty Trimline Electric Pencil Sharpeners"/>
    <n v="144.6"/>
    <n v="3"/>
    <x v="754"/>
    <x v="9"/>
    <x v="0"/>
  </r>
  <r>
    <n v="44478"/>
    <x v="373"/>
    <x v="3"/>
    <x v="2"/>
    <x v="6"/>
    <s v="iOttie HLCRIO102 Car Mount"/>
    <n v="15.99"/>
    <n v="1"/>
    <x v="1097"/>
    <x v="9"/>
    <x v="0"/>
  </r>
  <r>
    <n v="44479"/>
    <x v="451"/>
    <x v="3"/>
    <x v="1"/>
    <x v="5"/>
    <s v="Global Deluxe Stacking Chair, Gray"/>
    <n v="122.35"/>
    <n v="3"/>
    <x v="1075"/>
    <x v="9"/>
    <x v="0"/>
  </r>
  <r>
    <n v="44479"/>
    <x v="451"/>
    <x v="3"/>
    <x v="0"/>
    <x v="10"/>
    <s v="#10- 4 1/8&quot; x 9 1/2&quot; Security-Tint Envelopes"/>
    <n v="15.28"/>
    <n v="2"/>
    <x v="509"/>
    <x v="9"/>
    <x v="0"/>
  </r>
  <r>
    <n v="44479"/>
    <x v="26"/>
    <x v="12"/>
    <x v="1"/>
    <x v="8"/>
    <s v="Westinghouse Clip-On Gooseneck Lamps"/>
    <n v="46.87"/>
    <n v="7"/>
    <x v="1098"/>
    <x v="9"/>
    <x v="0"/>
  </r>
  <r>
    <n v="44479"/>
    <x v="71"/>
    <x v="0"/>
    <x v="2"/>
    <x v="6"/>
    <s v="Motorola Droid Maxx"/>
    <n v="719.95"/>
    <n v="6"/>
    <x v="1099"/>
    <x v="9"/>
    <x v="0"/>
  </r>
  <r>
    <n v="44479"/>
    <x v="71"/>
    <x v="0"/>
    <x v="2"/>
    <x v="6"/>
    <s v="Cisco 8x8 Inc. 6753i IP Business Phone System"/>
    <n v="755.94"/>
    <n v="7"/>
    <x v="1100"/>
    <x v="9"/>
    <x v="0"/>
  </r>
  <r>
    <n v="44479"/>
    <x v="71"/>
    <x v="0"/>
    <x v="0"/>
    <x v="3"/>
    <s v="GBC Personal VeloBind Strips"/>
    <n v="11.98"/>
    <n v="5"/>
    <x v="1101"/>
    <x v="9"/>
    <x v="0"/>
  </r>
  <r>
    <n v="44479"/>
    <x v="71"/>
    <x v="0"/>
    <x v="0"/>
    <x v="3"/>
    <s v="Avery Non-Stick Binders"/>
    <n v="0.9"/>
    <n v="1"/>
    <x v="1102"/>
    <x v="9"/>
    <x v="0"/>
  </r>
  <r>
    <n v="44479"/>
    <x v="77"/>
    <x v="10"/>
    <x v="2"/>
    <x v="15"/>
    <s v="Hewlett-Packard Deskjet F4180 All-in-One Color Ink-jet - Printer / copier / scanner"/>
    <n v="101.99"/>
    <n v="2"/>
    <x v="1103"/>
    <x v="9"/>
    <x v="0"/>
  </r>
  <r>
    <n v="44479"/>
    <x v="77"/>
    <x v="10"/>
    <x v="0"/>
    <x v="3"/>
    <s v="Premier Elliptical Ring Binder, Black"/>
    <n v="18.260000000000002"/>
    <n v="2"/>
    <x v="445"/>
    <x v="9"/>
    <x v="0"/>
  </r>
  <r>
    <n v="44479"/>
    <x v="452"/>
    <x v="31"/>
    <x v="0"/>
    <x v="4"/>
    <s v="Dixon Ticonderoga Core-Lock Colored Pencils, 48-Color Set"/>
    <n v="255.85"/>
    <n v="7"/>
    <x v="1104"/>
    <x v="9"/>
    <x v="0"/>
  </r>
  <r>
    <n v="44480"/>
    <x v="453"/>
    <x v="2"/>
    <x v="0"/>
    <x v="2"/>
    <s v="Fellowes High-Stak Drawer Files"/>
    <n v="281.89999999999998"/>
    <n v="2"/>
    <x v="1105"/>
    <x v="9"/>
    <x v="0"/>
  </r>
  <r>
    <n v="44480"/>
    <x v="453"/>
    <x v="2"/>
    <x v="0"/>
    <x v="10"/>
    <s v="Airmail Envelopes"/>
    <n v="201.43"/>
    <n v="3"/>
    <x v="1106"/>
    <x v="9"/>
    <x v="0"/>
  </r>
  <r>
    <n v="44480"/>
    <x v="222"/>
    <x v="22"/>
    <x v="1"/>
    <x v="8"/>
    <s v="DAX Cubicle Frames - 8x10"/>
    <n v="63.47"/>
    <n v="11"/>
    <x v="1107"/>
    <x v="9"/>
    <x v="0"/>
  </r>
  <r>
    <n v="44480"/>
    <x v="222"/>
    <x v="22"/>
    <x v="2"/>
    <x v="9"/>
    <s v="WD My Passport Ultra 1TB Portable External Hard Drive"/>
    <n v="345"/>
    <n v="5"/>
    <x v="1108"/>
    <x v="9"/>
    <x v="0"/>
  </r>
  <r>
    <n v="44480"/>
    <x v="454"/>
    <x v="3"/>
    <x v="0"/>
    <x v="2"/>
    <s v="Iris Project Case"/>
    <n v="31.92"/>
    <n v="4"/>
    <x v="1109"/>
    <x v="9"/>
    <x v="0"/>
  </r>
  <r>
    <n v="44480"/>
    <x v="454"/>
    <x v="3"/>
    <x v="1"/>
    <x v="5"/>
    <s v="Global Enterprise Series Seating High-Back Swivel/Tilt Chairs"/>
    <n v="433.57"/>
    <n v="2"/>
    <x v="1110"/>
    <x v="9"/>
    <x v="0"/>
  </r>
  <r>
    <n v="44480"/>
    <x v="159"/>
    <x v="13"/>
    <x v="0"/>
    <x v="1"/>
    <s v="Self-Adhesive Address Labels for Typewriters by Universal"/>
    <n v="7.31"/>
    <n v="1"/>
    <x v="951"/>
    <x v="9"/>
    <x v="0"/>
  </r>
  <r>
    <n v="44480"/>
    <x v="159"/>
    <x v="13"/>
    <x v="1"/>
    <x v="8"/>
    <s v="Eldon Pizzaz Desk Accessories"/>
    <n v="8.92"/>
    <n v="4"/>
    <x v="1111"/>
    <x v="9"/>
    <x v="0"/>
  </r>
  <r>
    <n v="44480"/>
    <x v="83"/>
    <x v="3"/>
    <x v="0"/>
    <x v="10"/>
    <s v="#10- 4 1/8&quot; x 9 1/2&quot; Security-Tint Envelopes"/>
    <n v="7.64"/>
    <n v="1"/>
    <x v="1048"/>
    <x v="9"/>
    <x v="0"/>
  </r>
  <r>
    <n v="44481"/>
    <x v="416"/>
    <x v="3"/>
    <x v="0"/>
    <x v="4"/>
    <s v="Premium Writing Pencils, Soft, #2 by Central Association for the Blind"/>
    <n v="14.9"/>
    <n v="5"/>
    <x v="1112"/>
    <x v="9"/>
    <x v="0"/>
  </r>
  <r>
    <n v="44481"/>
    <x v="416"/>
    <x v="3"/>
    <x v="0"/>
    <x v="2"/>
    <s v="Sortfiler Multipurpose Personal File Organizer, Black"/>
    <n v="21.39"/>
    <n v="1"/>
    <x v="1113"/>
    <x v="9"/>
    <x v="0"/>
  </r>
  <r>
    <n v="44481"/>
    <x v="455"/>
    <x v="1"/>
    <x v="0"/>
    <x v="14"/>
    <s v="Acme Hot Forged Carbon Steel Scissors with Nickel-Plated Handles, 3 7/8&quot; Cut, 8&quot;L"/>
    <n v="22.24"/>
    <n v="2"/>
    <x v="1114"/>
    <x v="9"/>
    <x v="0"/>
  </r>
  <r>
    <n v="44482"/>
    <x v="456"/>
    <x v="22"/>
    <x v="0"/>
    <x v="4"/>
    <s v="Newell 32"/>
    <n v="11.52"/>
    <n v="4"/>
    <x v="689"/>
    <x v="9"/>
    <x v="0"/>
  </r>
  <r>
    <n v="44482"/>
    <x v="456"/>
    <x v="22"/>
    <x v="1"/>
    <x v="13"/>
    <s v="Bevis Round Bullnose 29&quot; High Table Top"/>
    <n v="1298.55"/>
    <n v="5"/>
    <x v="1115"/>
    <x v="9"/>
    <x v="0"/>
  </r>
  <r>
    <n v="44482"/>
    <x v="456"/>
    <x v="22"/>
    <x v="0"/>
    <x v="12"/>
    <s v="Belkin F9G930V10-GRY 9 Outlet Surge"/>
    <n v="213.92"/>
    <n v="4"/>
    <x v="1116"/>
    <x v="9"/>
    <x v="0"/>
  </r>
  <r>
    <n v="44482"/>
    <x v="456"/>
    <x v="22"/>
    <x v="2"/>
    <x v="9"/>
    <s v="Sony 16GB Class 10 Micro SDHC R40 Memory Card"/>
    <n v="25.78"/>
    <n v="2"/>
    <x v="1117"/>
    <x v="9"/>
    <x v="0"/>
  </r>
  <r>
    <n v="44482"/>
    <x v="44"/>
    <x v="23"/>
    <x v="1"/>
    <x v="5"/>
    <s v="Global High-Back Leather Tilter, Burgundy"/>
    <n v="245.98"/>
    <n v="2"/>
    <x v="1118"/>
    <x v="9"/>
    <x v="0"/>
  </r>
  <r>
    <n v="44482"/>
    <x v="44"/>
    <x v="23"/>
    <x v="0"/>
    <x v="3"/>
    <s v="Flexible Leather- Look Classic Collection Ring Binder"/>
    <n v="18.940000000000001"/>
    <n v="1"/>
    <x v="1119"/>
    <x v="9"/>
    <x v="0"/>
  </r>
  <r>
    <n v="44482"/>
    <x v="457"/>
    <x v="20"/>
    <x v="0"/>
    <x v="3"/>
    <s v="Recycled Pressboard Report Cover with Reinforced Top Hinge"/>
    <n v="7.75"/>
    <n v="3"/>
    <x v="1120"/>
    <x v="9"/>
    <x v="0"/>
  </r>
  <r>
    <n v="44482"/>
    <x v="415"/>
    <x v="6"/>
    <x v="0"/>
    <x v="10"/>
    <s v="Pastel Pink Envelopes"/>
    <n v="36.4"/>
    <n v="5"/>
    <x v="129"/>
    <x v="9"/>
    <x v="0"/>
  </r>
  <r>
    <n v="44482"/>
    <x v="415"/>
    <x v="6"/>
    <x v="2"/>
    <x v="9"/>
    <s v="SanDisk Cruzer 16 GB USB Flash Drive"/>
    <n v="22.96"/>
    <n v="2"/>
    <x v="409"/>
    <x v="9"/>
    <x v="0"/>
  </r>
  <r>
    <n v="44482"/>
    <x v="415"/>
    <x v="6"/>
    <x v="0"/>
    <x v="2"/>
    <s v="Space Solutions Industrial Galvanized Steel Shelving."/>
    <n v="315.2"/>
    <n v="4"/>
    <x v="417"/>
    <x v="9"/>
    <x v="0"/>
  </r>
  <r>
    <n v="44482"/>
    <x v="415"/>
    <x v="6"/>
    <x v="0"/>
    <x v="3"/>
    <s v="Wilson Jones Standard D-Ring Binders"/>
    <n v="15.18"/>
    <n v="3"/>
    <x v="270"/>
    <x v="9"/>
    <x v="0"/>
  </r>
  <r>
    <n v="44483"/>
    <x v="458"/>
    <x v="38"/>
    <x v="0"/>
    <x v="3"/>
    <s v="Avery Metallic Poly Binders"/>
    <n v="22.92"/>
    <n v="4"/>
    <x v="1121"/>
    <x v="9"/>
    <x v="0"/>
  </r>
  <r>
    <n v="44483"/>
    <x v="458"/>
    <x v="38"/>
    <x v="0"/>
    <x v="2"/>
    <s v="Fellowes Bankers Box Recycled Super Stor/Drawer"/>
    <n v="269.89999999999998"/>
    <n v="5"/>
    <x v="1122"/>
    <x v="9"/>
    <x v="0"/>
  </r>
  <r>
    <n v="44483"/>
    <x v="459"/>
    <x v="0"/>
    <x v="0"/>
    <x v="12"/>
    <s v="Hoover Replacement Belts For Soft Guard &amp; Commercial Ltweight Upright Vacs, 2/Pk"/>
    <n v="3.16"/>
    <n v="4"/>
    <x v="1123"/>
    <x v="9"/>
    <x v="0"/>
  </r>
  <r>
    <n v="44483"/>
    <x v="459"/>
    <x v="0"/>
    <x v="2"/>
    <x v="16"/>
    <s v="Hewlett Packard 610 Color Digital Copier / Printer"/>
    <n v="1999.96"/>
    <n v="5"/>
    <x v="1124"/>
    <x v="9"/>
    <x v="0"/>
  </r>
  <r>
    <n v="44483"/>
    <x v="32"/>
    <x v="1"/>
    <x v="0"/>
    <x v="0"/>
    <s v="Xerox 1951"/>
    <n v="322.19"/>
    <n v="13"/>
    <x v="1125"/>
    <x v="9"/>
    <x v="0"/>
  </r>
  <r>
    <n v="44483"/>
    <x v="32"/>
    <x v="1"/>
    <x v="0"/>
    <x v="3"/>
    <s v="Pressboard Covers with Storage Hooks, 9 1/2&quot; x 11&quot;, Light Blue"/>
    <n v="2.95"/>
    <n v="3"/>
    <x v="585"/>
    <x v="9"/>
    <x v="0"/>
  </r>
  <r>
    <n v="44483"/>
    <x v="32"/>
    <x v="1"/>
    <x v="0"/>
    <x v="0"/>
    <s v="Xerox 1903"/>
    <n v="19.14"/>
    <n v="4"/>
    <x v="1126"/>
    <x v="9"/>
    <x v="0"/>
  </r>
  <r>
    <n v="44483"/>
    <x v="460"/>
    <x v="32"/>
    <x v="2"/>
    <x v="9"/>
    <s v="WD My Passport Ultra 500GB Portable External Hard Drive"/>
    <n v="177"/>
    <n v="3"/>
    <x v="1127"/>
    <x v="9"/>
    <x v="0"/>
  </r>
  <r>
    <n v="44483"/>
    <x v="460"/>
    <x v="32"/>
    <x v="0"/>
    <x v="2"/>
    <s v="SimpliFile Personal File, Black Granite, 15w x 6-15/16d x 11-1/4h"/>
    <n v="79.45"/>
    <n v="7"/>
    <x v="750"/>
    <x v="9"/>
    <x v="0"/>
  </r>
  <r>
    <n v="44483"/>
    <x v="460"/>
    <x v="32"/>
    <x v="1"/>
    <x v="5"/>
    <s v="Office Star - Ergonomic Mid Back Chair with 2-Way Adjustable Arms"/>
    <n v="1628.82"/>
    <n v="9"/>
    <x v="1128"/>
    <x v="9"/>
    <x v="0"/>
  </r>
  <r>
    <n v="44484"/>
    <x v="275"/>
    <x v="16"/>
    <x v="1"/>
    <x v="8"/>
    <s v="Executive Impressions 13&quot; Clairmont Wall Clock"/>
    <n v="15.38"/>
    <n v="1"/>
    <x v="1129"/>
    <x v="9"/>
    <x v="0"/>
  </r>
  <r>
    <n v="44484"/>
    <x v="461"/>
    <x v="10"/>
    <x v="1"/>
    <x v="5"/>
    <s v="Global Italian Leather Office Chair"/>
    <n v="183.37"/>
    <n v="2"/>
    <x v="1130"/>
    <x v="9"/>
    <x v="0"/>
  </r>
  <r>
    <n v="44484"/>
    <x v="461"/>
    <x v="10"/>
    <x v="0"/>
    <x v="0"/>
    <s v="Xerox 1897"/>
    <n v="7.97"/>
    <n v="2"/>
    <x v="1131"/>
    <x v="9"/>
    <x v="0"/>
  </r>
  <r>
    <n v="44485"/>
    <x v="462"/>
    <x v="3"/>
    <x v="0"/>
    <x v="3"/>
    <s v="Avery Non-Stick Heavy Duty View Round Locking Ring Binders"/>
    <n v="14.35"/>
    <n v="3"/>
    <x v="67"/>
    <x v="9"/>
    <x v="0"/>
  </r>
  <r>
    <n v="44485"/>
    <x v="462"/>
    <x v="3"/>
    <x v="2"/>
    <x v="9"/>
    <s v="LogitechÂ Illuminated - Keyboard"/>
    <n v="179.97"/>
    <n v="3"/>
    <x v="103"/>
    <x v="9"/>
    <x v="0"/>
  </r>
  <r>
    <n v="44486"/>
    <x v="463"/>
    <x v="0"/>
    <x v="0"/>
    <x v="3"/>
    <s v="GBC Standard Recycled Report Covers, Clear Plastic Sheets"/>
    <n v="10.78"/>
    <n v="5"/>
    <x v="1132"/>
    <x v="9"/>
    <x v="0"/>
  </r>
  <r>
    <n v="44486"/>
    <x v="463"/>
    <x v="0"/>
    <x v="2"/>
    <x v="9"/>
    <s v="Case Logic 2.4GHz Wireless Keyboard"/>
    <n v="119.98"/>
    <n v="3"/>
    <x v="1133"/>
    <x v="9"/>
    <x v="0"/>
  </r>
  <r>
    <n v="44486"/>
    <x v="438"/>
    <x v="0"/>
    <x v="1"/>
    <x v="8"/>
    <s v="G.E. Longer-Life Indoor Recessed Floodlight Bulbs"/>
    <n v="5.31"/>
    <n v="2"/>
    <x v="1134"/>
    <x v="9"/>
    <x v="0"/>
  </r>
  <r>
    <n v="44487"/>
    <x v="464"/>
    <x v="33"/>
    <x v="0"/>
    <x v="2"/>
    <s v="Gould Plastics 18-Pocket Panel Bin, 34w x 5-1/4d x 20-1/2h"/>
    <n v="275.97000000000003"/>
    <n v="3"/>
    <x v="1135"/>
    <x v="9"/>
    <x v="0"/>
  </r>
  <r>
    <n v="44487"/>
    <x v="464"/>
    <x v="33"/>
    <x v="2"/>
    <x v="6"/>
    <s v="Avaya IP Phone 1140E VoIP phone"/>
    <n v="1394.95"/>
    <n v="5"/>
    <x v="1136"/>
    <x v="9"/>
    <x v="0"/>
  </r>
  <r>
    <n v="44487"/>
    <x v="464"/>
    <x v="33"/>
    <x v="1"/>
    <x v="5"/>
    <s v="Global Wood Trimmed Manager's Task Chair, Khaki"/>
    <n v="545.88"/>
    <n v="6"/>
    <x v="1137"/>
    <x v="9"/>
    <x v="0"/>
  </r>
  <r>
    <n v="44487"/>
    <x v="150"/>
    <x v="2"/>
    <x v="0"/>
    <x v="10"/>
    <s v="White Business Envelopes with Contemporary Seam, Recycled White Business Envelopes"/>
    <n v="52.51"/>
    <n v="6"/>
    <x v="1138"/>
    <x v="9"/>
    <x v="0"/>
  </r>
  <r>
    <n v="44487"/>
    <x v="150"/>
    <x v="2"/>
    <x v="0"/>
    <x v="2"/>
    <s v="Eldon Base for stackable storage shelf, platinum"/>
    <n v="186.91"/>
    <n v="6"/>
    <x v="1139"/>
    <x v="9"/>
    <x v="0"/>
  </r>
  <r>
    <n v="44487"/>
    <x v="150"/>
    <x v="2"/>
    <x v="0"/>
    <x v="0"/>
    <s v="Adams &quot;While You Were Out&quot; Message Pads"/>
    <n v="10.050000000000001"/>
    <n v="4"/>
    <x v="1063"/>
    <x v="9"/>
    <x v="0"/>
  </r>
  <r>
    <n v="44487"/>
    <x v="465"/>
    <x v="13"/>
    <x v="1"/>
    <x v="5"/>
    <s v="Office Star Flex Back Scooter Chair with Aluminum Finish Frame"/>
    <n v="605.34"/>
    <n v="6"/>
    <x v="1140"/>
    <x v="9"/>
    <x v="0"/>
  </r>
  <r>
    <n v="44487"/>
    <x v="466"/>
    <x v="22"/>
    <x v="0"/>
    <x v="0"/>
    <s v="Xerox 1925"/>
    <n v="61.96"/>
    <n v="2"/>
    <x v="1141"/>
    <x v="9"/>
    <x v="0"/>
  </r>
  <r>
    <n v="44487"/>
    <x v="466"/>
    <x v="22"/>
    <x v="0"/>
    <x v="3"/>
    <s v="Computer Printout Index Tabs"/>
    <n v="1.34"/>
    <n v="1"/>
    <x v="1041"/>
    <x v="9"/>
    <x v="0"/>
  </r>
  <r>
    <n v="44488"/>
    <x v="467"/>
    <x v="3"/>
    <x v="0"/>
    <x v="0"/>
    <s v="Spiral Phone Message Books with Labels by Adams"/>
    <n v="13.44"/>
    <n v="3"/>
    <x v="225"/>
    <x v="9"/>
    <x v="0"/>
  </r>
  <r>
    <n v="44488"/>
    <x v="468"/>
    <x v="3"/>
    <x v="0"/>
    <x v="3"/>
    <s v="Accohide Poly Flexible Ring Binders"/>
    <n v="2.99"/>
    <n v="1"/>
    <x v="329"/>
    <x v="9"/>
    <x v="0"/>
  </r>
  <r>
    <n v="44488"/>
    <x v="468"/>
    <x v="3"/>
    <x v="0"/>
    <x v="3"/>
    <s v="Avery Durable Slant Ring Binders With Label Holder"/>
    <n v="20.059999999999999"/>
    <n v="6"/>
    <x v="162"/>
    <x v="9"/>
    <x v="0"/>
  </r>
  <r>
    <n v="44488"/>
    <x v="468"/>
    <x v="3"/>
    <x v="0"/>
    <x v="0"/>
    <s v="Xerox 1917"/>
    <n v="146.72999999999999"/>
    <n v="3"/>
    <x v="1142"/>
    <x v="9"/>
    <x v="0"/>
  </r>
  <r>
    <n v="44488"/>
    <x v="468"/>
    <x v="3"/>
    <x v="0"/>
    <x v="1"/>
    <s v="Avery 480"/>
    <n v="18.75"/>
    <n v="5"/>
    <x v="246"/>
    <x v="9"/>
    <x v="0"/>
  </r>
  <r>
    <n v="44488"/>
    <x v="468"/>
    <x v="3"/>
    <x v="2"/>
    <x v="6"/>
    <s v="Panasonic KX TS208W Corded phone"/>
    <n v="117.58"/>
    <n v="3"/>
    <x v="1143"/>
    <x v="9"/>
    <x v="0"/>
  </r>
  <r>
    <n v="44488"/>
    <x v="469"/>
    <x v="3"/>
    <x v="2"/>
    <x v="6"/>
    <s v="RCA Visys Integrated PBX 8-Line Router"/>
    <n v="321.55"/>
    <n v="6"/>
    <x v="1144"/>
    <x v="9"/>
    <x v="0"/>
  </r>
  <r>
    <n v="44489"/>
    <x v="99"/>
    <x v="14"/>
    <x v="0"/>
    <x v="2"/>
    <s v="Gould Plastics 9-Pocket Panel Bin, 18-3/8w x 5-1/4d x 20-1/2h, Black"/>
    <n v="211.96"/>
    <n v="4"/>
    <x v="1031"/>
    <x v="9"/>
    <x v="0"/>
  </r>
  <r>
    <n v="44489"/>
    <x v="470"/>
    <x v="15"/>
    <x v="1"/>
    <x v="13"/>
    <s v="Lesro Round Back Collection Coffee Table, End Table"/>
    <n v="328.59"/>
    <n v="3"/>
    <x v="1145"/>
    <x v="9"/>
    <x v="0"/>
  </r>
  <r>
    <n v="44489"/>
    <x v="470"/>
    <x v="15"/>
    <x v="0"/>
    <x v="2"/>
    <s v="Contico 72&quot;H Heavy-Duty Storage System"/>
    <n v="98.35"/>
    <n v="3"/>
    <x v="1146"/>
    <x v="9"/>
    <x v="0"/>
  </r>
  <r>
    <n v="44489"/>
    <x v="471"/>
    <x v="1"/>
    <x v="2"/>
    <x v="9"/>
    <s v="Logitech Wireless Performance Mouse MX for PC and Mac"/>
    <n v="319.97000000000003"/>
    <n v="4"/>
    <x v="611"/>
    <x v="9"/>
    <x v="0"/>
  </r>
  <r>
    <n v="44489"/>
    <x v="471"/>
    <x v="1"/>
    <x v="0"/>
    <x v="2"/>
    <s v="24 Capacity Maxi Data Binder Racks, Pearl"/>
    <n v="505.32"/>
    <n v="3"/>
    <x v="1147"/>
    <x v="9"/>
    <x v="0"/>
  </r>
  <r>
    <n v="44489"/>
    <x v="471"/>
    <x v="1"/>
    <x v="0"/>
    <x v="0"/>
    <s v="Wirebound Voice Message Log Book"/>
    <n v="3.81"/>
    <n v="1"/>
    <x v="1148"/>
    <x v="9"/>
    <x v="0"/>
  </r>
  <r>
    <n v="44489"/>
    <x v="471"/>
    <x v="1"/>
    <x v="0"/>
    <x v="3"/>
    <s v="Satellite Sectional Post Binders"/>
    <n v="8.68"/>
    <n v="1"/>
    <x v="1149"/>
    <x v="9"/>
    <x v="0"/>
  </r>
  <r>
    <n v="44489"/>
    <x v="471"/>
    <x v="1"/>
    <x v="0"/>
    <x v="1"/>
    <s v="Avery 4027 File Folder Labels for Dot Matrix Printers, 5000 Labels per Box, White"/>
    <n v="24.42"/>
    <n v="1"/>
    <x v="1150"/>
    <x v="9"/>
    <x v="0"/>
  </r>
  <r>
    <n v="44490"/>
    <x v="463"/>
    <x v="10"/>
    <x v="0"/>
    <x v="12"/>
    <s v="Fellowes Superior 10 Outlet Split Surge Protector"/>
    <n v="121.79"/>
    <n v="4"/>
    <x v="1151"/>
    <x v="9"/>
    <x v="0"/>
  </r>
  <r>
    <n v="44490"/>
    <x v="463"/>
    <x v="10"/>
    <x v="1"/>
    <x v="13"/>
    <s v="Hon Practical Foundations 30 x 60 Training Table, Light Gray/Charcoal"/>
    <n v="409.59"/>
    <n v="3"/>
    <x v="1152"/>
    <x v="9"/>
    <x v="0"/>
  </r>
  <r>
    <n v="44490"/>
    <x v="472"/>
    <x v="3"/>
    <x v="0"/>
    <x v="3"/>
    <s v="Plastic Binding Combs"/>
    <n v="36.36"/>
    <n v="3"/>
    <x v="1153"/>
    <x v="9"/>
    <x v="0"/>
  </r>
  <r>
    <n v="44490"/>
    <x v="136"/>
    <x v="6"/>
    <x v="0"/>
    <x v="2"/>
    <s v="Eldon Base for stackable storage shelf, platinum"/>
    <n v="194.7"/>
    <n v="5"/>
    <x v="90"/>
    <x v="9"/>
    <x v="0"/>
  </r>
  <r>
    <n v="44490"/>
    <x v="136"/>
    <x v="6"/>
    <x v="1"/>
    <x v="13"/>
    <s v="Hon 2111 Invitation Series Straight Table"/>
    <n v="591.32000000000005"/>
    <n v="4"/>
    <x v="1154"/>
    <x v="9"/>
    <x v="0"/>
  </r>
  <r>
    <n v="44490"/>
    <x v="136"/>
    <x v="6"/>
    <x v="0"/>
    <x v="4"/>
    <s v="SANFORD Liquid Accent Tank-Style Highlighters"/>
    <n v="2.84"/>
    <n v="1"/>
    <x v="1155"/>
    <x v="9"/>
    <x v="0"/>
  </r>
  <r>
    <n v="44491"/>
    <x v="473"/>
    <x v="10"/>
    <x v="1"/>
    <x v="8"/>
    <s v="Seth Thomas 14&quot; Putty-Colored Wall Clock"/>
    <n v="93.89"/>
    <n v="4"/>
    <x v="300"/>
    <x v="9"/>
    <x v="0"/>
  </r>
  <r>
    <n v="44491"/>
    <x v="430"/>
    <x v="8"/>
    <x v="1"/>
    <x v="8"/>
    <s v="Tenex Chairmats For Use with Hard Floors"/>
    <n v="129.91999999999999"/>
    <n v="4"/>
    <x v="1156"/>
    <x v="9"/>
    <x v="0"/>
  </r>
  <r>
    <n v="44493"/>
    <x v="474"/>
    <x v="16"/>
    <x v="0"/>
    <x v="0"/>
    <s v="Xerox 210"/>
    <n v="10.37"/>
    <n v="2"/>
    <x v="316"/>
    <x v="9"/>
    <x v="0"/>
  </r>
  <r>
    <n v="44493"/>
    <x v="158"/>
    <x v="3"/>
    <x v="0"/>
    <x v="3"/>
    <s v="Avery Premier Heavy-Duty Binder with Round Locking Rings"/>
    <n v="34.270000000000003"/>
    <n v="3"/>
    <x v="1157"/>
    <x v="9"/>
    <x v="0"/>
  </r>
  <r>
    <n v="44493"/>
    <x v="358"/>
    <x v="9"/>
    <x v="0"/>
    <x v="7"/>
    <s v="Advantus Map Pennant Flags and Round Head Tacks"/>
    <n v="11.85"/>
    <n v="3"/>
    <x v="1158"/>
    <x v="9"/>
    <x v="0"/>
  </r>
  <r>
    <n v="44494"/>
    <x v="160"/>
    <x v="3"/>
    <x v="0"/>
    <x v="3"/>
    <s v="GBC VeloBind Cover Sets"/>
    <n v="49.41"/>
    <n v="4"/>
    <x v="1159"/>
    <x v="9"/>
    <x v="0"/>
  </r>
  <r>
    <n v="44494"/>
    <x v="216"/>
    <x v="2"/>
    <x v="2"/>
    <x v="9"/>
    <s v="Memorex 25GB 6X Branded Blu-Ray Recordable Disc, 15/Pack"/>
    <n v="40.78"/>
    <n v="3"/>
    <x v="817"/>
    <x v="9"/>
    <x v="0"/>
  </r>
  <r>
    <n v="44494"/>
    <x v="216"/>
    <x v="2"/>
    <x v="0"/>
    <x v="3"/>
    <s v="GBC Twin Loop Wire Binding Elements, 9/16&quot; Spine, Black"/>
    <n v="13.7"/>
    <n v="3"/>
    <x v="1160"/>
    <x v="9"/>
    <x v="0"/>
  </r>
  <r>
    <n v="44495"/>
    <x v="475"/>
    <x v="22"/>
    <x v="1"/>
    <x v="8"/>
    <s v="Tenex Chairmats For Use With Carpeted Floors"/>
    <n v="63.92"/>
    <n v="4"/>
    <x v="1161"/>
    <x v="9"/>
    <x v="0"/>
  </r>
  <r>
    <n v="44495"/>
    <x v="475"/>
    <x v="22"/>
    <x v="2"/>
    <x v="6"/>
    <s v="Vtech CS6719"/>
    <n v="383.96"/>
    <n v="5"/>
    <x v="1162"/>
    <x v="9"/>
    <x v="0"/>
  </r>
  <r>
    <n v="44496"/>
    <x v="476"/>
    <x v="25"/>
    <x v="0"/>
    <x v="0"/>
    <s v="Xerox 2"/>
    <n v="10.37"/>
    <n v="2"/>
    <x v="316"/>
    <x v="9"/>
    <x v="0"/>
  </r>
  <r>
    <n v="44496"/>
    <x v="476"/>
    <x v="25"/>
    <x v="0"/>
    <x v="0"/>
    <s v="Easy-staple paper"/>
    <n v="11.95"/>
    <n v="3"/>
    <x v="1163"/>
    <x v="9"/>
    <x v="0"/>
  </r>
  <r>
    <n v="44497"/>
    <x v="477"/>
    <x v="3"/>
    <x v="0"/>
    <x v="3"/>
    <s v="Avery Non-Stick Binders"/>
    <n v="7.18"/>
    <n v="2"/>
    <x v="281"/>
    <x v="9"/>
    <x v="0"/>
  </r>
  <r>
    <n v="44497"/>
    <x v="477"/>
    <x v="3"/>
    <x v="0"/>
    <x v="14"/>
    <s v="Serrated Blade or Curved Handle Hand Letter Openers"/>
    <n v="6.28"/>
    <n v="2"/>
    <x v="1164"/>
    <x v="9"/>
    <x v="0"/>
  </r>
  <r>
    <n v="44497"/>
    <x v="477"/>
    <x v="3"/>
    <x v="0"/>
    <x v="14"/>
    <s v="Premier Automatic Letter Opener"/>
    <n v="480.74"/>
    <n v="2"/>
    <x v="1165"/>
    <x v="9"/>
    <x v="0"/>
  </r>
  <r>
    <n v="44497"/>
    <x v="477"/>
    <x v="3"/>
    <x v="1"/>
    <x v="11"/>
    <s v="O'Sullivan Living Dimensions 2-Shelf Bookcases"/>
    <n v="617"/>
    <n v="6"/>
    <x v="1166"/>
    <x v="9"/>
    <x v="0"/>
  </r>
  <r>
    <n v="44497"/>
    <x v="477"/>
    <x v="3"/>
    <x v="0"/>
    <x v="2"/>
    <s v="Eldon Portable Mobile Manager"/>
    <n v="141.4"/>
    <n v="5"/>
    <x v="1167"/>
    <x v="9"/>
    <x v="0"/>
  </r>
  <r>
    <n v="44497"/>
    <x v="478"/>
    <x v="42"/>
    <x v="2"/>
    <x v="6"/>
    <s v="Digium D40 VoIP phone"/>
    <n v="257.98"/>
    <n v="2"/>
    <x v="1168"/>
    <x v="9"/>
    <x v="0"/>
  </r>
  <r>
    <n v="44498"/>
    <x v="52"/>
    <x v="1"/>
    <x v="2"/>
    <x v="6"/>
    <s v="Apple iPhone 5S"/>
    <n v="2735.95"/>
    <n v="6"/>
    <x v="1169"/>
    <x v="9"/>
    <x v="0"/>
  </r>
  <r>
    <n v="44498"/>
    <x v="479"/>
    <x v="18"/>
    <x v="2"/>
    <x v="9"/>
    <s v="Maxell 4.7GB DVD+R 5/Pack"/>
    <n v="1.98"/>
    <n v="2"/>
    <x v="1170"/>
    <x v="9"/>
    <x v="0"/>
  </r>
  <r>
    <n v="44498"/>
    <x v="479"/>
    <x v="18"/>
    <x v="0"/>
    <x v="0"/>
    <s v="Snap-A-Way Black Print Carbonless Ruled Speed Letter, Triplicate"/>
    <n v="75.88"/>
    <n v="2"/>
    <x v="1171"/>
    <x v="9"/>
    <x v="0"/>
  </r>
  <r>
    <n v="44500"/>
    <x v="480"/>
    <x v="3"/>
    <x v="0"/>
    <x v="7"/>
    <s v="Staples"/>
    <n v="11.34"/>
    <n v="3"/>
    <x v="1172"/>
    <x v="9"/>
    <x v="0"/>
  </r>
  <r>
    <n v="44500"/>
    <x v="480"/>
    <x v="3"/>
    <x v="0"/>
    <x v="2"/>
    <s v="Letter/Legal File Tote with Clear Snap-On Lid, Black Granite"/>
    <n v="80.3"/>
    <n v="5"/>
    <x v="1173"/>
    <x v="9"/>
    <x v="0"/>
  </r>
  <r>
    <n v="44500"/>
    <x v="480"/>
    <x v="3"/>
    <x v="0"/>
    <x v="3"/>
    <s v="Avery Framed View Binder, EZD Ring (Locking), Navy, 1 1/2&quot;"/>
    <n v="15.97"/>
    <n v="2"/>
    <x v="1174"/>
    <x v="9"/>
    <x v="0"/>
  </r>
  <r>
    <n v="44500"/>
    <x v="480"/>
    <x v="3"/>
    <x v="0"/>
    <x v="0"/>
    <s v="Xerox 1952"/>
    <n v="64.739999999999995"/>
    <n v="13"/>
    <x v="828"/>
    <x v="9"/>
    <x v="0"/>
  </r>
  <r>
    <n v="44500"/>
    <x v="480"/>
    <x v="3"/>
    <x v="0"/>
    <x v="3"/>
    <s v="Fellowes Twister Kit, Gray/Clear, 3/pkg"/>
    <n v="19.3"/>
    <n v="3"/>
    <x v="1175"/>
    <x v="9"/>
    <x v="0"/>
  </r>
  <r>
    <n v="44500"/>
    <x v="480"/>
    <x v="3"/>
    <x v="0"/>
    <x v="2"/>
    <s v="Tennsco Regal Shelving Units"/>
    <n v="405.64"/>
    <n v="4"/>
    <x v="1176"/>
    <x v="9"/>
    <x v="0"/>
  </r>
  <r>
    <n v="44500"/>
    <x v="480"/>
    <x v="3"/>
    <x v="1"/>
    <x v="5"/>
    <s v="Novimex Fabric Task Chair"/>
    <n v="146.35"/>
    <n v="3"/>
    <x v="1177"/>
    <x v="9"/>
    <x v="0"/>
  </r>
  <r>
    <n v="44500"/>
    <x v="480"/>
    <x v="3"/>
    <x v="2"/>
    <x v="9"/>
    <s v="MaxellÂ LTO Ultrium - 800 GB"/>
    <n v="251.91"/>
    <n v="9"/>
    <x v="1178"/>
    <x v="9"/>
    <x v="0"/>
  </r>
  <r>
    <n v="44500"/>
    <x v="480"/>
    <x v="3"/>
    <x v="0"/>
    <x v="4"/>
    <s v="Newell 325"/>
    <n v="12.39"/>
    <n v="3"/>
    <x v="239"/>
    <x v="9"/>
    <x v="0"/>
  </r>
  <r>
    <n v="44500"/>
    <x v="481"/>
    <x v="43"/>
    <x v="0"/>
    <x v="4"/>
    <s v="Lumber Crayons"/>
    <n v="49.25"/>
    <n v="5"/>
    <x v="1179"/>
    <x v="9"/>
    <x v="0"/>
  </r>
  <r>
    <n v="44500"/>
    <x v="481"/>
    <x v="43"/>
    <x v="0"/>
    <x v="0"/>
    <s v="RSVP Cards &amp; Envelopes, Blank White, 8-1/2&quot; X 11&quot;, 24 Cards/25 Envelopes/Set"/>
    <n v="10.16"/>
    <n v="2"/>
    <x v="741"/>
    <x v="9"/>
    <x v="0"/>
  </r>
  <r>
    <n v="44500"/>
    <x v="481"/>
    <x v="43"/>
    <x v="1"/>
    <x v="8"/>
    <s v="Eldon Expressions Wood Desk Accessories, Oak"/>
    <n v="14.76"/>
    <n v="2"/>
    <x v="1180"/>
    <x v="9"/>
    <x v="0"/>
  </r>
  <r>
    <n v="44500"/>
    <x v="481"/>
    <x v="43"/>
    <x v="0"/>
    <x v="3"/>
    <s v="GBC Recycled VeloBinder Covers"/>
    <n v="34.08"/>
    <n v="2"/>
    <x v="1181"/>
    <x v="9"/>
    <x v="0"/>
  </r>
  <r>
    <n v="44500"/>
    <x v="481"/>
    <x v="43"/>
    <x v="1"/>
    <x v="8"/>
    <s v="Eldon Wave Desk Accessories"/>
    <n v="17.670000000000002"/>
    <n v="3"/>
    <x v="1182"/>
    <x v="9"/>
    <x v="0"/>
  </r>
  <r>
    <n v="44500"/>
    <x v="481"/>
    <x v="43"/>
    <x v="1"/>
    <x v="5"/>
    <s v="Hon Pagoda Stacking Chairs"/>
    <n v="1604.9"/>
    <n v="5"/>
    <x v="1183"/>
    <x v="9"/>
    <x v="0"/>
  </r>
  <r>
    <n v="44500"/>
    <x v="481"/>
    <x v="43"/>
    <x v="1"/>
    <x v="13"/>
    <s v="Chromcraft Bull-Nose Wood 48&quot; x 96&quot; Rectangular Conference Tables"/>
    <n v="385.69"/>
    <n v="1"/>
    <x v="1184"/>
    <x v="9"/>
    <x v="0"/>
  </r>
  <r>
    <n v="44500"/>
    <x v="482"/>
    <x v="12"/>
    <x v="2"/>
    <x v="6"/>
    <s v="Plantronics HL10 Handset Lifter"/>
    <n v="742.34"/>
    <n v="8"/>
    <x v="1185"/>
    <x v="9"/>
    <x v="0"/>
  </r>
  <r>
    <n v="44500"/>
    <x v="8"/>
    <x v="10"/>
    <x v="1"/>
    <x v="13"/>
    <s v="Hon 94000 Series Round Tables"/>
    <n v="1421.66"/>
    <n v="8"/>
    <x v="1186"/>
    <x v="9"/>
    <x v="0"/>
  </r>
  <r>
    <n v="44500"/>
    <x v="483"/>
    <x v="3"/>
    <x v="2"/>
    <x v="6"/>
    <s v="Motorola L804"/>
    <n v="73.58"/>
    <n v="2"/>
    <x v="1187"/>
    <x v="9"/>
    <x v="0"/>
  </r>
  <r>
    <n v="44501"/>
    <x v="277"/>
    <x v="26"/>
    <x v="0"/>
    <x v="4"/>
    <s v="Model L Table or Wall-Mount Pencil Sharpener"/>
    <n v="43.18"/>
    <n v="3"/>
    <x v="870"/>
    <x v="10"/>
    <x v="0"/>
  </r>
  <r>
    <n v="44501"/>
    <x v="277"/>
    <x v="26"/>
    <x v="2"/>
    <x v="6"/>
    <s v="ClearOne CHATAttach 160 -Â speaker phone"/>
    <n v="1983.97"/>
    <n v="4"/>
    <x v="1188"/>
    <x v="10"/>
    <x v="0"/>
  </r>
  <r>
    <n v="44501"/>
    <x v="11"/>
    <x v="11"/>
    <x v="0"/>
    <x v="2"/>
    <s v="Carina Mini System Audio Rack, Model AR050B"/>
    <n v="443.92"/>
    <n v="5"/>
    <x v="1189"/>
    <x v="10"/>
    <x v="0"/>
  </r>
  <r>
    <n v="44501"/>
    <x v="11"/>
    <x v="11"/>
    <x v="2"/>
    <x v="6"/>
    <s v="Plantronics Voyager Pro HD - Bluetooth Headset"/>
    <n v="155.97999999999999"/>
    <n v="3"/>
    <x v="1190"/>
    <x v="10"/>
    <x v="0"/>
  </r>
  <r>
    <n v="44501"/>
    <x v="484"/>
    <x v="25"/>
    <x v="0"/>
    <x v="7"/>
    <s v="Staples"/>
    <n v="7.52"/>
    <n v="5"/>
    <x v="631"/>
    <x v="10"/>
    <x v="0"/>
  </r>
  <r>
    <n v="44501"/>
    <x v="484"/>
    <x v="25"/>
    <x v="0"/>
    <x v="4"/>
    <s v="Newell 320"/>
    <n v="10.27"/>
    <n v="3"/>
    <x v="1191"/>
    <x v="10"/>
    <x v="0"/>
  </r>
  <r>
    <n v="44501"/>
    <x v="484"/>
    <x v="25"/>
    <x v="0"/>
    <x v="1"/>
    <s v="Avery 513"/>
    <n v="47.81"/>
    <n v="12"/>
    <x v="1192"/>
    <x v="10"/>
    <x v="0"/>
  </r>
  <r>
    <n v="44501"/>
    <x v="484"/>
    <x v="25"/>
    <x v="2"/>
    <x v="6"/>
    <s v="Cisco IPÂ PhoneÂ 7961G VoIPÂ phoneÂ - Dark gray"/>
    <n v="978.84"/>
    <n v="9"/>
    <x v="1193"/>
    <x v="10"/>
    <x v="0"/>
  </r>
  <r>
    <n v="44501"/>
    <x v="436"/>
    <x v="1"/>
    <x v="0"/>
    <x v="0"/>
    <s v="Southworth Parchment Paper &amp; Envelopes"/>
    <n v="15.7"/>
    <n v="3"/>
    <x v="1194"/>
    <x v="10"/>
    <x v="0"/>
  </r>
  <r>
    <n v="44501"/>
    <x v="4"/>
    <x v="5"/>
    <x v="0"/>
    <x v="2"/>
    <s v="Multi-Use Personal File Cart and Caster Set, Three Stacking Bins"/>
    <n v="69.52"/>
    <n v="2"/>
    <x v="1195"/>
    <x v="10"/>
    <x v="0"/>
  </r>
  <r>
    <n v="44501"/>
    <x v="4"/>
    <x v="5"/>
    <x v="0"/>
    <x v="4"/>
    <s v="OIC #2 Pencils, Medium Soft"/>
    <n v="5.64"/>
    <n v="3"/>
    <x v="606"/>
    <x v="10"/>
    <x v="0"/>
  </r>
  <r>
    <n v="44501"/>
    <x v="485"/>
    <x v="3"/>
    <x v="0"/>
    <x v="1"/>
    <s v="Avery 475"/>
    <n v="44.4"/>
    <n v="3"/>
    <x v="224"/>
    <x v="10"/>
    <x v="0"/>
  </r>
  <r>
    <n v="44501"/>
    <x v="485"/>
    <x v="3"/>
    <x v="0"/>
    <x v="0"/>
    <s v="Easy-staple paper"/>
    <n v="21.4"/>
    <n v="5"/>
    <x v="1196"/>
    <x v="10"/>
    <x v="0"/>
  </r>
  <r>
    <n v="44501"/>
    <x v="392"/>
    <x v="20"/>
    <x v="0"/>
    <x v="12"/>
    <s v="Kensington 7 Outlet MasterPiece Power Center"/>
    <n v="533.94000000000005"/>
    <n v="3"/>
    <x v="1197"/>
    <x v="10"/>
    <x v="0"/>
  </r>
  <r>
    <n v="44501"/>
    <x v="392"/>
    <x v="20"/>
    <x v="0"/>
    <x v="0"/>
    <s v="Xerox 1934"/>
    <n v="167.94"/>
    <n v="3"/>
    <x v="1198"/>
    <x v="10"/>
    <x v="0"/>
  </r>
  <r>
    <n v="44501"/>
    <x v="392"/>
    <x v="20"/>
    <x v="1"/>
    <x v="8"/>
    <s v="Master Big Foot Doorstop, Beige"/>
    <n v="31.68"/>
    <n v="6"/>
    <x v="1199"/>
    <x v="10"/>
    <x v="0"/>
  </r>
  <r>
    <n v="44501"/>
    <x v="486"/>
    <x v="23"/>
    <x v="0"/>
    <x v="12"/>
    <s v="Fellowes Superior 10 Outlet Split Surge Protector"/>
    <n v="76.12"/>
    <n v="2"/>
    <x v="757"/>
    <x v="10"/>
    <x v="0"/>
  </r>
  <r>
    <n v="44501"/>
    <x v="400"/>
    <x v="10"/>
    <x v="1"/>
    <x v="8"/>
    <s v="Howard Miller 13&quot; Diameter Pewter Finish Round Wall Clock"/>
    <n v="68.7"/>
    <n v="2"/>
    <x v="1200"/>
    <x v="10"/>
    <x v="0"/>
  </r>
  <r>
    <n v="44501"/>
    <x v="400"/>
    <x v="10"/>
    <x v="0"/>
    <x v="3"/>
    <s v="Acco Economy Flexible Poly Round Ring Binder"/>
    <n v="3.13"/>
    <n v="2"/>
    <x v="1201"/>
    <x v="10"/>
    <x v="0"/>
  </r>
  <r>
    <n v="44501"/>
    <x v="400"/>
    <x v="10"/>
    <x v="0"/>
    <x v="3"/>
    <s v="GBC Standard Therm-A-Bind Covers"/>
    <n v="22.43"/>
    <n v="3"/>
    <x v="1202"/>
    <x v="10"/>
    <x v="0"/>
  </r>
  <r>
    <n v="44502"/>
    <x v="310"/>
    <x v="20"/>
    <x v="0"/>
    <x v="1"/>
    <s v="Avery 499"/>
    <n v="34.86"/>
    <n v="7"/>
    <x v="1203"/>
    <x v="10"/>
    <x v="0"/>
  </r>
  <r>
    <n v="44502"/>
    <x v="310"/>
    <x v="20"/>
    <x v="1"/>
    <x v="8"/>
    <s v="Tensor Computer Mounted Lamp"/>
    <n v="89.34"/>
    <n v="6"/>
    <x v="1204"/>
    <x v="10"/>
    <x v="0"/>
  </r>
  <r>
    <n v="44502"/>
    <x v="487"/>
    <x v="0"/>
    <x v="2"/>
    <x v="6"/>
    <s v="Logitech B530 USBÂ HeadsetÂ -Â headsetÂ - Full size, Binaural"/>
    <n v="88.78"/>
    <n v="3"/>
    <x v="1182"/>
    <x v="10"/>
    <x v="0"/>
  </r>
  <r>
    <n v="44502"/>
    <x v="31"/>
    <x v="10"/>
    <x v="2"/>
    <x v="6"/>
    <s v="Polycom CX300 Desktop Phone USB VoIP phone"/>
    <n v="539.96"/>
    <n v="6"/>
    <x v="1205"/>
    <x v="10"/>
    <x v="0"/>
  </r>
  <r>
    <n v="44502"/>
    <x v="31"/>
    <x v="10"/>
    <x v="2"/>
    <x v="6"/>
    <s v="I Need's 3d Hello Kitty Hybrid Silicone Case Cover for HTC One X 4g with 3d Hello Kitty Stylus Pen Green/pink"/>
    <n v="50.23"/>
    <n v="7"/>
    <x v="137"/>
    <x v="10"/>
    <x v="0"/>
  </r>
  <r>
    <n v="44502"/>
    <x v="31"/>
    <x v="10"/>
    <x v="0"/>
    <x v="3"/>
    <s v="Acco D-Ring Binder w/DublLock"/>
    <n v="19.239999999999998"/>
    <n v="3"/>
    <x v="1206"/>
    <x v="10"/>
    <x v="0"/>
  </r>
  <r>
    <n v="44502"/>
    <x v="488"/>
    <x v="16"/>
    <x v="2"/>
    <x v="9"/>
    <s v="Razer Kraken 7.1 Surround Sound Over Ear USB Gaming Headset"/>
    <n v="799.92"/>
    <n v="10"/>
    <x v="1207"/>
    <x v="10"/>
    <x v="0"/>
  </r>
  <r>
    <n v="44502"/>
    <x v="489"/>
    <x v="3"/>
    <x v="2"/>
    <x v="6"/>
    <s v="AT&amp;T CL82213"/>
    <n v="46.38"/>
    <n v="2"/>
    <x v="1172"/>
    <x v="10"/>
    <x v="0"/>
  </r>
  <r>
    <n v="44502"/>
    <x v="489"/>
    <x v="3"/>
    <x v="0"/>
    <x v="2"/>
    <s v="Adjustable Depth Letter/Legal Cart"/>
    <n v="362.92"/>
    <n v="2"/>
    <x v="1208"/>
    <x v="10"/>
    <x v="0"/>
  </r>
  <r>
    <n v="44502"/>
    <x v="490"/>
    <x v="22"/>
    <x v="2"/>
    <x v="9"/>
    <s v="Maxell 74 Minute CD-R Spindle, 50/Pack"/>
    <n v="41.94"/>
    <n v="2"/>
    <x v="678"/>
    <x v="10"/>
    <x v="0"/>
  </r>
  <r>
    <n v="44502"/>
    <x v="490"/>
    <x v="22"/>
    <x v="2"/>
    <x v="6"/>
    <s v="Samsung Rugby III"/>
    <n v="52.79"/>
    <n v="1"/>
    <x v="1076"/>
    <x v="10"/>
    <x v="0"/>
  </r>
  <r>
    <n v="44503"/>
    <x v="282"/>
    <x v="2"/>
    <x v="0"/>
    <x v="14"/>
    <s v="Compact Automatic Electric Letter Opener"/>
    <n v="286.33999999999997"/>
    <n v="3"/>
    <x v="1209"/>
    <x v="10"/>
    <x v="0"/>
  </r>
  <r>
    <n v="44503"/>
    <x v="25"/>
    <x v="20"/>
    <x v="2"/>
    <x v="6"/>
    <s v="Panasonic KX-TG9471B"/>
    <n v="783.96"/>
    <n v="4"/>
    <x v="1210"/>
    <x v="10"/>
    <x v="0"/>
  </r>
  <r>
    <n v="44503"/>
    <x v="25"/>
    <x v="20"/>
    <x v="0"/>
    <x v="3"/>
    <s v="Surelock Post Binders"/>
    <n v="48.9"/>
    <n v="2"/>
    <x v="1211"/>
    <x v="10"/>
    <x v="0"/>
  </r>
  <r>
    <n v="44503"/>
    <x v="25"/>
    <x v="20"/>
    <x v="0"/>
    <x v="3"/>
    <s v="Acco Pressboard Covers with Storage Hooks, 14 7/8&quot; x 11&quot;, Light Blue"/>
    <n v="7.86"/>
    <n v="2"/>
    <x v="1029"/>
    <x v="10"/>
    <x v="0"/>
  </r>
  <r>
    <n v="44503"/>
    <x v="218"/>
    <x v="37"/>
    <x v="0"/>
    <x v="14"/>
    <s v="Acme Kleen Earth Office Shears"/>
    <n v="11.64"/>
    <n v="3"/>
    <x v="432"/>
    <x v="10"/>
    <x v="0"/>
  </r>
  <r>
    <n v="44503"/>
    <x v="372"/>
    <x v="15"/>
    <x v="0"/>
    <x v="0"/>
    <s v="Ampad Evidence Wirebond Steno Books, 6&quot; x 9&quot;"/>
    <n v="3.49"/>
    <n v="2"/>
    <x v="1212"/>
    <x v="10"/>
    <x v="0"/>
  </r>
  <r>
    <n v="44503"/>
    <x v="372"/>
    <x v="15"/>
    <x v="0"/>
    <x v="0"/>
    <s v="Xerox 1884"/>
    <n v="143.86000000000001"/>
    <n v="9"/>
    <x v="1213"/>
    <x v="10"/>
    <x v="0"/>
  </r>
  <r>
    <n v="44503"/>
    <x v="489"/>
    <x v="25"/>
    <x v="0"/>
    <x v="2"/>
    <s v="Acco Perma 4000 Stacking Storage Drawers"/>
    <n v="25.98"/>
    <n v="2"/>
    <x v="1214"/>
    <x v="10"/>
    <x v="0"/>
  </r>
  <r>
    <n v="44503"/>
    <x v="489"/>
    <x v="25"/>
    <x v="1"/>
    <x v="13"/>
    <s v="Hon Racetrack Conference Tables"/>
    <n v="945.04"/>
    <n v="6"/>
    <x v="1215"/>
    <x v="10"/>
    <x v="0"/>
  </r>
  <r>
    <n v="44503"/>
    <x v="489"/>
    <x v="25"/>
    <x v="0"/>
    <x v="3"/>
    <s v="Avery Self-Adhesive Photo Pockets for Polaroid Photos"/>
    <n v="14.3"/>
    <n v="7"/>
    <x v="1216"/>
    <x v="10"/>
    <x v="0"/>
  </r>
  <r>
    <n v="44503"/>
    <x v="489"/>
    <x v="25"/>
    <x v="1"/>
    <x v="8"/>
    <s v="Tenex Antistatic Computer Chair Mats"/>
    <n v="410.35"/>
    <n v="3"/>
    <x v="1217"/>
    <x v="10"/>
    <x v="0"/>
  </r>
  <r>
    <n v="44503"/>
    <x v="491"/>
    <x v="23"/>
    <x v="0"/>
    <x v="3"/>
    <s v="Avery Durable Binders"/>
    <n v="5.76"/>
    <n v="2"/>
    <x v="1218"/>
    <x v="10"/>
    <x v="0"/>
  </r>
  <r>
    <n v="44503"/>
    <x v="153"/>
    <x v="40"/>
    <x v="2"/>
    <x v="9"/>
    <s v="Belkin F8E887 USB Wired Ergonomic Keyboard"/>
    <n v="89.97"/>
    <n v="3"/>
    <x v="1219"/>
    <x v="10"/>
    <x v="0"/>
  </r>
  <r>
    <n v="44503"/>
    <x v="492"/>
    <x v="3"/>
    <x v="0"/>
    <x v="4"/>
    <s v="Prang Dustless Chalk Sticks"/>
    <n v="6.72"/>
    <n v="4"/>
    <x v="1220"/>
    <x v="10"/>
    <x v="0"/>
  </r>
  <r>
    <n v="44504"/>
    <x v="39"/>
    <x v="20"/>
    <x v="1"/>
    <x v="5"/>
    <s v="DMI Arturo Collection Mission-style Design Wood Chair"/>
    <n v="135.88"/>
    <n v="1"/>
    <x v="1221"/>
    <x v="10"/>
    <x v="0"/>
  </r>
  <r>
    <n v="44504"/>
    <x v="39"/>
    <x v="20"/>
    <x v="2"/>
    <x v="15"/>
    <s v="Canon imageCLASS MF7460 Monochrome Digital Laser Multifunction Copier"/>
    <n v="3991.98"/>
    <n v="2"/>
    <x v="1222"/>
    <x v="10"/>
    <x v="0"/>
  </r>
  <r>
    <n v="44504"/>
    <x v="39"/>
    <x v="20"/>
    <x v="2"/>
    <x v="6"/>
    <s v="Panasonic Kx-TS550"/>
    <n v="275.94"/>
    <n v="6"/>
    <x v="1223"/>
    <x v="10"/>
    <x v="0"/>
  </r>
  <r>
    <n v="44504"/>
    <x v="39"/>
    <x v="20"/>
    <x v="2"/>
    <x v="9"/>
    <s v="NETGEAR N750 Dual Band Wi-Fi Gigabit Router"/>
    <n v="360"/>
    <n v="4"/>
    <x v="1224"/>
    <x v="10"/>
    <x v="0"/>
  </r>
  <r>
    <n v="44504"/>
    <x v="39"/>
    <x v="20"/>
    <x v="0"/>
    <x v="2"/>
    <s v="Trav-L-File Heavy-Duty Shuttle II, Black"/>
    <n v="43.57"/>
    <n v="1"/>
    <x v="1225"/>
    <x v="10"/>
    <x v="0"/>
  </r>
  <r>
    <n v="44504"/>
    <x v="402"/>
    <x v="25"/>
    <x v="0"/>
    <x v="7"/>
    <s v="OIC Bulk Pack Metal Binder Clips"/>
    <n v="8.3800000000000008"/>
    <n v="3"/>
    <x v="397"/>
    <x v="10"/>
    <x v="0"/>
  </r>
  <r>
    <n v="44504"/>
    <x v="402"/>
    <x v="25"/>
    <x v="0"/>
    <x v="12"/>
    <s v="Acco 6 Outlet Guardian Premium Surge Suppressor"/>
    <n v="58.24"/>
    <n v="5"/>
    <x v="1194"/>
    <x v="10"/>
    <x v="0"/>
  </r>
  <r>
    <n v="44504"/>
    <x v="493"/>
    <x v="3"/>
    <x v="1"/>
    <x v="8"/>
    <s v="Executive Impressions 12&quot; Wall Clock"/>
    <n v="35.340000000000003"/>
    <n v="2"/>
    <x v="970"/>
    <x v="10"/>
    <x v="0"/>
  </r>
  <r>
    <n v="44504"/>
    <x v="494"/>
    <x v="3"/>
    <x v="2"/>
    <x v="6"/>
    <s v="Polycom SoundPoint Pro SE-225 Corded phone"/>
    <n v="666.34"/>
    <n v="7"/>
    <x v="1226"/>
    <x v="10"/>
    <x v="0"/>
  </r>
  <r>
    <n v="44504"/>
    <x v="494"/>
    <x v="3"/>
    <x v="1"/>
    <x v="13"/>
    <s v="Bevis Round Conference Table Top, X-Base"/>
    <n v="573.73"/>
    <n v="4"/>
    <x v="1227"/>
    <x v="10"/>
    <x v="0"/>
  </r>
  <r>
    <n v="44504"/>
    <x v="494"/>
    <x v="3"/>
    <x v="0"/>
    <x v="3"/>
    <s v="Cardinal EasyOpen D-Ring Binders"/>
    <n v="21.94"/>
    <n v="3"/>
    <x v="1228"/>
    <x v="10"/>
    <x v="0"/>
  </r>
  <r>
    <n v="44504"/>
    <x v="494"/>
    <x v="3"/>
    <x v="0"/>
    <x v="0"/>
    <s v="Xerox 2000"/>
    <n v="19.440000000000001"/>
    <n v="3"/>
    <x v="5"/>
    <x v="10"/>
    <x v="0"/>
  </r>
  <r>
    <n v="44504"/>
    <x v="494"/>
    <x v="3"/>
    <x v="2"/>
    <x v="15"/>
    <s v="Hewlett-Packard Deskjet D4360 Printer"/>
    <n v="447.97"/>
    <n v="4"/>
    <x v="313"/>
    <x v="10"/>
    <x v="0"/>
  </r>
  <r>
    <n v="44504"/>
    <x v="381"/>
    <x v="20"/>
    <x v="0"/>
    <x v="3"/>
    <s v="Acco Flexible ACCOHIDE Square Ring Data Binder, Dark Blue, 11 1/2&quot; X 14&quot; 7/8&quot;"/>
    <n v="52.06"/>
    <n v="4"/>
    <x v="1229"/>
    <x v="10"/>
    <x v="0"/>
  </r>
  <r>
    <n v="44504"/>
    <x v="495"/>
    <x v="3"/>
    <x v="0"/>
    <x v="4"/>
    <s v="Newell 343"/>
    <n v="2.94"/>
    <n v="1"/>
    <x v="1230"/>
    <x v="10"/>
    <x v="0"/>
  </r>
  <r>
    <n v="44505"/>
    <x v="354"/>
    <x v="3"/>
    <x v="1"/>
    <x v="8"/>
    <s v="OIC Stacking Trays"/>
    <n v="20.04"/>
    <n v="6"/>
    <x v="1231"/>
    <x v="10"/>
    <x v="0"/>
  </r>
  <r>
    <n v="44505"/>
    <x v="50"/>
    <x v="6"/>
    <x v="2"/>
    <x v="9"/>
    <s v="Maxell 4.7GB DVD-RW 3/Pack"/>
    <n v="47.79"/>
    <n v="3"/>
    <x v="377"/>
    <x v="10"/>
    <x v="0"/>
  </r>
  <r>
    <n v="44505"/>
    <x v="496"/>
    <x v="2"/>
    <x v="1"/>
    <x v="8"/>
    <s v="Tenex Antistatic Computer Chair Mats"/>
    <n v="273.57"/>
    <n v="2"/>
    <x v="1232"/>
    <x v="10"/>
    <x v="0"/>
  </r>
  <r>
    <n v="44505"/>
    <x v="496"/>
    <x v="2"/>
    <x v="0"/>
    <x v="3"/>
    <s v="Wilson Jones Legal Size Ring Binders"/>
    <n v="13.19"/>
    <n v="2"/>
    <x v="1233"/>
    <x v="10"/>
    <x v="0"/>
  </r>
  <r>
    <n v="44505"/>
    <x v="496"/>
    <x v="2"/>
    <x v="0"/>
    <x v="2"/>
    <s v="Tennsco Double-Tier Lockers"/>
    <n v="1080.0999999999999"/>
    <n v="6"/>
    <x v="1234"/>
    <x v="10"/>
    <x v="0"/>
  </r>
  <r>
    <n v="44505"/>
    <x v="496"/>
    <x v="2"/>
    <x v="2"/>
    <x v="9"/>
    <s v="Sony 16GB Class 10 Micro SDHC R40 Memory Card"/>
    <n v="51.56"/>
    <n v="5"/>
    <x v="1235"/>
    <x v="10"/>
    <x v="0"/>
  </r>
  <r>
    <n v="44505"/>
    <x v="496"/>
    <x v="2"/>
    <x v="2"/>
    <x v="9"/>
    <s v="Memorex Micro Travel Drive 32 GB"/>
    <n v="58.42"/>
    <n v="2"/>
    <x v="1051"/>
    <x v="10"/>
    <x v="0"/>
  </r>
  <r>
    <n v="44505"/>
    <x v="497"/>
    <x v="6"/>
    <x v="1"/>
    <x v="5"/>
    <s v="Global Stack Chair with Arms, Black"/>
    <n v="149.9"/>
    <n v="5"/>
    <x v="1236"/>
    <x v="10"/>
    <x v="0"/>
  </r>
  <r>
    <n v="44506"/>
    <x v="208"/>
    <x v="4"/>
    <x v="0"/>
    <x v="0"/>
    <s v="Array Parchment Paper, Assorted Colors"/>
    <n v="43.68"/>
    <n v="6"/>
    <x v="1237"/>
    <x v="10"/>
    <x v="0"/>
  </r>
  <r>
    <n v="44507"/>
    <x v="498"/>
    <x v="0"/>
    <x v="0"/>
    <x v="3"/>
    <s v="Satellite Sectional Post Binders"/>
    <n v="26.05"/>
    <n v="3"/>
    <x v="1238"/>
    <x v="10"/>
    <x v="0"/>
  </r>
  <r>
    <n v="44507"/>
    <x v="498"/>
    <x v="0"/>
    <x v="0"/>
    <x v="10"/>
    <s v="Staple envelope"/>
    <n v="74.349999999999994"/>
    <n v="3"/>
    <x v="1239"/>
    <x v="10"/>
    <x v="0"/>
  </r>
  <r>
    <n v="44507"/>
    <x v="352"/>
    <x v="3"/>
    <x v="0"/>
    <x v="3"/>
    <s v="Wilson Jones Legal Size Ring Binders"/>
    <n v="123.14"/>
    <n v="7"/>
    <x v="1240"/>
    <x v="10"/>
    <x v="0"/>
  </r>
  <r>
    <n v="44507"/>
    <x v="236"/>
    <x v="0"/>
    <x v="1"/>
    <x v="5"/>
    <s v="Hon Deluxe Fabric Upholstered Stacking Chairs, Squared Back"/>
    <n v="683.14"/>
    <n v="4"/>
    <x v="62"/>
    <x v="10"/>
    <x v="0"/>
  </r>
  <r>
    <n v="44507"/>
    <x v="236"/>
    <x v="0"/>
    <x v="0"/>
    <x v="3"/>
    <s v="Avery Triangle Shaped Sheet Lifters, Black, 2/Pack"/>
    <n v="1.48"/>
    <n v="3"/>
    <x v="1241"/>
    <x v="10"/>
    <x v="0"/>
  </r>
  <r>
    <n v="44507"/>
    <x v="236"/>
    <x v="0"/>
    <x v="0"/>
    <x v="14"/>
    <s v="Acme Stainless Steel Office Snips"/>
    <n v="40.71"/>
    <n v="7"/>
    <x v="1242"/>
    <x v="10"/>
    <x v="0"/>
  </r>
  <r>
    <n v="44507"/>
    <x v="389"/>
    <x v="21"/>
    <x v="0"/>
    <x v="12"/>
    <s v="Belkin 8 Outlet Surge Protector"/>
    <n v="245.88"/>
    <n v="6"/>
    <x v="451"/>
    <x v="10"/>
    <x v="0"/>
  </r>
  <r>
    <n v="44507"/>
    <x v="389"/>
    <x v="21"/>
    <x v="0"/>
    <x v="2"/>
    <s v="Portable Personal File Box"/>
    <n v="36.630000000000003"/>
    <n v="3"/>
    <x v="385"/>
    <x v="10"/>
    <x v="0"/>
  </r>
  <r>
    <n v="44507"/>
    <x v="389"/>
    <x v="21"/>
    <x v="0"/>
    <x v="2"/>
    <s v="X-Rack File for Hanging Folders"/>
    <n v="22.58"/>
    <n v="2"/>
    <x v="1243"/>
    <x v="10"/>
    <x v="0"/>
  </r>
  <r>
    <n v="44507"/>
    <x v="389"/>
    <x v="21"/>
    <x v="0"/>
    <x v="3"/>
    <s v="ACCOHIDE 3-Ring Binder, Blue, 1&quot;"/>
    <n v="12.39"/>
    <n v="3"/>
    <x v="1244"/>
    <x v="10"/>
    <x v="0"/>
  </r>
  <r>
    <n v="44507"/>
    <x v="244"/>
    <x v="20"/>
    <x v="0"/>
    <x v="7"/>
    <s v="Binder Clips by OIC"/>
    <n v="5.92"/>
    <n v="4"/>
    <x v="386"/>
    <x v="10"/>
    <x v="0"/>
  </r>
  <r>
    <n v="44507"/>
    <x v="244"/>
    <x v="20"/>
    <x v="0"/>
    <x v="0"/>
    <s v="Riverleaf Stik-Withit Designer Note Cubes"/>
    <n v="30.18"/>
    <n v="3"/>
    <x v="1245"/>
    <x v="10"/>
    <x v="0"/>
  </r>
  <r>
    <n v="44507"/>
    <x v="47"/>
    <x v="11"/>
    <x v="0"/>
    <x v="0"/>
    <s v="Xerox 1995"/>
    <n v="25.92"/>
    <n v="5"/>
    <x v="278"/>
    <x v="10"/>
    <x v="0"/>
  </r>
  <r>
    <n v="44507"/>
    <x v="47"/>
    <x v="11"/>
    <x v="0"/>
    <x v="4"/>
    <s v="Panasonic KP-150 Electric Pencil Sharpener"/>
    <n v="120.77"/>
    <n v="4"/>
    <x v="1246"/>
    <x v="10"/>
    <x v="0"/>
  </r>
  <r>
    <n v="44508"/>
    <x v="185"/>
    <x v="3"/>
    <x v="2"/>
    <x v="6"/>
    <s v="Toshiba IPT2010-SD IPÂ Telephone"/>
    <n v="333.58"/>
    <n v="3"/>
    <x v="1247"/>
    <x v="10"/>
    <x v="0"/>
  </r>
  <r>
    <n v="44509"/>
    <x v="355"/>
    <x v="3"/>
    <x v="0"/>
    <x v="2"/>
    <s v="SAFCO Boltless Steel Shelving"/>
    <n v="340.92"/>
    <n v="3"/>
    <x v="919"/>
    <x v="10"/>
    <x v="0"/>
  </r>
  <r>
    <n v="44509"/>
    <x v="355"/>
    <x v="3"/>
    <x v="1"/>
    <x v="11"/>
    <s v="Sauder Mission Library with Doors, Fruitwood Finish"/>
    <n v="222.67"/>
    <n v="2"/>
    <x v="1248"/>
    <x v="10"/>
    <x v="0"/>
  </r>
  <r>
    <n v="44509"/>
    <x v="355"/>
    <x v="3"/>
    <x v="2"/>
    <x v="6"/>
    <s v="Samsung Galaxy Note 3"/>
    <n v="703.97"/>
    <n v="4"/>
    <x v="1249"/>
    <x v="10"/>
    <x v="0"/>
  </r>
  <r>
    <n v="44509"/>
    <x v="355"/>
    <x v="3"/>
    <x v="0"/>
    <x v="2"/>
    <s v="Decoflex Hanging Personal Folder File, Blue"/>
    <n v="92.52"/>
    <n v="6"/>
    <x v="983"/>
    <x v="10"/>
    <x v="0"/>
  </r>
  <r>
    <n v="44509"/>
    <x v="355"/>
    <x v="3"/>
    <x v="0"/>
    <x v="0"/>
    <s v="Recycled Desk Saver Line &quot;While You Were Out&quot; Book, 5 1/2&quot; X 4&quot;"/>
    <n v="62.65"/>
    <n v="7"/>
    <x v="1250"/>
    <x v="10"/>
    <x v="0"/>
  </r>
  <r>
    <n v="44509"/>
    <x v="355"/>
    <x v="3"/>
    <x v="0"/>
    <x v="0"/>
    <s v="Xerox 1912"/>
    <n v="94.85"/>
    <n v="5"/>
    <x v="1251"/>
    <x v="10"/>
    <x v="0"/>
  </r>
  <r>
    <n v="44509"/>
    <x v="499"/>
    <x v="20"/>
    <x v="1"/>
    <x v="8"/>
    <s v="Eldon 200 Class Desk Accessories, Black"/>
    <n v="56.52"/>
    <n v="9"/>
    <x v="1252"/>
    <x v="10"/>
    <x v="0"/>
  </r>
  <r>
    <n v="44510"/>
    <x v="131"/>
    <x v="3"/>
    <x v="2"/>
    <x v="6"/>
    <s v="Jabra SPEAK 410"/>
    <n v="601.54"/>
    <n v="8"/>
    <x v="1253"/>
    <x v="10"/>
    <x v="0"/>
  </r>
  <r>
    <n v="44510"/>
    <x v="131"/>
    <x v="3"/>
    <x v="2"/>
    <x v="9"/>
    <s v="Memorex Froggy Flash Drive 4 GB"/>
    <n v="10.99"/>
    <n v="1"/>
    <x v="1254"/>
    <x v="10"/>
    <x v="0"/>
  </r>
  <r>
    <n v="44510"/>
    <x v="131"/>
    <x v="3"/>
    <x v="1"/>
    <x v="8"/>
    <s v="Luxo Economy Swing Arm Lamp"/>
    <n v="39.880000000000003"/>
    <n v="2"/>
    <x v="166"/>
    <x v="10"/>
    <x v="0"/>
  </r>
  <r>
    <n v="44510"/>
    <x v="131"/>
    <x v="3"/>
    <x v="0"/>
    <x v="0"/>
    <s v="Southworth 100% RÃ©sumÃ© Paper, 24lb."/>
    <n v="62.24"/>
    <n v="8"/>
    <x v="1255"/>
    <x v="10"/>
    <x v="0"/>
  </r>
  <r>
    <n v="44510"/>
    <x v="131"/>
    <x v="3"/>
    <x v="1"/>
    <x v="8"/>
    <s v="Eldon Expressions Punched Metal &amp; Wood Desk Accessories, Pewter &amp; Cherry"/>
    <n v="53.2"/>
    <n v="5"/>
    <x v="1256"/>
    <x v="10"/>
    <x v="0"/>
  </r>
  <r>
    <n v="44510"/>
    <x v="131"/>
    <x v="3"/>
    <x v="0"/>
    <x v="1"/>
    <s v="Avery White Multi-Purpose Labels"/>
    <n v="39.840000000000003"/>
    <n v="8"/>
    <x v="711"/>
    <x v="10"/>
    <x v="0"/>
  </r>
  <r>
    <n v="44510"/>
    <x v="66"/>
    <x v="14"/>
    <x v="0"/>
    <x v="4"/>
    <s v="Avery Hi-Liter Comfort Grip Fluorescent Highlighter, Yellow Ink"/>
    <n v="3.9"/>
    <n v="2"/>
    <x v="1257"/>
    <x v="10"/>
    <x v="0"/>
  </r>
  <r>
    <n v="44510"/>
    <x v="66"/>
    <x v="14"/>
    <x v="0"/>
    <x v="0"/>
    <s v="Xerox 199"/>
    <n v="12.84"/>
    <n v="3"/>
    <x v="436"/>
    <x v="10"/>
    <x v="0"/>
  </r>
  <r>
    <n v="44510"/>
    <x v="66"/>
    <x v="14"/>
    <x v="0"/>
    <x v="0"/>
    <s v="Xerox 4200 Series MultiUse Premium Copy Paper (20Lb. and 84 Bright)"/>
    <n v="15.84"/>
    <n v="3"/>
    <x v="270"/>
    <x v="10"/>
    <x v="0"/>
  </r>
  <r>
    <n v="44510"/>
    <x v="66"/>
    <x v="14"/>
    <x v="1"/>
    <x v="5"/>
    <s v="Hon Every-Day Series Multi-Task Chairs"/>
    <n v="563.94000000000005"/>
    <n v="3"/>
    <x v="1258"/>
    <x v="10"/>
    <x v="0"/>
  </r>
  <r>
    <n v="44510"/>
    <x v="66"/>
    <x v="14"/>
    <x v="0"/>
    <x v="2"/>
    <s v="Acco Perma 3000 Stacking Storage Drawers"/>
    <n v="62.94"/>
    <n v="3"/>
    <x v="1259"/>
    <x v="10"/>
    <x v="0"/>
  </r>
  <r>
    <n v="44510"/>
    <x v="66"/>
    <x v="14"/>
    <x v="0"/>
    <x v="2"/>
    <s v="Hot File 7-Pocket, Floor Stand"/>
    <n v="535.41"/>
    <n v="3"/>
    <x v="680"/>
    <x v="10"/>
    <x v="0"/>
  </r>
  <r>
    <n v="44511"/>
    <x v="500"/>
    <x v="21"/>
    <x v="0"/>
    <x v="2"/>
    <s v="Stur-D-Stor Shelving, Vertical 5-Shelf: 72&quot;H x 36&quot;W x 18 1/2&quot;D"/>
    <n v="665.88"/>
    <n v="6"/>
    <x v="1260"/>
    <x v="10"/>
    <x v="0"/>
  </r>
  <r>
    <n v="44511"/>
    <x v="501"/>
    <x v="26"/>
    <x v="0"/>
    <x v="4"/>
    <s v="BIC Brite Liner Grip Highlighters, Assorted, 5/Pack"/>
    <n v="3.39"/>
    <n v="1"/>
    <x v="1261"/>
    <x v="10"/>
    <x v="0"/>
  </r>
  <r>
    <n v="44511"/>
    <x v="501"/>
    <x v="26"/>
    <x v="2"/>
    <x v="6"/>
    <s v="Samsung Galaxy S III - 16GB - pebble blue (T-Mobile)"/>
    <n v="559.98"/>
    <n v="2"/>
    <x v="1262"/>
    <x v="10"/>
    <x v="0"/>
  </r>
  <r>
    <n v="44511"/>
    <x v="501"/>
    <x v="26"/>
    <x v="1"/>
    <x v="5"/>
    <s v="Global Airflow Leather Mesh Back Chair, Black"/>
    <n v="603.91999999999996"/>
    <n v="5"/>
    <x v="1263"/>
    <x v="10"/>
    <x v="0"/>
  </r>
  <r>
    <n v="44511"/>
    <x v="502"/>
    <x v="0"/>
    <x v="0"/>
    <x v="3"/>
    <s v="GBC DocuBind TL300 Electric Binding System"/>
    <n v="896.99"/>
    <n v="5"/>
    <x v="1264"/>
    <x v="10"/>
    <x v="0"/>
  </r>
  <r>
    <n v="44511"/>
    <x v="502"/>
    <x v="0"/>
    <x v="0"/>
    <x v="3"/>
    <s v="Universal Recycled Hanging Pressboard Report Binders, Letter Size"/>
    <n v="1.23"/>
    <n v="1"/>
    <x v="1265"/>
    <x v="10"/>
    <x v="0"/>
  </r>
  <r>
    <n v="44511"/>
    <x v="502"/>
    <x v="0"/>
    <x v="0"/>
    <x v="4"/>
    <s v="Boston Electric Pencil Sharpener, Model 1818, Charcoal Black"/>
    <n v="67.56"/>
    <n v="3"/>
    <x v="1266"/>
    <x v="10"/>
    <x v="0"/>
  </r>
  <r>
    <n v="44511"/>
    <x v="502"/>
    <x v="0"/>
    <x v="0"/>
    <x v="0"/>
    <s v="Wirebound Message Book, 4 per Page"/>
    <n v="21.72"/>
    <n v="5"/>
    <x v="1267"/>
    <x v="10"/>
    <x v="0"/>
  </r>
  <r>
    <n v="44511"/>
    <x v="502"/>
    <x v="0"/>
    <x v="0"/>
    <x v="0"/>
    <s v="Xerox 1893"/>
    <n v="262.33999999999997"/>
    <n v="8"/>
    <x v="1268"/>
    <x v="10"/>
    <x v="0"/>
  </r>
  <r>
    <n v="44511"/>
    <x v="502"/>
    <x v="0"/>
    <x v="2"/>
    <x v="6"/>
    <s v="Geemarc AmpliPOWER60"/>
    <n v="148.47999999999999"/>
    <n v="2"/>
    <x v="1269"/>
    <x v="10"/>
    <x v="0"/>
  </r>
  <r>
    <n v="44511"/>
    <x v="502"/>
    <x v="0"/>
    <x v="2"/>
    <x v="6"/>
    <s v="Classic Ivory AntiqueÂ TelephoneÂ ZL1810"/>
    <n v="241.18"/>
    <n v="3"/>
    <x v="1270"/>
    <x v="10"/>
    <x v="0"/>
  </r>
  <r>
    <n v="44511"/>
    <x v="358"/>
    <x v="3"/>
    <x v="0"/>
    <x v="4"/>
    <s v="50 Colored Long Pencils"/>
    <n v="30.48"/>
    <n v="3"/>
    <x v="1271"/>
    <x v="10"/>
    <x v="0"/>
  </r>
  <r>
    <n v="44511"/>
    <x v="358"/>
    <x v="3"/>
    <x v="1"/>
    <x v="5"/>
    <s v="Hon Olson Stacker Stools"/>
    <n v="112.65"/>
    <n v="1"/>
    <x v="1272"/>
    <x v="10"/>
    <x v="0"/>
  </r>
  <r>
    <n v="44511"/>
    <x v="324"/>
    <x v="2"/>
    <x v="1"/>
    <x v="8"/>
    <s v="GE 4 Foot Flourescent Tube, 40 Watt"/>
    <n v="23.97"/>
    <n v="2"/>
    <x v="1273"/>
    <x v="10"/>
    <x v="0"/>
  </r>
  <r>
    <n v="44511"/>
    <x v="324"/>
    <x v="2"/>
    <x v="1"/>
    <x v="11"/>
    <s v="Atlantic Metals Mobile 3-Shelf Bookcases, Custom Colors"/>
    <n v="521.96"/>
    <n v="4"/>
    <x v="1274"/>
    <x v="10"/>
    <x v="0"/>
  </r>
  <r>
    <n v="44511"/>
    <x v="338"/>
    <x v="3"/>
    <x v="2"/>
    <x v="6"/>
    <s v="Mophie Juice Pack Helium for iPhone"/>
    <n v="575.92999999999995"/>
    <n v="9"/>
    <x v="277"/>
    <x v="10"/>
    <x v="0"/>
  </r>
  <r>
    <n v="44511"/>
    <x v="338"/>
    <x v="3"/>
    <x v="0"/>
    <x v="12"/>
    <s v="Commercial WindTunnel Clean Air Upright Vacuum, Replacement Belts, Filtration Bags"/>
    <n v="7.78"/>
    <n v="2"/>
    <x v="1275"/>
    <x v="10"/>
    <x v="0"/>
  </r>
  <r>
    <n v="44511"/>
    <x v="338"/>
    <x v="3"/>
    <x v="0"/>
    <x v="0"/>
    <s v="Xerox 1979"/>
    <n v="123.92"/>
    <n v="4"/>
    <x v="1095"/>
    <x v="10"/>
    <x v="0"/>
  </r>
  <r>
    <n v="44511"/>
    <x v="126"/>
    <x v="22"/>
    <x v="0"/>
    <x v="12"/>
    <s v="Belkin F5C206VTEL 6 Outlet Surge"/>
    <n v="22.98"/>
    <n v="1"/>
    <x v="309"/>
    <x v="10"/>
    <x v="0"/>
  </r>
  <r>
    <n v="44511"/>
    <x v="126"/>
    <x v="22"/>
    <x v="2"/>
    <x v="9"/>
    <s v="Belkin Standard 104 key USB Keyboard"/>
    <n v="102.13"/>
    <n v="7"/>
    <x v="1276"/>
    <x v="10"/>
    <x v="0"/>
  </r>
  <r>
    <n v="44511"/>
    <x v="126"/>
    <x v="22"/>
    <x v="0"/>
    <x v="3"/>
    <s v="Fellowes PB500 Electric Punch Plastic Comb Binding Machine with Manual Bind"/>
    <n v="2033.58"/>
    <n v="2"/>
    <x v="1277"/>
    <x v="10"/>
    <x v="0"/>
  </r>
  <r>
    <n v="44511"/>
    <x v="248"/>
    <x v="1"/>
    <x v="1"/>
    <x v="8"/>
    <s v="DAX Wood Document Frame."/>
    <n v="10.98"/>
    <n v="2"/>
    <x v="1278"/>
    <x v="10"/>
    <x v="0"/>
  </r>
  <r>
    <n v="44511"/>
    <x v="248"/>
    <x v="1"/>
    <x v="1"/>
    <x v="5"/>
    <s v="Global Commerce Series High-Back Swivel/Tilt Chairs"/>
    <n v="797.94"/>
    <n v="4"/>
    <x v="549"/>
    <x v="10"/>
    <x v="0"/>
  </r>
  <r>
    <n v="44511"/>
    <x v="61"/>
    <x v="20"/>
    <x v="0"/>
    <x v="0"/>
    <s v="Wirebound Message Books, Four 2 3/4&quot; x 5&quot; Forms per Page, 600 Sets per Book"/>
    <n v="46.35"/>
    <n v="5"/>
    <x v="1279"/>
    <x v="10"/>
    <x v="0"/>
  </r>
  <r>
    <n v="44511"/>
    <x v="61"/>
    <x v="20"/>
    <x v="0"/>
    <x v="0"/>
    <s v="Xerox 1882"/>
    <n v="223.92"/>
    <n v="4"/>
    <x v="1280"/>
    <x v="10"/>
    <x v="0"/>
  </r>
  <r>
    <n v="44511"/>
    <x v="61"/>
    <x v="20"/>
    <x v="0"/>
    <x v="14"/>
    <s v="Acme Value Line Scissors"/>
    <n v="7.3"/>
    <n v="2"/>
    <x v="939"/>
    <x v="10"/>
    <x v="0"/>
  </r>
  <r>
    <n v="44512"/>
    <x v="503"/>
    <x v="0"/>
    <x v="0"/>
    <x v="2"/>
    <s v="Personal Filing Tote with Lid, Black/Gray"/>
    <n v="49.63"/>
    <n v="4"/>
    <x v="1281"/>
    <x v="10"/>
    <x v="0"/>
  </r>
  <r>
    <n v="44512"/>
    <x v="409"/>
    <x v="3"/>
    <x v="0"/>
    <x v="0"/>
    <s v="Xerox 1974"/>
    <n v="11.96"/>
    <n v="2"/>
    <x v="679"/>
    <x v="10"/>
    <x v="0"/>
  </r>
  <r>
    <n v="44512"/>
    <x v="409"/>
    <x v="3"/>
    <x v="1"/>
    <x v="13"/>
    <s v="Bevis Boat-Shaped Conference Table"/>
    <n v="629.05999999999995"/>
    <n v="3"/>
    <x v="1282"/>
    <x v="10"/>
    <x v="0"/>
  </r>
  <r>
    <n v="44512"/>
    <x v="491"/>
    <x v="25"/>
    <x v="0"/>
    <x v="4"/>
    <s v="Newell 350"/>
    <n v="7.87"/>
    <n v="3"/>
    <x v="1170"/>
    <x v="10"/>
    <x v="0"/>
  </r>
  <r>
    <n v="44512"/>
    <x v="504"/>
    <x v="0"/>
    <x v="0"/>
    <x v="4"/>
    <s v="Avery Fluorescent Highlighter Four-Color Set"/>
    <n v="2.67"/>
    <n v="1"/>
    <x v="190"/>
    <x v="10"/>
    <x v="0"/>
  </r>
  <r>
    <n v="44512"/>
    <x v="504"/>
    <x v="0"/>
    <x v="0"/>
    <x v="14"/>
    <s v="Acco Side-Punched Conventional Columnar Pads"/>
    <n v="16.66"/>
    <n v="6"/>
    <x v="1283"/>
    <x v="10"/>
    <x v="0"/>
  </r>
  <r>
    <n v="44512"/>
    <x v="504"/>
    <x v="0"/>
    <x v="2"/>
    <x v="9"/>
    <s v="ImationÂ 16GB Mini TravelDrive USB 2.0Â Flash Drive"/>
    <n v="79.510000000000005"/>
    <n v="3"/>
    <x v="1284"/>
    <x v="10"/>
    <x v="0"/>
  </r>
  <r>
    <n v="44512"/>
    <x v="504"/>
    <x v="0"/>
    <x v="0"/>
    <x v="0"/>
    <s v="Xerox 216"/>
    <n v="36.29"/>
    <n v="7"/>
    <x v="1285"/>
    <x v="10"/>
    <x v="0"/>
  </r>
  <r>
    <n v="44512"/>
    <x v="504"/>
    <x v="0"/>
    <x v="1"/>
    <x v="11"/>
    <s v="Bestar Classic Bookcase"/>
    <n v="67.989999999999995"/>
    <n v="1"/>
    <x v="1286"/>
    <x v="10"/>
    <x v="0"/>
  </r>
  <r>
    <n v="44512"/>
    <x v="0"/>
    <x v="0"/>
    <x v="1"/>
    <x v="8"/>
    <s v="GE General Use Halogen Bulbs, 100 Watts, 1 Bulb per Pack"/>
    <n v="25.13"/>
    <n v="3"/>
    <x v="1287"/>
    <x v="10"/>
    <x v="0"/>
  </r>
  <r>
    <n v="44512"/>
    <x v="0"/>
    <x v="0"/>
    <x v="2"/>
    <x v="9"/>
    <s v="Logitech G602 Wireless Gaming Mouse"/>
    <n v="127.98"/>
    <n v="2"/>
    <x v="1288"/>
    <x v="10"/>
    <x v="0"/>
  </r>
  <r>
    <n v="44514"/>
    <x v="505"/>
    <x v="37"/>
    <x v="2"/>
    <x v="6"/>
    <s v="Polycom SoundPoint Pro SE-225 Corded phone"/>
    <n v="832.93"/>
    <n v="7"/>
    <x v="1289"/>
    <x v="10"/>
    <x v="0"/>
  </r>
  <r>
    <n v="44514"/>
    <x v="505"/>
    <x v="37"/>
    <x v="0"/>
    <x v="3"/>
    <s v="Acco 3-Hole Punch"/>
    <n v="43.8"/>
    <n v="10"/>
    <x v="452"/>
    <x v="10"/>
    <x v="0"/>
  </r>
  <r>
    <n v="44514"/>
    <x v="506"/>
    <x v="14"/>
    <x v="0"/>
    <x v="3"/>
    <s v="Storex DuraTech Recycled Plastic Frosted Binders"/>
    <n v="12.72"/>
    <n v="3"/>
    <x v="1290"/>
    <x v="10"/>
    <x v="0"/>
  </r>
  <r>
    <n v="44514"/>
    <x v="506"/>
    <x v="14"/>
    <x v="0"/>
    <x v="3"/>
    <s v="Avery Durable Binders"/>
    <n v="11.52"/>
    <n v="4"/>
    <x v="1291"/>
    <x v="10"/>
    <x v="0"/>
  </r>
  <r>
    <n v="44514"/>
    <x v="507"/>
    <x v="0"/>
    <x v="0"/>
    <x v="0"/>
    <s v="Xerox 221"/>
    <n v="20.74"/>
    <n v="4"/>
    <x v="416"/>
    <x v="10"/>
    <x v="0"/>
  </r>
  <r>
    <n v="44514"/>
    <x v="508"/>
    <x v="20"/>
    <x v="0"/>
    <x v="0"/>
    <s v="Adams Write n' Stick Phone Message Book, 11&quot; X 5 1/4&quot;, 200 Messages"/>
    <n v="11.36"/>
    <n v="2"/>
    <x v="1292"/>
    <x v="10"/>
    <x v="0"/>
  </r>
  <r>
    <n v="44514"/>
    <x v="508"/>
    <x v="20"/>
    <x v="1"/>
    <x v="5"/>
    <s v="Safco Chair Connectors, 6/Carton"/>
    <n v="69.260000000000005"/>
    <n v="2"/>
    <x v="1293"/>
    <x v="10"/>
    <x v="0"/>
  </r>
  <r>
    <n v="44514"/>
    <x v="393"/>
    <x v="6"/>
    <x v="0"/>
    <x v="0"/>
    <s v="Xerox 192"/>
    <n v="32.4"/>
    <n v="5"/>
    <x v="327"/>
    <x v="10"/>
    <x v="0"/>
  </r>
  <r>
    <n v="44515"/>
    <x v="509"/>
    <x v="15"/>
    <x v="0"/>
    <x v="4"/>
    <s v="Newell 310"/>
    <n v="4.22"/>
    <n v="3"/>
    <x v="1294"/>
    <x v="10"/>
    <x v="0"/>
  </r>
  <r>
    <n v="44515"/>
    <x v="509"/>
    <x v="15"/>
    <x v="0"/>
    <x v="12"/>
    <s v="1.7 Cubic Foot Compact &quot;Cube&quot; Office Refrigerators"/>
    <n v="333.06"/>
    <n v="2"/>
    <x v="1295"/>
    <x v="10"/>
    <x v="0"/>
  </r>
  <r>
    <n v="44515"/>
    <x v="509"/>
    <x v="15"/>
    <x v="0"/>
    <x v="0"/>
    <s v="Southworth 100% RÃ©sumÃ© Paper, 24lb."/>
    <n v="24.9"/>
    <n v="4"/>
    <x v="1296"/>
    <x v="10"/>
    <x v="0"/>
  </r>
  <r>
    <n v="44515"/>
    <x v="510"/>
    <x v="0"/>
    <x v="0"/>
    <x v="10"/>
    <s v="Ames Color-File Green Diamond Border X-ray Mailers"/>
    <n v="604.66"/>
    <n v="9"/>
    <x v="1297"/>
    <x v="10"/>
    <x v="0"/>
  </r>
  <r>
    <n v="44515"/>
    <x v="228"/>
    <x v="3"/>
    <x v="1"/>
    <x v="8"/>
    <s v="Eldon 100 Class Desk Accessories"/>
    <n v="10.11"/>
    <n v="3"/>
    <x v="167"/>
    <x v="10"/>
    <x v="0"/>
  </r>
  <r>
    <n v="44515"/>
    <x v="228"/>
    <x v="3"/>
    <x v="2"/>
    <x v="9"/>
    <s v="LogitechÂ P710e Mobile Speakerphone"/>
    <n v="772.47"/>
    <n v="3"/>
    <x v="1298"/>
    <x v="10"/>
    <x v="0"/>
  </r>
  <r>
    <n v="44515"/>
    <x v="228"/>
    <x v="3"/>
    <x v="0"/>
    <x v="14"/>
    <s v="Acme Box Cutter Scissors"/>
    <n v="20.46"/>
    <n v="2"/>
    <x v="1299"/>
    <x v="10"/>
    <x v="0"/>
  </r>
  <r>
    <n v="44515"/>
    <x v="134"/>
    <x v="3"/>
    <x v="0"/>
    <x v="14"/>
    <s v="Acme Value Line Scissors"/>
    <n v="10.95"/>
    <n v="3"/>
    <x v="1300"/>
    <x v="10"/>
    <x v="0"/>
  </r>
  <r>
    <n v="44516"/>
    <x v="511"/>
    <x v="42"/>
    <x v="2"/>
    <x v="6"/>
    <s v="Jawbone MINI JAMBOX Wireless Bluetooth Speaker"/>
    <n v="273.95999999999998"/>
    <n v="2"/>
    <x v="1301"/>
    <x v="10"/>
    <x v="0"/>
  </r>
  <r>
    <n v="44516"/>
    <x v="50"/>
    <x v="18"/>
    <x v="0"/>
    <x v="10"/>
    <s v="#10 White Business Envelopes,4 1/8 x 9 1/2"/>
    <n v="78.349999999999994"/>
    <n v="5"/>
    <x v="1008"/>
    <x v="10"/>
    <x v="0"/>
  </r>
  <r>
    <n v="44516"/>
    <x v="50"/>
    <x v="18"/>
    <x v="0"/>
    <x v="0"/>
    <s v="Xerox 1954"/>
    <n v="31.68"/>
    <n v="6"/>
    <x v="1302"/>
    <x v="10"/>
    <x v="0"/>
  </r>
  <r>
    <n v="44516"/>
    <x v="50"/>
    <x v="18"/>
    <x v="0"/>
    <x v="3"/>
    <s v="Wilson Jones Active Use Binders"/>
    <n v="29.12"/>
    <n v="4"/>
    <x v="1303"/>
    <x v="10"/>
    <x v="0"/>
  </r>
  <r>
    <n v="44516"/>
    <x v="50"/>
    <x v="18"/>
    <x v="0"/>
    <x v="2"/>
    <s v="File Shuttle II and Handi-File, Black"/>
    <n v="169.45"/>
    <n v="5"/>
    <x v="1017"/>
    <x v="10"/>
    <x v="0"/>
  </r>
  <r>
    <n v="44516"/>
    <x v="512"/>
    <x v="3"/>
    <x v="0"/>
    <x v="1"/>
    <s v="Permanent Self-Adhesive File Folder Labels for Typewriters by Universal"/>
    <n v="5.22"/>
    <n v="2"/>
    <x v="426"/>
    <x v="10"/>
    <x v="0"/>
  </r>
  <r>
    <n v="44516"/>
    <x v="513"/>
    <x v="1"/>
    <x v="1"/>
    <x v="5"/>
    <s v="SAFCO Optional Arm Kit for Workspace Cribbage Stacking Chair"/>
    <n v="37.299999999999997"/>
    <n v="2"/>
    <x v="1304"/>
    <x v="10"/>
    <x v="0"/>
  </r>
  <r>
    <n v="44516"/>
    <x v="514"/>
    <x v="3"/>
    <x v="2"/>
    <x v="6"/>
    <s v="OtterBox Commuter Series Case - Samsung Galaxy S4"/>
    <n v="79.97"/>
    <n v="4"/>
    <x v="1305"/>
    <x v="10"/>
    <x v="0"/>
  </r>
  <r>
    <n v="44516"/>
    <x v="514"/>
    <x v="3"/>
    <x v="1"/>
    <x v="11"/>
    <s v="Bush Andora Bookcase, Maple/Graphite Gray Finish"/>
    <n v="305.97000000000003"/>
    <n v="3"/>
    <x v="1306"/>
    <x v="10"/>
    <x v="0"/>
  </r>
  <r>
    <n v="44516"/>
    <x v="514"/>
    <x v="3"/>
    <x v="0"/>
    <x v="2"/>
    <s v="Space Solutions HD Industrial Steel Shelving."/>
    <n v="344.91"/>
    <n v="3"/>
    <x v="381"/>
    <x v="10"/>
    <x v="0"/>
  </r>
  <r>
    <n v="44517"/>
    <x v="114"/>
    <x v="28"/>
    <x v="1"/>
    <x v="5"/>
    <s v="Global Super Steno Chair"/>
    <n v="479.9"/>
    <n v="5"/>
    <x v="1307"/>
    <x v="10"/>
    <x v="0"/>
  </r>
  <r>
    <n v="44517"/>
    <x v="515"/>
    <x v="7"/>
    <x v="0"/>
    <x v="2"/>
    <s v="Smead Adjustable Mobile File Trolley with Lockable Top"/>
    <n v="2934.33"/>
    <n v="7"/>
    <x v="1308"/>
    <x v="10"/>
    <x v="0"/>
  </r>
  <r>
    <n v="44517"/>
    <x v="515"/>
    <x v="7"/>
    <x v="1"/>
    <x v="8"/>
    <s v="Eldon Econocleat Chair Mats for Low Pile Carpets"/>
    <n v="124.41"/>
    <n v="3"/>
    <x v="1309"/>
    <x v="10"/>
    <x v="0"/>
  </r>
  <r>
    <n v="44517"/>
    <x v="515"/>
    <x v="7"/>
    <x v="0"/>
    <x v="4"/>
    <s v="Deluxe Chalkboard Eraser Cleaner"/>
    <n v="57.75"/>
    <n v="5"/>
    <x v="1310"/>
    <x v="10"/>
    <x v="0"/>
  </r>
  <r>
    <n v="44517"/>
    <x v="93"/>
    <x v="3"/>
    <x v="2"/>
    <x v="9"/>
    <s v="Case Logic 2.4GHz Wireless Keyboard"/>
    <n v="99.98"/>
    <n v="2"/>
    <x v="697"/>
    <x v="10"/>
    <x v="0"/>
  </r>
  <r>
    <n v="44517"/>
    <x v="93"/>
    <x v="3"/>
    <x v="0"/>
    <x v="0"/>
    <s v="Xerox 1941"/>
    <n v="733.95"/>
    <n v="7"/>
    <x v="1311"/>
    <x v="10"/>
    <x v="0"/>
  </r>
  <r>
    <n v="44517"/>
    <x v="93"/>
    <x v="3"/>
    <x v="0"/>
    <x v="12"/>
    <s v="APC 7 Outlet Network SurgeArrest Surge Protector"/>
    <n v="241.44"/>
    <n v="3"/>
    <x v="1312"/>
    <x v="10"/>
    <x v="0"/>
  </r>
  <r>
    <n v="44517"/>
    <x v="516"/>
    <x v="2"/>
    <x v="0"/>
    <x v="0"/>
    <s v="Southworth 100% RÃ©sumÃ© Paper, 24lb."/>
    <n v="12.45"/>
    <n v="2"/>
    <x v="577"/>
    <x v="10"/>
    <x v="0"/>
  </r>
  <r>
    <n v="44517"/>
    <x v="516"/>
    <x v="2"/>
    <x v="1"/>
    <x v="5"/>
    <s v="Hon Every-Day Series Multi-Task Chairs"/>
    <n v="657.93"/>
    <n v="5"/>
    <x v="686"/>
    <x v="10"/>
    <x v="0"/>
  </r>
  <r>
    <n v="44517"/>
    <x v="92"/>
    <x v="0"/>
    <x v="0"/>
    <x v="10"/>
    <s v="Redi-Strip #10 Envelopes, 4 1/8 x 9 1/2"/>
    <n v="7.08"/>
    <n v="3"/>
    <x v="840"/>
    <x v="10"/>
    <x v="0"/>
  </r>
  <r>
    <n v="44517"/>
    <x v="217"/>
    <x v="20"/>
    <x v="0"/>
    <x v="3"/>
    <s v="GBC DocuBind TL300 Electric Binding System"/>
    <n v="2152.7800000000002"/>
    <n v="3"/>
    <x v="1313"/>
    <x v="10"/>
    <x v="0"/>
  </r>
  <r>
    <n v="44517"/>
    <x v="217"/>
    <x v="20"/>
    <x v="1"/>
    <x v="11"/>
    <s v="DMI Eclipse Executive Suite Bookcases"/>
    <n v="4007.84"/>
    <n v="10"/>
    <x v="1314"/>
    <x v="10"/>
    <x v="0"/>
  </r>
  <r>
    <n v="44517"/>
    <x v="215"/>
    <x v="20"/>
    <x v="0"/>
    <x v="0"/>
    <s v="Southworth 100% Cotton The Best Paper"/>
    <n v="34.44"/>
    <n v="3"/>
    <x v="184"/>
    <x v="10"/>
    <x v="0"/>
  </r>
  <r>
    <n v="44518"/>
    <x v="517"/>
    <x v="26"/>
    <x v="1"/>
    <x v="13"/>
    <s v="Bevis Rectangular Conference Tables"/>
    <n v="145.97999999999999"/>
    <n v="2"/>
    <x v="1315"/>
    <x v="10"/>
    <x v="0"/>
  </r>
  <r>
    <n v="44518"/>
    <x v="517"/>
    <x v="26"/>
    <x v="0"/>
    <x v="0"/>
    <s v="Geographics Note Cards, Blank, White, 8 1/2&quot; x 11&quot;"/>
    <n v="35.81"/>
    <n v="4"/>
    <x v="1316"/>
    <x v="10"/>
    <x v="0"/>
  </r>
  <r>
    <n v="44518"/>
    <x v="246"/>
    <x v="2"/>
    <x v="0"/>
    <x v="3"/>
    <s v="Fellowes PB200 Plastic Comb Binding Machine"/>
    <n v="51"/>
    <n v="1"/>
    <x v="1317"/>
    <x v="10"/>
    <x v="0"/>
  </r>
  <r>
    <n v="44518"/>
    <x v="246"/>
    <x v="2"/>
    <x v="0"/>
    <x v="2"/>
    <s v="Safco Industrial Wire Shelving"/>
    <n v="76.790000000000006"/>
    <n v="1"/>
    <x v="1318"/>
    <x v="10"/>
    <x v="0"/>
  </r>
  <r>
    <n v="44518"/>
    <x v="246"/>
    <x v="2"/>
    <x v="2"/>
    <x v="6"/>
    <s v="Motorola Droid Maxx"/>
    <n v="539.96"/>
    <n v="6"/>
    <x v="1205"/>
    <x v="10"/>
    <x v="0"/>
  </r>
  <r>
    <n v="44518"/>
    <x v="246"/>
    <x v="2"/>
    <x v="1"/>
    <x v="8"/>
    <s v="Eldon Executive Woodline II Desk Accessories, Mahogany"/>
    <n v="60.31"/>
    <n v="3"/>
    <x v="1319"/>
    <x v="10"/>
    <x v="0"/>
  </r>
  <r>
    <n v="44518"/>
    <x v="246"/>
    <x v="2"/>
    <x v="0"/>
    <x v="3"/>
    <s v="Peel &amp; Stick Add-On Corner Pockets"/>
    <n v="1.94"/>
    <n v="3"/>
    <x v="1320"/>
    <x v="10"/>
    <x v="0"/>
  </r>
  <r>
    <n v="44518"/>
    <x v="518"/>
    <x v="1"/>
    <x v="0"/>
    <x v="3"/>
    <s v="GBC White Gloss Covers, Plain Front"/>
    <n v="14.48"/>
    <n v="5"/>
    <x v="1321"/>
    <x v="10"/>
    <x v="0"/>
  </r>
  <r>
    <n v="44518"/>
    <x v="493"/>
    <x v="10"/>
    <x v="0"/>
    <x v="3"/>
    <s v="Pressboard Hanging Data Binders for Unburst Sheets"/>
    <n v="11.81"/>
    <n v="8"/>
    <x v="1322"/>
    <x v="10"/>
    <x v="0"/>
  </r>
  <r>
    <n v="44518"/>
    <x v="493"/>
    <x v="10"/>
    <x v="2"/>
    <x v="6"/>
    <s v="PNY Rapid USB Car Charger - Black"/>
    <n v="9.59"/>
    <n v="2"/>
    <x v="1323"/>
    <x v="10"/>
    <x v="0"/>
  </r>
  <r>
    <n v="44518"/>
    <x v="130"/>
    <x v="27"/>
    <x v="0"/>
    <x v="0"/>
    <s v="Adams &quot;While You Were Out&quot; Message Pads"/>
    <n v="21.98"/>
    <n v="7"/>
    <x v="385"/>
    <x v="10"/>
    <x v="0"/>
  </r>
  <r>
    <n v="44518"/>
    <x v="519"/>
    <x v="1"/>
    <x v="1"/>
    <x v="13"/>
    <s v="BPI Conference Tables"/>
    <n v="292.10000000000002"/>
    <n v="4"/>
    <x v="1324"/>
    <x v="10"/>
    <x v="0"/>
  </r>
  <r>
    <n v="44518"/>
    <x v="519"/>
    <x v="1"/>
    <x v="1"/>
    <x v="8"/>
    <s v="Dana Swing-Arm Lamps"/>
    <n v="8.5399999999999991"/>
    <n v="2"/>
    <x v="1013"/>
    <x v="10"/>
    <x v="0"/>
  </r>
  <r>
    <n v="44518"/>
    <x v="519"/>
    <x v="1"/>
    <x v="1"/>
    <x v="11"/>
    <s v="Hon 4-Shelf Metal Bookcases"/>
    <n v="424.12"/>
    <n v="6"/>
    <x v="1325"/>
    <x v="10"/>
    <x v="0"/>
  </r>
  <r>
    <n v="44518"/>
    <x v="519"/>
    <x v="1"/>
    <x v="0"/>
    <x v="3"/>
    <s v="Wilson Jones Turn Tabs Binder Tool for Ring Binders"/>
    <n v="2.89"/>
    <n v="3"/>
    <x v="1326"/>
    <x v="10"/>
    <x v="0"/>
  </r>
  <r>
    <n v="44518"/>
    <x v="519"/>
    <x v="1"/>
    <x v="0"/>
    <x v="2"/>
    <s v="Fellowes Stor/Drawer Steel Plus Storage Drawers"/>
    <n v="381.72"/>
    <n v="5"/>
    <x v="1327"/>
    <x v="10"/>
    <x v="0"/>
  </r>
  <r>
    <n v="44518"/>
    <x v="520"/>
    <x v="28"/>
    <x v="0"/>
    <x v="2"/>
    <s v="Fellowes Desktop Hanging File Manager"/>
    <n v="67.150000000000006"/>
    <n v="5"/>
    <x v="1051"/>
    <x v="10"/>
    <x v="0"/>
  </r>
  <r>
    <n v="44518"/>
    <x v="521"/>
    <x v="21"/>
    <x v="1"/>
    <x v="5"/>
    <s v="Office Star - Mesh Screen back chair with Vinyl seat"/>
    <n v="392.94"/>
    <n v="3"/>
    <x v="1328"/>
    <x v="10"/>
    <x v="0"/>
  </r>
  <r>
    <n v="44518"/>
    <x v="223"/>
    <x v="22"/>
    <x v="1"/>
    <x v="8"/>
    <s v="Howard Miller 13-1/2&quot; Diameter Rosebrook Wall Clock"/>
    <n v="137.54"/>
    <n v="2"/>
    <x v="1329"/>
    <x v="10"/>
    <x v="0"/>
  </r>
  <r>
    <n v="44518"/>
    <x v="223"/>
    <x v="22"/>
    <x v="1"/>
    <x v="13"/>
    <s v="Lesro Round Back Collection Coffee Table, End Table"/>
    <n v="730.2"/>
    <n v="4"/>
    <x v="1330"/>
    <x v="10"/>
    <x v="0"/>
  </r>
  <r>
    <n v="44519"/>
    <x v="508"/>
    <x v="8"/>
    <x v="2"/>
    <x v="6"/>
    <s v="AT&amp;T TR1909W"/>
    <n v="503.96"/>
    <n v="4"/>
    <x v="1331"/>
    <x v="10"/>
    <x v="0"/>
  </r>
  <r>
    <n v="44519"/>
    <x v="508"/>
    <x v="8"/>
    <x v="2"/>
    <x v="6"/>
    <s v="Nokia Lumia 521 (T-Mobile)"/>
    <n v="149.94999999999999"/>
    <n v="5"/>
    <x v="317"/>
    <x v="10"/>
    <x v="0"/>
  </r>
  <r>
    <n v="44519"/>
    <x v="508"/>
    <x v="8"/>
    <x v="2"/>
    <x v="9"/>
    <s v="HP Standard 104 key PS/2 Keyboard"/>
    <n v="29"/>
    <n v="2"/>
    <x v="1332"/>
    <x v="10"/>
    <x v="0"/>
  </r>
  <r>
    <n v="44519"/>
    <x v="522"/>
    <x v="20"/>
    <x v="2"/>
    <x v="6"/>
    <s v="Apple iPhone 5"/>
    <n v="4548.8100000000004"/>
    <n v="7"/>
    <x v="1333"/>
    <x v="10"/>
    <x v="0"/>
  </r>
  <r>
    <n v="44519"/>
    <x v="523"/>
    <x v="7"/>
    <x v="0"/>
    <x v="1"/>
    <s v="Avery 480"/>
    <n v="22.5"/>
    <n v="6"/>
    <x v="1334"/>
    <x v="10"/>
    <x v="0"/>
  </r>
  <r>
    <n v="44519"/>
    <x v="523"/>
    <x v="7"/>
    <x v="0"/>
    <x v="1"/>
    <s v="Avery 499"/>
    <n v="9.9600000000000009"/>
    <n v="2"/>
    <x v="290"/>
    <x v="10"/>
    <x v="0"/>
  </r>
  <r>
    <n v="44519"/>
    <x v="523"/>
    <x v="7"/>
    <x v="0"/>
    <x v="3"/>
    <s v="Premier Elliptical Ring Binder, Black"/>
    <n v="213.08"/>
    <n v="7"/>
    <x v="1335"/>
    <x v="10"/>
    <x v="0"/>
  </r>
  <r>
    <n v="44519"/>
    <x v="523"/>
    <x v="7"/>
    <x v="1"/>
    <x v="11"/>
    <s v="Sauder Inglewood Library Bookcases"/>
    <n v="1025.8800000000001"/>
    <n v="6"/>
    <x v="1336"/>
    <x v="10"/>
    <x v="0"/>
  </r>
  <r>
    <n v="44519"/>
    <x v="524"/>
    <x v="27"/>
    <x v="0"/>
    <x v="0"/>
    <s v="Xerox 1888"/>
    <n v="166.44"/>
    <n v="3"/>
    <x v="912"/>
    <x v="10"/>
    <x v="0"/>
  </r>
  <r>
    <n v="44519"/>
    <x v="131"/>
    <x v="2"/>
    <x v="2"/>
    <x v="9"/>
    <s v="Logitech G105 Gaming Keyboard"/>
    <n v="47.5"/>
    <n v="1"/>
    <x v="1337"/>
    <x v="10"/>
    <x v="0"/>
  </r>
  <r>
    <n v="44519"/>
    <x v="363"/>
    <x v="28"/>
    <x v="0"/>
    <x v="2"/>
    <s v="Recycled Steel Personal File for Standard File Folders"/>
    <n v="221.16"/>
    <n v="4"/>
    <x v="1338"/>
    <x v="10"/>
    <x v="0"/>
  </r>
  <r>
    <n v="44519"/>
    <x v="363"/>
    <x v="28"/>
    <x v="2"/>
    <x v="6"/>
    <s v="Jabra SPEAK 410"/>
    <n v="281.97000000000003"/>
    <n v="3"/>
    <x v="1339"/>
    <x v="10"/>
    <x v="0"/>
  </r>
  <r>
    <n v="44519"/>
    <x v="525"/>
    <x v="2"/>
    <x v="0"/>
    <x v="0"/>
    <s v="1/4 Fold Party Design Invitations &amp; White Envelopes, 24 8-1/2&quot; X 11&quot; Cards, 25 Env./Pack"/>
    <n v="5.88"/>
    <n v="1"/>
    <x v="1340"/>
    <x v="10"/>
    <x v="0"/>
  </r>
  <r>
    <n v="44520"/>
    <x v="121"/>
    <x v="20"/>
    <x v="0"/>
    <x v="10"/>
    <s v="Peel &amp; Seel Recycled Catalog Envelopes, Brown"/>
    <n v="34.74"/>
    <n v="3"/>
    <x v="1341"/>
    <x v="10"/>
    <x v="0"/>
  </r>
  <r>
    <n v="44520"/>
    <x v="121"/>
    <x v="20"/>
    <x v="2"/>
    <x v="6"/>
    <s v="Toshiba IPT2010-SD IPÂ Telephone"/>
    <n v="833.94"/>
    <n v="6"/>
    <x v="1342"/>
    <x v="10"/>
    <x v="0"/>
  </r>
  <r>
    <n v="44520"/>
    <x v="121"/>
    <x v="20"/>
    <x v="0"/>
    <x v="3"/>
    <s v="3M Organizer Strips"/>
    <n v="12.96"/>
    <n v="3"/>
    <x v="406"/>
    <x v="10"/>
    <x v="0"/>
  </r>
  <r>
    <n v="44520"/>
    <x v="121"/>
    <x v="20"/>
    <x v="0"/>
    <x v="0"/>
    <s v="Xerox 2000"/>
    <n v="25.92"/>
    <n v="4"/>
    <x v="496"/>
    <x v="10"/>
    <x v="0"/>
  </r>
  <r>
    <n v="44521"/>
    <x v="526"/>
    <x v="5"/>
    <x v="2"/>
    <x v="6"/>
    <s v="Logitech B530 USBÂ HeadsetÂ -Â headsetÂ - Full size, Binaural"/>
    <n v="36.99"/>
    <n v="1"/>
    <x v="425"/>
    <x v="10"/>
    <x v="0"/>
  </r>
  <r>
    <n v="44521"/>
    <x v="526"/>
    <x v="5"/>
    <x v="0"/>
    <x v="0"/>
    <s v="Multicolor Computer Printout Paper"/>
    <n v="629.1"/>
    <n v="6"/>
    <x v="1343"/>
    <x v="10"/>
    <x v="0"/>
  </r>
  <r>
    <n v="44521"/>
    <x v="526"/>
    <x v="5"/>
    <x v="0"/>
    <x v="2"/>
    <s v="Space Solutions Commercial Steel Shelving"/>
    <n v="193.95"/>
    <n v="3"/>
    <x v="420"/>
    <x v="10"/>
    <x v="0"/>
  </r>
  <r>
    <n v="44521"/>
    <x v="526"/>
    <x v="5"/>
    <x v="0"/>
    <x v="4"/>
    <s v="Newell 322"/>
    <n v="5.46"/>
    <n v="3"/>
    <x v="935"/>
    <x v="10"/>
    <x v="0"/>
  </r>
  <r>
    <n v="44521"/>
    <x v="523"/>
    <x v="3"/>
    <x v="0"/>
    <x v="0"/>
    <s v="Xerox 211"/>
    <n v="12.96"/>
    <n v="2"/>
    <x v="113"/>
    <x v="10"/>
    <x v="0"/>
  </r>
  <r>
    <n v="44521"/>
    <x v="527"/>
    <x v="0"/>
    <x v="0"/>
    <x v="10"/>
    <s v="Poly String Tie Envelopes"/>
    <n v="1.63"/>
    <n v="1"/>
    <x v="357"/>
    <x v="10"/>
    <x v="0"/>
  </r>
  <r>
    <n v="44521"/>
    <x v="527"/>
    <x v="0"/>
    <x v="2"/>
    <x v="6"/>
    <s v="RCA Visys Integrated PBX 8-Line Router"/>
    <n v="267.95999999999998"/>
    <n v="5"/>
    <x v="145"/>
    <x v="10"/>
    <x v="0"/>
  </r>
  <r>
    <n v="44521"/>
    <x v="528"/>
    <x v="3"/>
    <x v="0"/>
    <x v="0"/>
    <s v="Tops Wirebound Message Log Books"/>
    <n v="6.58"/>
    <n v="2"/>
    <x v="1344"/>
    <x v="10"/>
    <x v="0"/>
  </r>
  <r>
    <n v="44521"/>
    <x v="528"/>
    <x v="3"/>
    <x v="2"/>
    <x v="9"/>
    <s v="Kensington Expert Mouse Optical USB Trackball for PC or Mac"/>
    <n v="94.99"/>
    <n v="1"/>
    <x v="343"/>
    <x v="10"/>
    <x v="0"/>
  </r>
  <r>
    <n v="44522"/>
    <x v="141"/>
    <x v="4"/>
    <x v="0"/>
    <x v="10"/>
    <s v="Fashion Color Clasp Envelopes"/>
    <n v="16.23"/>
    <n v="3"/>
    <x v="740"/>
    <x v="10"/>
    <x v="0"/>
  </r>
  <r>
    <n v="44522"/>
    <x v="141"/>
    <x v="4"/>
    <x v="0"/>
    <x v="3"/>
    <s v="GBC ProClick Punch Binding System"/>
    <n v="319.89999999999998"/>
    <n v="5"/>
    <x v="1345"/>
    <x v="10"/>
    <x v="0"/>
  </r>
  <r>
    <n v="44522"/>
    <x v="141"/>
    <x v="4"/>
    <x v="0"/>
    <x v="10"/>
    <s v="Staple envelope"/>
    <n v="11.36"/>
    <n v="2"/>
    <x v="21"/>
    <x v="10"/>
    <x v="0"/>
  </r>
  <r>
    <n v="44522"/>
    <x v="141"/>
    <x v="4"/>
    <x v="0"/>
    <x v="12"/>
    <s v="Holmes Harmony HEPA Air Purifier for 17 x 20 Room"/>
    <n v="675.12"/>
    <n v="3"/>
    <x v="1346"/>
    <x v="10"/>
    <x v="0"/>
  </r>
  <r>
    <n v="44522"/>
    <x v="216"/>
    <x v="0"/>
    <x v="0"/>
    <x v="3"/>
    <s v="Wilson Jones Heavy-Duty Casebound Ring Binders with Metal Hinges"/>
    <n v="6.93"/>
    <n v="1"/>
    <x v="1347"/>
    <x v="10"/>
    <x v="0"/>
  </r>
  <r>
    <n v="44522"/>
    <x v="529"/>
    <x v="1"/>
    <x v="0"/>
    <x v="3"/>
    <s v="Avery Framed View Binder, EZD Ring (Locking), Navy, 1 1/2&quot;"/>
    <n v="9.98"/>
    <n v="5"/>
    <x v="1348"/>
    <x v="10"/>
    <x v="0"/>
  </r>
  <r>
    <n v="44522"/>
    <x v="530"/>
    <x v="3"/>
    <x v="0"/>
    <x v="0"/>
    <s v="Xerox 1895"/>
    <n v="53.82"/>
    <n v="9"/>
    <x v="1349"/>
    <x v="10"/>
    <x v="0"/>
  </r>
  <r>
    <n v="44522"/>
    <x v="357"/>
    <x v="4"/>
    <x v="0"/>
    <x v="0"/>
    <s v="Hammermill CopyPlus Copy Paper (20Lb. and 84 Bright)"/>
    <n v="9.9600000000000009"/>
    <n v="2"/>
    <x v="4"/>
    <x v="10"/>
    <x v="0"/>
  </r>
  <r>
    <n v="44523"/>
    <x v="42"/>
    <x v="3"/>
    <x v="1"/>
    <x v="5"/>
    <s v="Novimex Swivel Fabric Task Chair"/>
    <n v="603.91999999999996"/>
    <n v="5"/>
    <x v="1350"/>
    <x v="10"/>
    <x v="0"/>
  </r>
  <r>
    <n v="44523"/>
    <x v="42"/>
    <x v="3"/>
    <x v="0"/>
    <x v="10"/>
    <s v="Pastel Pink Envelopes"/>
    <n v="21.84"/>
    <n v="3"/>
    <x v="1248"/>
    <x v="10"/>
    <x v="0"/>
  </r>
  <r>
    <n v="44523"/>
    <x v="42"/>
    <x v="3"/>
    <x v="2"/>
    <x v="9"/>
    <s v="Belkin F8E887 USB Wired Ergonomic Keyboard"/>
    <n v="29.99"/>
    <n v="1"/>
    <x v="417"/>
    <x v="10"/>
    <x v="0"/>
  </r>
  <r>
    <n v="44523"/>
    <x v="42"/>
    <x v="3"/>
    <x v="1"/>
    <x v="5"/>
    <s v="Safco Contoured Stacking Chairs"/>
    <n v="381.44"/>
    <n v="2"/>
    <x v="1351"/>
    <x v="10"/>
    <x v="0"/>
  </r>
  <r>
    <n v="44523"/>
    <x v="341"/>
    <x v="0"/>
    <x v="0"/>
    <x v="1"/>
    <s v="Alphabetical Labels for Top Tab Filing"/>
    <n v="23.68"/>
    <n v="2"/>
    <x v="1352"/>
    <x v="10"/>
    <x v="0"/>
  </r>
  <r>
    <n v="44523"/>
    <x v="531"/>
    <x v="0"/>
    <x v="1"/>
    <x v="8"/>
    <s v="Staple-based wall hangings"/>
    <n v="6.37"/>
    <n v="2"/>
    <x v="1353"/>
    <x v="10"/>
    <x v="0"/>
  </r>
  <r>
    <n v="44523"/>
    <x v="531"/>
    <x v="0"/>
    <x v="0"/>
    <x v="12"/>
    <s v="Conquest 14 Commercial Heavy-Duty Upright Vacuum, Collection System, Accessory Kit"/>
    <n v="34.18"/>
    <n v="3"/>
    <x v="1354"/>
    <x v="10"/>
    <x v="0"/>
  </r>
  <r>
    <n v="44523"/>
    <x v="531"/>
    <x v="0"/>
    <x v="2"/>
    <x v="9"/>
    <s v="Maxell 4.7GB DVD-R 5/Pack"/>
    <n v="5.54"/>
    <n v="7"/>
    <x v="1355"/>
    <x v="10"/>
    <x v="0"/>
  </r>
  <r>
    <n v="44523"/>
    <x v="532"/>
    <x v="2"/>
    <x v="0"/>
    <x v="10"/>
    <s v="Quality Park Security Envelopes"/>
    <n v="62.81"/>
    <n v="3"/>
    <x v="1356"/>
    <x v="10"/>
    <x v="0"/>
  </r>
  <r>
    <n v="44523"/>
    <x v="533"/>
    <x v="12"/>
    <x v="0"/>
    <x v="10"/>
    <s v="Staple envelope"/>
    <n v="23.47"/>
    <n v="3"/>
    <x v="1357"/>
    <x v="10"/>
    <x v="0"/>
  </r>
  <r>
    <n v="44523"/>
    <x v="105"/>
    <x v="0"/>
    <x v="1"/>
    <x v="5"/>
    <s v="Office Star Flex Back Scooter Chair with White Frame"/>
    <n v="155.37"/>
    <n v="2"/>
    <x v="1358"/>
    <x v="10"/>
    <x v="0"/>
  </r>
  <r>
    <n v="44523"/>
    <x v="239"/>
    <x v="14"/>
    <x v="0"/>
    <x v="3"/>
    <s v="UniKeep View Case Binders"/>
    <n v="14.67"/>
    <n v="3"/>
    <x v="1359"/>
    <x v="10"/>
    <x v="0"/>
  </r>
  <r>
    <n v="44524"/>
    <x v="534"/>
    <x v="10"/>
    <x v="0"/>
    <x v="4"/>
    <s v="Crayola Colored Pencils"/>
    <n v="2.62"/>
    <n v="1"/>
    <x v="1360"/>
    <x v="10"/>
    <x v="0"/>
  </r>
  <r>
    <n v="44524"/>
    <x v="339"/>
    <x v="3"/>
    <x v="1"/>
    <x v="8"/>
    <s v="Eldon Delta Triangular Chair Mat, 52&quot; x 58&quot;, Clear"/>
    <n v="151.72"/>
    <n v="4"/>
    <x v="1361"/>
    <x v="10"/>
    <x v="0"/>
  </r>
  <r>
    <n v="44524"/>
    <x v="535"/>
    <x v="22"/>
    <x v="0"/>
    <x v="3"/>
    <s v="Peel &amp; Stick Add-On Corner Pockets"/>
    <n v="12.1"/>
    <n v="7"/>
    <x v="1362"/>
    <x v="10"/>
    <x v="0"/>
  </r>
  <r>
    <n v="44524"/>
    <x v="535"/>
    <x v="22"/>
    <x v="0"/>
    <x v="2"/>
    <s v="Carina 42&quot;Hx23 3/4&quot;W Media Storage Unit"/>
    <n v="485.88"/>
    <n v="6"/>
    <x v="584"/>
    <x v="10"/>
    <x v="0"/>
  </r>
  <r>
    <n v="44524"/>
    <x v="535"/>
    <x v="22"/>
    <x v="0"/>
    <x v="0"/>
    <s v="Xerox 220"/>
    <n v="25.92"/>
    <n v="4"/>
    <x v="496"/>
    <x v="10"/>
    <x v="0"/>
  </r>
  <r>
    <n v="44524"/>
    <x v="535"/>
    <x v="22"/>
    <x v="0"/>
    <x v="2"/>
    <s v="Recycled Data-Pak for Archival Bound Computer Printouts, 12-1/2 x 12-1/2 x 16"/>
    <n v="197.58"/>
    <n v="2"/>
    <x v="1363"/>
    <x v="10"/>
    <x v="0"/>
  </r>
  <r>
    <n v="44524"/>
    <x v="77"/>
    <x v="24"/>
    <x v="2"/>
    <x v="9"/>
    <s v="Memorex Mini Travel Drive 16 GB USB 2.0 Flash Drive"/>
    <n v="111.79"/>
    <n v="7"/>
    <x v="1364"/>
    <x v="10"/>
    <x v="0"/>
  </r>
  <r>
    <n v="44524"/>
    <x v="15"/>
    <x v="3"/>
    <x v="1"/>
    <x v="5"/>
    <s v="Global Leather &amp; Oak Executive Chair, Burgundy"/>
    <n v="120.71"/>
    <n v="1"/>
    <x v="1365"/>
    <x v="10"/>
    <x v="0"/>
  </r>
  <r>
    <n v="44524"/>
    <x v="168"/>
    <x v="10"/>
    <x v="2"/>
    <x v="6"/>
    <s v="Samsung Galaxy S III - 16GB - pebble blue (T-Mobile)"/>
    <n v="1049.97"/>
    <n v="5"/>
    <x v="1366"/>
    <x v="10"/>
    <x v="0"/>
  </r>
  <r>
    <n v="44524"/>
    <x v="168"/>
    <x v="10"/>
    <x v="1"/>
    <x v="5"/>
    <s v="Global Executive Mid-Back Manager's Chair"/>
    <n v="611.05999999999995"/>
    <n v="3"/>
    <x v="1367"/>
    <x v="10"/>
    <x v="0"/>
  </r>
  <r>
    <n v="44524"/>
    <x v="536"/>
    <x v="1"/>
    <x v="0"/>
    <x v="2"/>
    <s v="Fellowes Super Stor/Drawer Files"/>
    <n v="646.20000000000005"/>
    <n v="5"/>
    <x v="1368"/>
    <x v="10"/>
    <x v="0"/>
  </r>
  <r>
    <n v="44524"/>
    <x v="433"/>
    <x v="10"/>
    <x v="1"/>
    <x v="8"/>
    <s v="Eldon 200 Class Desk Accessories, Burgundy"/>
    <n v="35.17"/>
    <n v="7"/>
    <x v="1369"/>
    <x v="10"/>
    <x v="0"/>
  </r>
  <r>
    <n v="44524"/>
    <x v="433"/>
    <x v="10"/>
    <x v="2"/>
    <x v="6"/>
    <s v="Samsung Galaxy S4"/>
    <n v="1502.38"/>
    <n v="4"/>
    <x v="1370"/>
    <x v="10"/>
    <x v="0"/>
  </r>
  <r>
    <n v="44524"/>
    <x v="537"/>
    <x v="14"/>
    <x v="0"/>
    <x v="4"/>
    <s v="Hunt PowerHouse Electric Pencil Sharpener, Blue"/>
    <n v="151.91999999999999"/>
    <n v="4"/>
    <x v="1371"/>
    <x v="10"/>
    <x v="0"/>
  </r>
  <r>
    <n v="44524"/>
    <x v="537"/>
    <x v="14"/>
    <x v="0"/>
    <x v="1"/>
    <s v="Dot Matrix Printer Tape Reel Labels, White, 5000/Box"/>
    <n v="196.62"/>
    <n v="2"/>
    <x v="1372"/>
    <x v="10"/>
    <x v="0"/>
  </r>
  <r>
    <n v="44524"/>
    <x v="537"/>
    <x v="14"/>
    <x v="0"/>
    <x v="0"/>
    <s v="Xerox 1885"/>
    <n v="144.12"/>
    <n v="3"/>
    <x v="1373"/>
    <x v="10"/>
    <x v="0"/>
  </r>
  <r>
    <n v="44524"/>
    <x v="537"/>
    <x v="14"/>
    <x v="0"/>
    <x v="0"/>
    <s v="Adams Telephone Message Book w/Frequently-Called Numbers Space, 400 Messages per Book"/>
    <n v="15.96"/>
    <n v="2"/>
    <x v="1374"/>
    <x v="10"/>
    <x v="0"/>
  </r>
  <r>
    <n v="44524"/>
    <x v="187"/>
    <x v="6"/>
    <x v="1"/>
    <x v="8"/>
    <s v="Executive Impressions 14&quot;"/>
    <n v="111.15"/>
    <n v="5"/>
    <x v="1375"/>
    <x v="10"/>
    <x v="0"/>
  </r>
  <r>
    <n v="44524"/>
    <x v="538"/>
    <x v="10"/>
    <x v="0"/>
    <x v="3"/>
    <s v="Acco Expandable Hanging Binders"/>
    <n v="5.74"/>
    <n v="3"/>
    <x v="1376"/>
    <x v="10"/>
    <x v="0"/>
  </r>
  <r>
    <n v="44525"/>
    <x v="230"/>
    <x v="3"/>
    <x v="0"/>
    <x v="12"/>
    <s v="Belkin F9G930V10-GRY 9 Outlet Surge"/>
    <n v="320.88"/>
    <n v="6"/>
    <x v="1377"/>
    <x v="10"/>
    <x v="0"/>
  </r>
  <r>
    <n v="44525"/>
    <x v="230"/>
    <x v="3"/>
    <x v="1"/>
    <x v="8"/>
    <s v="Staple-based wall hangings"/>
    <n v="23.88"/>
    <n v="3"/>
    <x v="448"/>
    <x v="10"/>
    <x v="0"/>
  </r>
  <r>
    <n v="44525"/>
    <x v="230"/>
    <x v="3"/>
    <x v="0"/>
    <x v="0"/>
    <s v="Wirebound Message Books, Four 2 3/4 x 5 White Forms per Page"/>
    <n v="26.76"/>
    <n v="4"/>
    <x v="1378"/>
    <x v="10"/>
    <x v="0"/>
  </r>
  <r>
    <n v="44525"/>
    <x v="212"/>
    <x v="0"/>
    <x v="2"/>
    <x v="9"/>
    <s v="KeyTronicÂ KT400U2 -Â KeyboardÂ - Black"/>
    <n v="24.67"/>
    <n v="3"/>
    <x v="62"/>
    <x v="10"/>
    <x v="0"/>
  </r>
  <r>
    <n v="44525"/>
    <x v="212"/>
    <x v="0"/>
    <x v="0"/>
    <x v="1"/>
    <s v="Avery 520"/>
    <n v="2.52"/>
    <n v="1"/>
    <x v="1155"/>
    <x v="10"/>
    <x v="0"/>
  </r>
  <r>
    <n v="44525"/>
    <x v="212"/>
    <x v="0"/>
    <x v="1"/>
    <x v="13"/>
    <s v="Bretford CR4500 Series Slim Rectangular Table"/>
    <n v="1218.74"/>
    <n v="5"/>
    <x v="1379"/>
    <x v="10"/>
    <x v="0"/>
  </r>
  <r>
    <n v="44525"/>
    <x v="212"/>
    <x v="0"/>
    <x v="0"/>
    <x v="1"/>
    <s v="Avery 52"/>
    <n v="5.9"/>
    <n v="2"/>
    <x v="1380"/>
    <x v="10"/>
    <x v="0"/>
  </r>
  <r>
    <n v="44525"/>
    <x v="212"/>
    <x v="0"/>
    <x v="0"/>
    <x v="0"/>
    <s v="Southworth 25% Cotton Granite Paper &amp; Envelopes"/>
    <n v="15.7"/>
    <n v="3"/>
    <x v="1194"/>
    <x v="10"/>
    <x v="0"/>
  </r>
  <r>
    <n v="44525"/>
    <x v="212"/>
    <x v="0"/>
    <x v="1"/>
    <x v="8"/>
    <s v="Master Caster Door Stop, Brown"/>
    <n v="6.1"/>
    <n v="3"/>
    <x v="1381"/>
    <x v="10"/>
    <x v="0"/>
  </r>
  <r>
    <n v="44525"/>
    <x v="539"/>
    <x v="43"/>
    <x v="1"/>
    <x v="8"/>
    <s v="DAX Black Cherry Wood-Tone Poster Frame"/>
    <n v="52.96"/>
    <n v="2"/>
    <x v="874"/>
    <x v="10"/>
    <x v="0"/>
  </r>
  <r>
    <n v="44525"/>
    <x v="109"/>
    <x v="20"/>
    <x v="0"/>
    <x v="2"/>
    <s v="Tennsco Snap-Together Open Shelving Units, Starter Sets and Add-On Units"/>
    <n v="1117.92"/>
    <n v="4"/>
    <x v="1382"/>
    <x v="10"/>
    <x v="0"/>
  </r>
  <r>
    <n v="44525"/>
    <x v="109"/>
    <x v="20"/>
    <x v="1"/>
    <x v="11"/>
    <s v="Sauder Camden County Collection Libraries, Planked Cherry Finish"/>
    <n v="275.95"/>
    <n v="3"/>
    <x v="1383"/>
    <x v="10"/>
    <x v="0"/>
  </r>
  <r>
    <n v="44525"/>
    <x v="145"/>
    <x v="11"/>
    <x v="0"/>
    <x v="4"/>
    <s v="Dixon Ticonderoga Core-Lock Colored Pencils"/>
    <n v="51.02"/>
    <n v="7"/>
    <x v="1384"/>
    <x v="10"/>
    <x v="0"/>
  </r>
  <r>
    <n v="44525"/>
    <x v="77"/>
    <x v="3"/>
    <x v="2"/>
    <x v="6"/>
    <s v="Logitech Mobile Speakerphone P710e -Â speaker phone"/>
    <n v="539.91999999999996"/>
    <n v="5"/>
    <x v="1385"/>
    <x v="10"/>
    <x v="0"/>
  </r>
  <r>
    <n v="44525"/>
    <x v="77"/>
    <x v="3"/>
    <x v="1"/>
    <x v="5"/>
    <s v="Hon GuestStacker Chair"/>
    <n v="725.34"/>
    <n v="4"/>
    <x v="1386"/>
    <x v="10"/>
    <x v="0"/>
  </r>
  <r>
    <n v="44525"/>
    <x v="77"/>
    <x v="3"/>
    <x v="0"/>
    <x v="4"/>
    <s v="Staples in misc. colors"/>
    <n v="7.44"/>
    <n v="3"/>
    <x v="100"/>
    <x v="10"/>
    <x v="0"/>
  </r>
  <r>
    <n v="44526"/>
    <x v="264"/>
    <x v="0"/>
    <x v="1"/>
    <x v="8"/>
    <s v="Eldon Expressions Desk Accessory, Wood Pencil Holder, Oak"/>
    <n v="19.3"/>
    <n v="5"/>
    <x v="1387"/>
    <x v="10"/>
    <x v="0"/>
  </r>
  <r>
    <n v="44526"/>
    <x v="262"/>
    <x v="11"/>
    <x v="0"/>
    <x v="0"/>
    <s v="Xerox 2"/>
    <n v="15.55"/>
    <n v="3"/>
    <x v="192"/>
    <x v="10"/>
    <x v="0"/>
  </r>
  <r>
    <n v="44526"/>
    <x v="262"/>
    <x v="11"/>
    <x v="0"/>
    <x v="2"/>
    <s v="Office Impressions Heavy Duty Welded Shelving &amp; Multimedia Storage Drawers"/>
    <n v="669.08"/>
    <n v="5"/>
    <x v="1388"/>
    <x v="10"/>
    <x v="0"/>
  </r>
  <r>
    <n v="44526"/>
    <x v="262"/>
    <x v="11"/>
    <x v="2"/>
    <x v="6"/>
    <s v="Jawbone MINI JAMBOX Wireless Bluetooth Speaker"/>
    <n v="438.34"/>
    <n v="4"/>
    <x v="1389"/>
    <x v="10"/>
    <x v="0"/>
  </r>
  <r>
    <n v="44526"/>
    <x v="471"/>
    <x v="3"/>
    <x v="0"/>
    <x v="0"/>
    <s v="Xerox 1893"/>
    <n v="81.98"/>
    <n v="2"/>
    <x v="1045"/>
    <x v="10"/>
    <x v="0"/>
  </r>
  <r>
    <n v="44526"/>
    <x v="462"/>
    <x v="20"/>
    <x v="2"/>
    <x v="6"/>
    <s v="ClearSounds CSC500 Amplified Spirit Phone Corded phone"/>
    <n v="279.95999999999998"/>
    <n v="4"/>
    <x v="1390"/>
    <x v="10"/>
    <x v="0"/>
  </r>
  <r>
    <n v="44526"/>
    <x v="462"/>
    <x v="20"/>
    <x v="0"/>
    <x v="3"/>
    <s v="Acco PRESSTEX Data Binder with Storage Hooks, Dark Blue, 14 7/8&quot; X 11&quot;"/>
    <n v="12.91"/>
    <n v="3"/>
    <x v="658"/>
    <x v="10"/>
    <x v="0"/>
  </r>
  <r>
    <n v="44526"/>
    <x v="462"/>
    <x v="20"/>
    <x v="0"/>
    <x v="3"/>
    <s v="Pressboard Data Binders by Wilson Jones"/>
    <n v="17.09"/>
    <n v="4"/>
    <x v="169"/>
    <x v="10"/>
    <x v="0"/>
  </r>
  <r>
    <n v="44526"/>
    <x v="462"/>
    <x v="20"/>
    <x v="0"/>
    <x v="1"/>
    <s v="Avery Address/Shipping Labels for Typewriters, 4&quot; x 2&quot;"/>
    <n v="93.15"/>
    <n v="9"/>
    <x v="1391"/>
    <x v="10"/>
    <x v="0"/>
  </r>
  <r>
    <n v="44526"/>
    <x v="462"/>
    <x v="20"/>
    <x v="0"/>
    <x v="1"/>
    <s v="Avery File Folder Labels"/>
    <n v="11.52"/>
    <n v="4"/>
    <x v="1291"/>
    <x v="10"/>
    <x v="0"/>
  </r>
  <r>
    <n v="44526"/>
    <x v="465"/>
    <x v="3"/>
    <x v="0"/>
    <x v="3"/>
    <s v="Wilson Jones Easy Flow II Sheet Lifters"/>
    <n v="4.32"/>
    <n v="3"/>
    <x v="367"/>
    <x v="10"/>
    <x v="0"/>
  </r>
  <r>
    <n v="44526"/>
    <x v="465"/>
    <x v="3"/>
    <x v="0"/>
    <x v="0"/>
    <s v="Xerox 1970"/>
    <n v="14.94"/>
    <n v="3"/>
    <x v="162"/>
    <x v="10"/>
    <x v="0"/>
  </r>
  <r>
    <n v="44526"/>
    <x v="465"/>
    <x v="3"/>
    <x v="0"/>
    <x v="12"/>
    <s v="Fellowes Mighty 8 Compact Surge Protector"/>
    <n v="40.54"/>
    <n v="2"/>
    <x v="1392"/>
    <x v="10"/>
    <x v="0"/>
  </r>
  <r>
    <n v="44526"/>
    <x v="465"/>
    <x v="3"/>
    <x v="0"/>
    <x v="3"/>
    <s v="SpineVue Locking Slant-D Ring Binders by Cardinal"/>
    <n v="7.31"/>
    <n v="1"/>
    <x v="1393"/>
    <x v="10"/>
    <x v="0"/>
  </r>
  <r>
    <n v="44527"/>
    <x v="282"/>
    <x v="20"/>
    <x v="0"/>
    <x v="7"/>
    <s v="Staples"/>
    <n v="3.76"/>
    <n v="2"/>
    <x v="1394"/>
    <x v="10"/>
    <x v="0"/>
  </r>
  <r>
    <n v="44527"/>
    <x v="4"/>
    <x v="20"/>
    <x v="1"/>
    <x v="8"/>
    <s v="Eldon Radial Chair Mat for Low to Medium Pile Carpets"/>
    <n v="199.9"/>
    <n v="5"/>
    <x v="1395"/>
    <x v="10"/>
    <x v="0"/>
  </r>
  <r>
    <n v="44528"/>
    <x v="540"/>
    <x v="33"/>
    <x v="0"/>
    <x v="4"/>
    <s v="Newell 331"/>
    <n v="14.67"/>
    <n v="3"/>
    <x v="393"/>
    <x v="10"/>
    <x v="0"/>
  </r>
  <r>
    <n v="44528"/>
    <x v="541"/>
    <x v="20"/>
    <x v="0"/>
    <x v="3"/>
    <s v="GBC Standard Recycled Report Covers, Clear Plastic Sheets"/>
    <n v="17.25"/>
    <n v="2"/>
    <x v="84"/>
    <x v="10"/>
    <x v="0"/>
  </r>
  <r>
    <n v="44528"/>
    <x v="10"/>
    <x v="9"/>
    <x v="1"/>
    <x v="8"/>
    <s v="Eldon Cleatmat Plus Chair Mats for High Pile Carpets"/>
    <n v="397.6"/>
    <n v="5"/>
    <x v="1396"/>
    <x v="10"/>
    <x v="0"/>
  </r>
  <r>
    <n v="44528"/>
    <x v="10"/>
    <x v="9"/>
    <x v="0"/>
    <x v="0"/>
    <s v="Xerox 1933"/>
    <n v="85.96"/>
    <n v="7"/>
    <x v="1397"/>
    <x v="10"/>
    <x v="0"/>
  </r>
  <r>
    <n v="44528"/>
    <x v="10"/>
    <x v="9"/>
    <x v="0"/>
    <x v="4"/>
    <s v="Crayola Colored Pencils"/>
    <n v="13.12"/>
    <n v="4"/>
    <x v="1398"/>
    <x v="10"/>
    <x v="0"/>
  </r>
  <r>
    <n v="44528"/>
    <x v="10"/>
    <x v="9"/>
    <x v="0"/>
    <x v="3"/>
    <s v="GBC Twin Loop Wire Binding Elements, 9/16&quot; Spine, Black"/>
    <n v="45.66"/>
    <n v="3"/>
    <x v="1399"/>
    <x v="10"/>
    <x v="0"/>
  </r>
  <r>
    <n v="44528"/>
    <x v="347"/>
    <x v="3"/>
    <x v="0"/>
    <x v="14"/>
    <s v="Staple remover"/>
    <n v="7.36"/>
    <n v="2"/>
    <x v="461"/>
    <x v="10"/>
    <x v="0"/>
  </r>
  <r>
    <n v="44528"/>
    <x v="347"/>
    <x v="3"/>
    <x v="0"/>
    <x v="1"/>
    <s v="Avery 489"/>
    <n v="41.4"/>
    <n v="4"/>
    <x v="1400"/>
    <x v="10"/>
    <x v="0"/>
  </r>
  <r>
    <n v="44528"/>
    <x v="347"/>
    <x v="3"/>
    <x v="1"/>
    <x v="11"/>
    <s v="Sauder Camden County Barrister Bookcase, Planked Cherry Finish"/>
    <n v="411.33"/>
    <n v="4"/>
    <x v="1401"/>
    <x v="10"/>
    <x v="0"/>
  </r>
  <r>
    <n v="44528"/>
    <x v="320"/>
    <x v="3"/>
    <x v="0"/>
    <x v="12"/>
    <s v="Acco 6 Outlet Guardian Premium Surge Suppressor"/>
    <n v="43.68"/>
    <n v="3"/>
    <x v="1402"/>
    <x v="10"/>
    <x v="0"/>
  </r>
  <r>
    <n v="44528"/>
    <x v="320"/>
    <x v="3"/>
    <x v="2"/>
    <x v="9"/>
    <s v="Micropad Numeric Keypads"/>
    <n v="139.93"/>
    <n v="7"/>
    <x v="1403"/>
    <x v="10"/>
    <x v="0"/>
  </r>
  <r>
    <n v="44528"/>
    <x v="542"/>
    <x v="0"/>
    <x v="2"/>
    <x v="15"/>
    <s v="StarTech.com 10/100 VDSL2 Ethernet Extender Kit"/>
    <n v="998.85"/>
    <n v="5"/>
    <x v="1404"/>
    <x v="10"/>
    <x v="0"/>
  </r>
  <r>
    <n v="44528"/>
    <x v="543"/>
    <x v="18"/>
    <x v="0"/>
    <x v="10"/>
    <s v="Laser &amp; Ink Jet Business Envelopes"/>
    <n v="64.02"/>
    <n v="6"/>
    <x v="1405"/>
    <x v="10"/>
    <x v="0"/>
  </r>
  <r>
    <n v="44529"/>
    <x v="261"/>
    <x v="2"/>
    <x v="0"/>
    <x v="1"/>
    <s v="Avery 488"/>
    <n v="5.04"/>
    <n v="2"/>
    <x v="1406"/>
    <x v="10"/>
    <x v="0"/>
  </r>
  <r>
    <n v="44529"/>
    <x v="544"/>
    <x v="1"/>
    <x v="0"/>
    <x v="7"/>
    <s v="Staples"/>
    <n v="12.62"/>
    <n v="2"/>
    <x v="383"/>
    <x v="10"/>
    <x v="0"/>
  </r>
  <r>
    <n v="44529"/>
    <x v="545"/>
    <x v="3"/>
    <x v="2"/>
    <x v="6"/>
    <s v="Wilson SignalBoost 841262 DB PRO Amplifier Kit"/>
    <n v="575.91999999999996"/>
    <n v="2"/>
    <x v="611"/>
    <x v="10"/>
    <x v="0"/>
  </r>
  <r>
    <n v="44529"/>
    <x v="545"/>
    <x v="3"/>
    <x v="0"/>
    <x v="7"/>
    <s v="Staples"/>
    <n v="30.4"/>
    <n v="5"/>
    <x v="1407"/>
    <x v="10"/>
    <x v="0"/>
  </r>
  <r>
    <n v="44529"/>
    <x v="300"/>
    <x v="20"/>
    <x v="0"/>
    <x v="1"/>
    <s v="Avery 485"/>
    <n v="25.06"/>
    <n v="2"/>
    <x v="1408"/>
    <x v="10"/>
    <x v="0"/>
  </r>
  <r>
    <n v="44530"/>
    <x v="506"/>
    <x v="20"/>
    <x v="0"/>
    <x v="10"/>
    <s v="Park Ridge Embossed Executive Business Envelopes"/>
    <n v="62.28"/>
    <n v="4"/>
    <x v="1409"/>
    <x v="10"/>
    <x v="0"/>
  </r>
  <r>
    <n v="44530"/>
    <x v="211"/>
    <x v="16"/>
    <x v="0"/>
    <x v="3"/>
    <s v="Avery Triangle Shaped Sheet Lifters, Black, 2/Pack"/>
    <n v="6.64"/>
    <n v="9"/>
    <x v="1410"/>
    <x v="10"/>
    <x v="0"/>
  </r>
  <r>
    <n v="44530"/>
    <x v="300"/>
    <x v="12"/>
    <x v="0"/>
    <x v="14"/>
    <s v="Acme Office Executive Series Stainless Steel Trimmers"/>
    <n v="47.99"/>
    <n v="7"/>
    <x v="333"/>
    <x v="10"/>
    <x v="0"/>
  </r>
  <r>
    <n v="44530"/>
    <x v="300"/>
    <x v="12"/>
    <x v="2"/>
    <x v="9"/>
    <s v="Memorex 25GB 6X Branded Blu-Ray Recordable Disc, 30/Pack"/>
    <n v="102.24"/>
    <n v="4"/>
    <x v="1411"/>
    <x v="10"/>
    <x v="0"/>
  </r>
  <r>
    <n v="44531"/>
    <x v="218"/>
    <x v="21"/>
    <x v="1"/>
    <x v="5"/>
    <s v="Office Star - Professional Matrix Back Chair with 2-to-1 Synchro Tilt and Mesh Fabric Seat"/>
    <n v="2807.84"/>
    <n v="8"/>
    <x v="1412"/>
    <x v="11"/>
    <x v="0"/>
  </r>
  <r>
    <n v="44531"/>
    <x v="218"/>
    <x v="21"/>
    <x v="0"/>
    <x v="4"/>
    <s v="Hunt BOSTON Vista Battery-Operated Pencil Sharpener, Black"/>
    <n v="46.64"/>
    <n v="4"/>
    <x v="457"/>
    <x v="11"/>
    <x v="0"/>
  </r>
  <r>
    <n v="44531"/>
    <x v="546"/>
    <x v="3"/>
    <x v="1"/>
    <x v="8"/>
    <s v="Floodlight Indoor Halogen Bulbs, 1 Bulb per Pack, 60 Watts"/>
    <n v="58.2"/>
    <n v="3"/>
    <x v="1413"/>
    <x v="11"/>
    <x v="0"/>
  </r>
  <r>
    <n v="44531"/>
    <x v="263"/>
    <x v="25"/>
    <x v="2"/>
    <x v="6"/>
    <s v="BlueLounge Milo Smartphone Stand, White/Metallic"/>
    <n v="95.97"/>
    <n v="4"/>
    <x v="665"/>
    <x v="11"/>
    <x v="0"/>
  </r>
  <r>
    <n v="44531"/>
    <x v="519"/>
    <x v="10"/>
    <x v="2"/>
    <x v="16"/>
    <s v="Sharp 1540cs Digital Laser Copier"/>
    <n v="659.99"/>
    <n v="2"/>
    <x v="1414"/>
    <x v="11"/>
    <x v="0"/>
  </r>
  <r>
    <n v="44531"/>
    <x v="519"/>
    <x v="10"/>
    <x v="1"/>
    <x v="8"/>
    <s v="Master Caster Door Stop, Brown"/>
    <n v="8.1300000000000008"/>
    <n v="2"/>
    <x v="1415"/>
    <x v="11"/>
    <x v="0"/>
  </r>
  <r>
    <n v="44531"/>
    <x v="519"/>
    <x v="10"/>
    <x v="0"/>
    <x v="0"/>
    <s v="Xerox 214"/>
    <n v="36.29"/>
    <n v="7"/>
    <x v="1285"/>
    <x v="11"/>
    <x v="0"/>
  </r>
  <r>
    <n v="44531"/>
    <x v="519"/>
    <x v="10"/>
    <x v="1"/>
    <x v="5"/>
    <s v="Hon Multipurpose Stacking Arm Chairs"/>
    <n v="909.72"/>
    <n v="6"/>
    <x v="1416"/>
    <x v="11"/>
    <x v="0"/>
  </r>
  <r>
    <n v="44531"/>
    <x v="91"/>
    <x v="0"/>
    <x v="1"/>
    <x v="5"/>
    <s v="Hon 4070 Series Pagoda Round Back Stacking Chairs"/>
    <n v="674.06"/>
    <n v="3"/>
    <x v="1417"/>
    <x v="11"/>
    <x v="0"/>
  </r>
  <r>
    <n v="44531"/>
    <x v="266"/>
    <x v="32"/>
    <x v="2"/>
    <x v="6"/>
    <s v="Cisco IPÂ PhoneÂ 7961G VoIPÂ phoneÂ - Dark gray"/>
    <n v="271.89999999999998"/>
    <n v="2"/>
    <x v="1418"/>
    <x v="11"/>
    <x v="0"/>
  </r>
  <r>
    <n v="44531"/>
    <x v="266"/>
    <x v="32"/>
    <x v="1"/>
    <x v="8"/>
    <s v="Linden 10&quot; Round Wall Clock, Black"/>
    <n v="45.84"/>
    <n v="3"/>
    <x v="1419"/>
    <x v="11"/>
    <x v="0"/>
  </r>
  <r>
    <n v="44531"/>
    <x v="266"/>
    <x v="32"/>
    <x v="1"/>
    <x v="8"/>
    <s v="Ultra Door Push Plate"/>
    <n v="9.82"/>
    <n v="2"/>
    <x v="167"/>
    <x v="11"/>
    <x v="0"/>
  </r>
  <r>
    <n v="44532"/>
    <x v="547"/>
    <x v="20"/>
    <x v="2"/>
    <x v="9"/>
    <s v="Logitech 910-002974 M325 Wireless Mouse for Web Scrolling"/>
    <n v="119.96"/>
    <n v="4"/>
    <x v="396"/>
    <x v="11"/>
    <x v="0"/>
  </r>
  <r>
    <n v="44532"/>
    <x v="547"/>
    <x v="20"/>
    <x v="1"/>
    <x v="11"/>
    <s v="O'Sullivan Living Dimensions 5-Shelf Bookcases"/>
    <n v="883.92"/>
    <n v="5"/>
    <x v="1420"/>
    <x v="11"/>
    <x v="0"/>
  </r>
  <r>
    <n v="44532"/>
    <x v="547"/>
    <x v="20"/>
    <x v="0"/>
    <x v="3"/>
    <s v="Angle-D Binders with Locking Rings, Label Holders"/>
    <n v="46.72"/>
    <n v="8"/>
    <x v="1421"/>
    <x v="11"/>
    <x v="0"/>
  </r>
  <r>
    <n v="44532"/>
    <x v="548"/>
    <x v="0"/>
    <x v="1"/>
    <x v="8"/>
    <s v="Deflect-o SuperTray Unbreakable Stackable Tray, Letter, Black"/>
    <n v="58.36"/>
    <n v="5"/>
    <x v="1422"/>
    <x v="11"/>
    <x v="0"/>
  </r>
  <r>
    <n v="44532"/>
    <x v="548"/>
    <x v="0"/>
    <x v="0"/>
    <x v="4"/>
    <s v="Newell 343"/>
    <n v="16.46"/>
    <n v="7"/>
    <x v="437"/>
    <x v="11"/>
    <x v="0"/>
  </r>
  <r>
    <n v="44532"/>
    <x v="548"/>
    <x v="0"/>
    <x v="1"/>
    <x v="8"/>
    <s v="12-1/2 Diameter Round Wall Clock"/>
    <n v="39.96"/>
    <n v="5"/>
    <x v="1423"/>
    <x v="11"/>
    <x v="0"/>
  </r>
  <r>
    <n v="44532"/>
    <x v="549"/>
    <x v="10"/>
    <x v="2"/>
    <x v="9"/>
    <s v="ImationÂ 32GB Pocket Pro USB 3.0Â Flash DriveÂ - 32 GB - Black - 1 P ..."/>
    <n v="119.8"/>
    <n v="5"/>
    <x v="1424"/>
    <x v="11"/>
    <x v="0"/>
  </r>
  <r>
    <n v="44532"/>
    <x v="550"/>
    <x v="1"/>
    <x v="0"/>
    <x v="12"/>
    <s v="Staple holder"/>
    <n v="2.39"/>
    <n v="1"/>
    <x v="1425"/>
    <x v="11"/>
    <x v="0"/>
  </r>
  <r>
    <n v="44532"/>
    <x v="402"/>
    <x v="36"/>
    <x v="1"/>
    <x v="8"/>
    <s v="DAX Metal Frame, Desktop, Stepped-Edge"/>
    <n v="60.72"/>
    <n v="3"/>
    <x v="1426"/>
    <x v="11"/>
    <x v="0"/>
  </r>
  <r>
    <n v="44532"/>
    <x v="402"/>
    <x v="36"/>
    <x v="0"/>
    <x v="0"/>
    <s v="Xerox 1942"/>
    <n v="146.82"/>
    <n v="3"/>
    <x v="1427"/>
    <x v="11"/>
    <x v="0"/>
  </r>
  <r>
    <n v="44532"/>
    <x v="402"/>
    <x v="36"/>
    <x v="1"/>
    <x v="5"/>
    <s v="Global Stack Chair with Arms, Black"/>
    <n v="239.84"/>
    <n v="8"/>
    <x v="1428"/>
    <x v="11"/>
    <x v="0"/>
  </r>
  <r>
    <n v="44532"/>
    <x v="402"/>
    <x v="36"/>
    <x v="0"/>
    <x v="1"/>
    <s v="Avery 509"/>
    <n v="15.66"/>
    <n v="6"/>
    <x v="85"/>
    <x v="11"/>
    <x v="0"/>
  </r>
  <r>
    <n v="44532"/>
    <x v="551"/>
    <x v="4"/>
    <x v="2"/>
    <x v="9"/>
    <s v="Kingston Digital DataTraveler 8GB USB 2.0"/>
    <n v="5.95"/>
    <n v="1"/>
    <x v="308"/>
    <x v="11"/>
    <x v="0"/>
  </r>
  <r>
    <n v="44532"/>
    <x v="551"/>
    <x v="4"/>
    <x v="0"/>
    <x v="0"/>
    <s v="RSVP Cards &amp; Envelopes, Blank White, 8-1/2&quot; X 11&quot;, 24 Cards/25 Envelopes/Set"/>
    <n v="15.24"/>
    <n v="3"/>
    <x v="928"/>
    <x v="11"/>
    <x v="0"/>
  </r>
  <r>
    <n v="44533"/>
    <x v="534"/>
    <x v="39"/>
    <x v="2"/>
    <x v="6"/>
    <s v="Jabra Supreme Plus Driver EditionÂ Headset"/>
    <n v="479.96"/>
    <n v="4"/>
    <x v="1429"/>
    <x v="11"/>
    <x v="0"/>
  </r>
  <r>
    <n v="44533"/>
    <x v="543"/>
    <x v="24"/>
    <x v="0"/>
    <x v="0"/>
    <s v="Xerox 214"/>
    <n v="25.92"/>
    <n v="4"/>
    <x v="496"/>
    <x v="11"/>
    <x v="0"/>
  </r>
  <r>
    <n v="44534"/>
    <x v="552"/>
    <x v="20"/>
    <x v="2"/>
    <x v="6"/>
    <s v="Plantronics Voyager Pro HD - Bluetooth Headset"/>
    <n v="129.97999999999999"/>
    <n v="2"/>
    <x v="1430"/>
    <x v="11"/>
    <x v="0"/>
  </r>
  <r>
    <n v="44535"/>
    <x v="14"/>
    <x v="12"/>
    <x v="0"/>
    <x v="4"/>
    <s v="Hunt BOSTON Model 1606 High-Volume Electric Pencil Sharpener, Beige"/>
    <n v="1113.02"/>
    <n v="8"/>
    <x v="1431"/>
    <x v="11"/>
    <x v="0"/>
  </r>
  <r>
    <n v="44535"/>
    <x v="14"/>
    <x v="12"/>
    <x v="2"/>
    <x v="6"/>
    <s v="netTALK DUO VoIP Telephone Service"/>
    <n v="167.97"/>
    <n v="4"/>
    <x v="1432"/>
    <x v="11"/>
    <x v="0"/>
  </r>
  <r>
    <n v="44535"/>
    <x v="553"/>
    <x v="1"/>
    <x v="0"/>
    <x v="2"/>
    <s v="Tenex File Box, Personal Filing Tote with Lid, Black"/>
    <n v="24.82"/>
    <n v="2"/>
    <x v="1433"/>
    <x v="11"/>
    <x v="0"/>
  </r>
  <r>
    <n v="44535"/>
    <x v="553"/>
    <x v="1"/>
    <x v="2"/>
    <x v="9"/>
    <s v="ImationÂ Secure+ Hardware Encrypted USB 2.0Â Flash Drive; 16GB"/>
    <n v="408.74"/>
    <n v="7"/>
    <x v="1434"/>
    <x v="11"/>
    <x v="0"/>
  </r>
  <r>
    <n v="44535"/>
    <x v="554"/>
    <x v="6"/>
    <x v="0"/>
    <x v="2"/>
    <s v="Recycled Eldon Regeneration Jumbo File"/>
    <n v="24.56"/>
    <n v="2"/>
    <x v="1435"/>
    <x v="11"/>
    <x v="0"/>
  </r>
  <r>
    <n v="44535"/>
    <x v="555"/>
    <x v="2"/>
    <x v="0"/>
    <x v="10"/>
    <s v="Cameo Buff Policy Envelopes"/>
    <n v="348.49"/>
    <n v="7"/>
    <x v="1436"/>
    <x v="11"/>
    <x v="0"/>
  </r>
  <r>
    <n v="44535"/>
    <x v="555"/>
    <x v="2"/>
    <x v="0"/>
    <x v="2"/>
    <s v="Fellowes Bankers Box Recycled Super Stor/Drawer"/>
    <n v="172.74"/>
    <n v="4"/>
    <x v="1437"/>
    <x v="11"/>
    <x v="0"/>
  </r>
  <r>
    <n v="44535"/>
    <x v="400"/>
    <x v="10"/>
    <x v="0"/>
    <x v="0"/>
    <s v="Xerox 1893"/>
    <n v="98.38"/>
    <n v="3"/>
    <x v="1171"/>
    <x v="11"/>
    <x v="0"/>
  </r>
  <r>
    <n v="44535"/>
    <x v="400"/>
    <x v="10"/>
    <x v="0"/>
    <x v="3"/>
    <s v="Large Capacity Hanging Post Binders"/>
    <n v="29.94"/>
    <n v="4"/>
    <x v="1438"/>
    <x v="11"/>
    <x v="0"/>
  </r>
  <r>
    <n v="44535"/>
    <x v="400"/>
    <x v="10"/>
    <x v="0"/>
    <x v="0"/>
    <s v="Black Print Carbonless 8 1/2&quot; x 8 1/4&quot; Rapid Memo Book"/>
    <n v="17.47"/>
    <n v="3"/>
    <x v="123"/>
    <x v="11"/>
    <x v="0"/>
  </r>
  <r>
    <n v="44535"/>
    <x v="400"/>
    <x v="10"/>
    <x v="2"/>
    <x v="6"/>
    <s v="Lunatik TT5L-002 Taktik Strike Impact Protection System for iPhone 5"/>
    <n v="36.74"/>
    <n v="1"/>
    <x v="1439"/>
    <x v="11"/>
    <x v="0"/>
  </r>
  <r>
    <n v="44535"/>
    <x v="400"/>
    <x v="10"/>
    <x v="2"/>
    <x v="6"/>
    <s v="Panasonic KX T7736-B Digital phone"/>
    <n v="179.94"/>
    <n v="2"/>
    <x v="1440"/>
    <x v="11"/>
    <x v="0"/>
  </r>
  <r>
    <n v="44535"/>
    <x v="556"/>
    <x v="3"/>
    <x v="0"/>
    <x v="4"/>
    <s v="Prang Colored Pencils"/>
    <n v="26.46"/>
    <n v="9"/>
    <x v="1441"/>
    <x v="11"/>
    <x v="0"/>
  </r>
  <r>
    <n v="44535"/>
    <x v="556"/>
    <x v="3"/>
    <x v="0"/>
    <x v="0"/>
    <s v="Xerox 1933"/>
    <n v="49.12"/>
    <n v="4"/>
    <x v="641"/>
    <x v="11"/>
    <x v="0"/>
  </r>
  <r>
    <n v="44535"/>
    <x v="556"/>
    <x v="3"/>
    <x v="0"/>
    <x v="7"/>
    <s v="Advantus Plastic Paper Clips"/>
    <n v="15"/>
    <n v="3"/>
    <x v="85"/>
    <x v="11"/>
    <x v="0"/>
  </r>
  <r>
    <n v="44535"/>
    <x v="557"/>
    <x v="3"/>
    <x v="0"/>
    <x v="12"/>
    <s v="Fellowes 8 Outlet Superior Workstation Surge Protector"/>
    <n v="250.26"/>
    <n v="6"/>
    <x v="1442"/>
    <x v="11"/>
    <x v="0"/>
  </r>
  <r>
    <n v="44536"/>
    <x v="321"/>
    <x v="0"/>
    <x v="1"/>
    <x v="8"/>
    <s v="12-1/2 Diameter Round Wall Clock"/>
    <n v="23.98"/>
    <n v="3"/>
    <x v="1443"/>
    <x v="11"/>
    <x v="0"/>
  </r>
  <r>
    <n v="44536"/>
    <x v="361"/>
    <x v="11"/>
    <x v="0"/>
    <x v="2"/>
    <s v="File Shuttle I and Handi-File"/>
    <n v="53.42"/>
    <n v="3"/>
    <x v="1444"/>
    <x v="11"/>
    <x v="0"/>
  </r>
  <r>
    <n v="44536"/>
    <x v="361"/>
    <x v="11"/>
    <x v="1"/>
    <x v="13"/>
    <s v="Chromcraft Bull-Nose Wood 48&quot; x 96&quot; Rectangular Conference Tables"/>
    <n v="275.49"/>
    <n v="1"/>
    <x v="1445"/>
    <x v="11"/>
    <x v="0"/>
  </r>
  <r>
    <n v="44536"/>
    <x v="328"/>
    <x v="1"/>
    <x v="0"/>
    <x v="12"/>
    <s v="Bionaire 99.97% HEPA Air Cleaner"/>
    <n v="14.02"/>
    <n v="4"/>
    <x v="1446"/>
    <x v="11"/>
    <x v="0"/>
  </r>
  <r>
    <n v="44536"/>
    <x v="328"/>
    <x v="1"/>
    <x v="1"/>
    <x v="13"/>
    <s v="KI Adjustable-Height Table"/>
    <n v="214.95"/>
    <n v="5"/>
    <x v="1447"/>
    <x v="11"/>
    <x v="0"/>
  </r>
  <r>
    <n v="44536"/>
    <x v="328"/>
    <x v="1"/>
    <x v="2"/>
    <x v="6"/>
    <s v="Shocksock Galaxy S4 Armband"/>
    <n v="35.04"/>
    <n v="4"/>
    <x v="1448"/>
    <x v="11"/>
    <x v="0"/>
  </r>
  <r>
    <n v="44536"/>
    <x v="328"/>
    <x v="1"/>
    <x v="1"/>
    <x v="8"/>
    <s v="Nu-Dell Float Frame 11 x 14 1/2"/>
    <n v="10.78"/>
    <n v="3"/>
    <x v="915"/>
    <x v="11"/>
    <x v="0"/>
  </r>
  <r>
    <n v="44536"/>
    <x v="328"/>
    <x v="1"/>
    <x v="0"/>
    <x v="3"/>
    <s v="Ibico Covers for Plastic or Wire Binding Elements"/>
    <n v="4.5999999999999996"/>
    <n v="2"/>
    <x v="1449"/>
    <x v="11"/>
    <x v="0"/>
  </r>
  <r>
    <n v="44536"/>
    <x v="328"/>
    <x v="1"/>
    <x v="0"/>
    <x v="2"/>
    <s v="Rogers Deluxe File Chest"/>
    <n v="35.17"/>
    <n v="2"/>
    <x v="1450"/>
    <x v="11"/>
    <x v="0"/>
  </r>
  <r>
    <n v="44536"/>
    <x v="138"/>
    <x v="3"/>
    <x v="0"/>
    <x v="2"/>
    <s v="Standard Rollaway File with Lock"/>
    <n v="1261.33"/>
    <n v="7"/>
    <x v="1451"/>
    <x v="11"/>
    <x v="0"/>
  </r>
  <r>
    <n v="44536"/>
    <x v="497"/>
    <x v="15"/>
    <x v="0"/>
    <x v="0"/>
    <s v="Xerox 1909"/>
    <n v="42.21"/>
    <n v="2"/>
    <x v="1452"/>
    <x v="11"/>
    <x v="0"/>
  </r>
  <r>
    <n v="44537"/>
    <x v="487"/>
    <x v="6"/>
    <x v="0"/>
    <x v="0"/>
    <s v="Xerox 1909"/>
    <n v="105.52"/>
    <n v="4"/>
    <x v="1453"/>
    <x v="11"/>
    <x v="0"/>
  </r>
  <r>
    <n v="44537"/>
    <x v="558"/>
    <x v="3"/>
    <x v="0"/>
    <x v="4"/>
    <s v="Newell 32"/>
    <n v="8.64"/>
    <n v="3"/>
    <x v="1454"/>
    <x v="11"/>
    <x v="0"/>
  </r>
  <r>
    <n v="44537"/>
    <x v="326"/>
    <x v="22"/>
    <x v="0"/>
    <x v="2"/>
    <s v="Advantus Rolling Drawer Organizers"/>
    <n v="269.36"/>
    <n v="7"/>
    <x v="1455"/>
    <x v="11"/>
    <x v="0"/>
  </r>
  <r>
    <n v="44537"/>
    <x v="200"/>
    <x v="3"/>
    <x v="0"/>
    <x v="0"/>
    <s v="Green Bar Computer Printout Paper"/>
    <n v="164.88"/>
    <n v="3"/>
    <x v="1456"/>
    <x v="11"/>
    <x v="0"/>
  </r>
  <r>
    <n v="44538"/>
    <x v="559"/>
    <x v="0"/>
    <x v="0"/>
    <x v="2"/>
    <s v="Companion Letter/Legal File, Black"/>
    <n v="60.42"/>
    <n v="2"/>
    <x v="84"/>
    <x v="11"/>
    <x v="0"/>
  </r>
  <r>
    <n v="44538"/>
    <x v="560"/>
    <x v="11"/>
    <x v="0"/>
    <x v="1"/>
    <s v="Avery 499"/>
    <n v="27.89"/>
    <n v="7"/>
    <x v="1246"/>
    <x v="11"/>
    <x v="0"/>
  </r>
  <r>
    <n v="44538"/>
    <x v="560"/>
    <x v="11"/>
    <x v="0"/>
    <x v="3"/>
    <s v="Acco PRESSTEX Data Binder with Storage Hooks, Dark Blue, 9 1/2&quot; X 11&quot;"/>
    <n v="6.46"/>
    <n v="4"/>
    <x v="1457"/>
    <x v="11"/>
    <x v="0"/>
  </r>
  <r>
    <n v="44538"/>
    <x v="560"/>
    <x v="11"/>
    <x v="2"/>
    <x v="6"/>
    <s v="Samsung HM1900 Bluetooth Headset"/>
    <n v="52.68"/>
    <n v="3"/>
    <x v="1458"/>
    <x v="11"/>
    <x v="0"/>
  </r>
  <r>
    <n v="44538"/>
    <x v="560"/>
    <x v="11"/>
    <x v="0"/>
    <x v="14"/>
    <s v="Acco Side-Punched Conventional Columnar Pads"/>
    <n v="13.88"/>
    <n v="5"/>
    <x v="1459"/>
    <x v="11"/>
    <x v="0"/>
  </r>
  <r>
    <n v="44538"/>
    <x v="560"/>
    <x v="11"/>
    <x v="2"/>
    <x v="9"/>
    <s v="SanDisk Ultra 16 GB MicroSDHC Class 10 Memory Card"/>
    <n v="103.92"/>
    <n v="10"/>
    <x v="1460"/>
    <x v="11"/>
    <x v="0"/>
  </r>
  <r>
    <n v="44538"/>
    <x v="560"/>
    <x v="11"/>
    <x v="0"/>
    <x v="1"/>
    <s v="Avery 492"/>
    <n v="11.52"/>
    <n v="5"/>
    <x v="1048"/>
    <x v="11"/>
    <x v="0"/>
  </r>
  <r>
    <n v="44538"/>
    <x v="560"/>
    <x v="11"/>
    <x v="0"/>
    <x v="0"/>
    <s v="Xerox 232"/>
    <n v="10.37"/>
    <n v="2"/>
    <x v="316"/>
    <x v="11"/>
    <x v="0"/>
  </r>
  <r>
    <n v="44538"/>
    <x v="560"/>
    <x v="11"/>
    <x v="0"/>
    <x v="2"/>
    <s v="Adjustable Personal File Tote"/>
    <n v="39.07"/>
    <n v="3"/>
    <x v="1461"/>
    <x v="11"/>
    <x v="0"/>
  </r>
  <r>
    <n v="44538"/>
    <x v="232"/>
    <x v="22"/>
    <x v="0"/>
    <x v="0"/>
    <s v="Xerox 1964"/>
    <n v="45.68"/>
    <n v="2"/>
    <x v="1462"/>
    <x v="11"/>
    <x v="0"/>
  </r>
  <r>
    <n v="44538"/>
    <x v="232"/>
    <x v="22"/>
    <x v="1"/>
    <x v="5"/>
    <s v="DMI Arturo Collection Mission-style Design Wood Chair"/>
    <n v="603.91999999999996"/>
    <n v="5"/>
    <x v="1044"/>
    <x v="11"/>
    <x v="0"/>
  </r>
  <r>
    <n v="44538"/>
    <x v="561"/>
    <x v="3"/>
    <x v="1"/>
    <x v="8"/>
    <s v="Luxo Economy Swing Arm Lamp"/>
    <n v="39.880000000000003"/>
    <n v="2"/>
    <x v="166"/>
    <x v="11"/>
    <x v="0"/>
  </r>
  <r>
    <n v="44538"/>
    <x v="561"/>
    <x v="3"/>
    <x v="1"/>
    <x v="8"/>
    <s v="DAX Natural Wood-Tone Poster Frame"/>
    <n v="79.44"/>
    <n v="3"/>
    <x v="34"/>
    <x v="11"/>
    <x v="0"/>
  </r>
  <r>
    <n v="44539"/>
    <x v="38"/>
    <x v="3"/>
    <x v="0"/>
    <x v="0"/>
    <s v="Xerox 1987"/>
    <n v="34.68"/>
    <n v="6"/>
    <x v="1463"/>
    <x v="11"/>
    <x v="0"/>
  </r>
  <r>
    <n v="44539"/>
    <x v="441"/>
    <x v="12"/>
    <x v="0"/>
    <x v="2"/>
    <s v="Acco Perma 3000 Stacking Storage Drawers"/>
    <n v="100.7"/>
    <n v="6"/>
    <x v="1464"/>
    <x v="11"/>
    <x v="0"/>
  </r>
  <r>
    <n v="44539"/>
    <x v="379"/>
    <x v="0"/>
    <x v="0"/>
    <x v="0"/>
    <s v="Xerox 195"/>
    <n v="10.69"/>
    <n v="2"/>
    <x v="1048"/>
    <x v="11"/>
    <x v="0"/>
  </r>
  <r>
    <n v="44539"/>
    <x v="379"/>
    <x v="0"/>
    <x v="0"/>
    <x v="2"/>
    <s v="Recycled Data-Pak for Archival Bound Computer Printouts, 12-1/2 x 12-1/2 x 16"/>
    <n v="237.1"/>
    <n v="3"/>
    <x v="1465"/>
    <x v="11"/>
    <x v="0"/>
  </r>
  <r>
    <n v="44539"/>
    <x v="93"/>
    <x v="1"/>
    <x v="0"/>
    <x v="0"/>
    <s v="Astroparche Fine Business Paper"/>
    <n v="8.4499999999999993"/>
    <n v="2"/>
    <x v="1057"/>
    <x v="11"/>
    <x v="0"/>
  </r>
  <r>
    <n v="44539"/>
    <x v="93"/>
    <x v="1"/>
    <x v="0"/>
    <x v="12"/>
    <s v="Tripp Lite TLP810NET Broadband Surge for Modem/Fax"/>
    <n v="20.39"/>
    <n v="2"/>
    <x v="1466"/>
    <x v="11"/>
    <x v="0"/>
  </r>
  <r>
    <n v="44539"/>
    <x v="558"/>
    <x v="2"/>
    <x v="0"/>
    <x v="10"/>
    <s v="Globe Weis Peel &amp; Seel First Class Envelopes"/>
    <n v="30.67"/>
    <n v="3"/>
    <x v="852"/>
    <x v="11"/>
    <x v="0"/>
  </r>
  <r>
    <n v="44539"/>
    <x v="558"/>
    <x v="2"/>
    <x v="2"/>
    <x v="16"/>
    <s v="Canon PC940 Copier"/>
    <n v="1079.98"/>
    <n v="4"/>
    <x v="370"/>
    <x v="11"/>
    <x v="0"/>
  </r>
  <r>
    <n v="44540"/>
    <x v="533"/>
    <x v="20"/>
    <x v="0"/>
    <x v="0"/>
    <s v="Adams Write n' Stick Phone Message Book, 11&quot; X 5 1/4&quot;, 200 Messages"/>
    <n v="11.36"/>
    <n v="2"/>
    <x v="1292"/>
    <x v="11"/>
    <x v="0"/>
  </r>
  <r>
    <n v="44540"/>
    <x v="533"/>
    <x v="20"/>
    <x v="0"/>
    <x v="3"/>
    <s v="Poly Designer Cover &amp; Back"/>
    <n v="106.34"/>
    <n v="7"/>
    <x v="1467"/>
    <x v="11"/>
    <x v="0"/>
  </r>
  <r>
    <n v="44540"/>
    <x v="562"/>
    <x v="34"/>
    <x v="1"/>
    <x v="5"/>
    <s v="Office Star - Contemporary Swivel Chair with Padded Adjustable Arms and Flex Back"/>
    <n v="338.35"/>
    <n v="3"/>
    <x v="1362"/>
    <x v="11"/>
    <x v="0"/>
  </r>
  <r>
    <n v="44540"/>
    <x v="562"/>
    <x v="34"/>
    <x v="0"/>
    <x v="0"/>
    <s v="Xerox 1931"/>
    <n v="25.92"/>
    <n v="4"/>
    <x v="496"/>
    <x v="11"/>
    <x v="0"/>
  </r>
  <r>
    <n v="44540"/>
    <x v="562"/>
    <x v="34"/>
    <x v="0"/>
    <x v="0"/>
    <s v="Xerox Color Copier Paper, 11&quot; x 17&quot;, Ream"/>
    <n v="91.36"/>
    <n v="4"/>
    <x v="1468"/>
    <x v="11"/>
    <x v="0"/>
  </r>
  <r>
    <n v="44542"/>
    <x v="377"/>
    <x v="3"/>
    <x v="1"/>
    <x v="13"/>
    <s v="Hon Non-Folding Utility Tables"/>
    <n v="764.69"/>
    <n v="6"/>
    <x v="1469"/>
    <x v="11"/>
    <x v="0"/>
  </r>
  <r>
    <n v="44542"/>
    <x v="377"/>
    <x v="3"/>
    <x v="1"/>
    <x v="13"/>
    <s v="Bretford Rectangular Conference Table Tops"/>
    <n v="3610.85"/>
    <n v="12"/>
    <x v="1470"/>
    <x v="11"/>
    <x v="0"/>
  </r>
  <r>
    <n v="44542"/>
    <x v="377"/>
    <x v="3"/>
    <x v="1"/>
    <x v="11"/>
    <s v="Bestar Classic Bookcase"/>
    <n v="254.97"/>
    <n v="3"/>
    <x v="1471"/>
    <x v="11"/>
    <x v="0"/>
  </r>
  <r>
    <n v="44542"/>
    <x v="494"/>
    <x v="3"/>
    <x v="1"/>
    <x v="8"/>
    <s v="Eldon Advantage Chair Mats for Low to Medium Pile Carpets"/>
    <n v="43.31"/>
    <n v="1"/>
    <x v="1398"/>
    <x v="11"/>
    <x v="0"/>
  </r>
  <r>
    <n v="44542"/>
    <x v="563"/>
    <x v="0"/>
    <x v="0"/>
    <x v="3"/>
    <s v="GBC DocuBind 300 Electric Binding Machine"/>
    <n v="210.39"/>
    <n v="2"/>
    <x v="1472"/>
    <x v="11"/>
    <x v="0"/>
  </r>
  <r>
    <n v="44542"/>
    <x v="564"/>
    <x v="3"/>
    <x v="1"/>
    <x v="8"/>
    <s v="Eldon Image Series Desk Accessories, Burgundy"/>
    <n v="12.54"/>
    <n v="3"/>
    <x v="1473"/>
    <x v="11"/>
    <x v="0"/>
  </r>
  <r>
    <n v="44542"/>
    <x v="564"/>
    <x v="3"/>
    <x v="0"/>
    <x v="2"/>
    <s v="Woodgrain Magazine Files by Perma"/>
    <n v="8.94"/>
    <n v="3"/>
    <x v="748"/>
    <x v="11"/>
    <x v="0"/>
  </r>
  <r>
    <n v="44542"/>
    <x v="564"/>
    <x v="3"/>
    <x v="1"/>
    <x v="8"/>
    <s v="Longer-Life Soft White Bulbs"/>
    <n v="9.24"/>
    <n v="3"/>
    <x v="823"/>
    <x v="11"/>
    <x v="0"/>
  </r>
  <r>
    <n v="44542"/>
    <x v="300"/>
    <x v="16"/>
    <x v="0"/>
    <x v="10"/>
    <s v="Staple envelope"/>
    <n v="23.47"/>
    <n v="3"/>
    <x v="1474"/>
    <x v="11"/>
    <x v="0"/>
  </r>
  <r>
    <n v="44543"/>
    <x v="375"/>
    <x v="3"/>
    <x v="0"/>
    <x v="0"/>
    <s v="White GlueTop Scratch Pads"/>
    <n v="90.24"/>
    <n v="6"/>
    <x v="1475"/>
    <x v="11"/>
    <x v="0"/>
  </r>
  <r>
    <n v="44543"/>
    <x v="565"/>
    <x v="0"/>
    <x v="0"/>
    <x v="14"/>
    <s v="Acme Value Line Scissors"/>
    <n v="2.92"/>
    <n v="1"/>
    <x v="1476"/>
    <x v="11"/>
    <x v="0"/>
  </r>
  <r>
    <n v="44543"/>
    <x v="227"/>
    <x v="1"/>
    <x v="1"/>
    <x v="8"/>
    <s v="Howard Miller 12-3/4 Diameter Accuwave DS  Wall Clock"/>
    <n v="94.43"/>
    <n v="3"/>
    <x v="1477"/>
    <x v="11"/>
    <x v="0"/>
  </r>
  <r>
    <n v="44543"/>
    <x v="211"/>
    <x v="12"/>
    <x v="1"/>
    <x v="8"/>
    <s v="Electrix Incandescent Magnifying Lamp, Black"/>
    <n v="87.96"/>
    <n v="3"/>
    <x v="472"/>
    <x v="11"/>
    <x v="0"/>
  </r>
  <r>
    <n v="44543"/>
    <x v="211"/>
    <x v="12"/>
    <x v="0"/>
    <x v="3"/>
    <s v="Cardinal Slant-D Ring Binder, Heavy Gauge Vinyl"/>
    <n v="5.21"/>
    <n v="2"/>
    <x v="1478"/>
    <x v="11"/>
    <x v="0"/>
  </r>
  <r>
    <n v="44543"/>
    <x v="566"/>
    <x v="5"/>
    <x v="0"/>
    <x v="3"/>
    <s v="ACCOHIDE 3-Ring Binder, Blue, 1&quot;"/>
    <n v="12.39"/>
    <n v="3"/>
    <x v="1244"/>
    <x v="11"/>
    <x v="0"/>
  </r>
  <r>
    <n v="44544"/>
    <x v="448"/>
    <x v="1"/>
    <x v="0"/>
    <x v="3"/>
    <s v="Avery Heavy-Duty EZD View Binder with Locking Rings"/>
    <n v="5.0999999999999996"/>
    <n v="4"/>
    <x v="1479"/>
    <x v="11"/>
    <x v="0"/>
  </r>
  <r>
    <n v="44544"/>
    <x v="448"/>
    <x v="1"/>
    <x v="0"/>
    <x v="7"/>
    <s v="Assorted Color Push Pins"/>
    <n v="2.9"/>
    <n v="2"/>
    <x v="1041"/>
    <x v="11"/>
    <x v="0"/>
  </r>
  <r>
    <n v="44544"/>
    <x v="448"/>
    <x v="1"/>
    <x v="2"/>
    <x v="9"/>
    <s v="Belkin Standard 104 key USB Keyboard"/>
    <n v="35.020000000000003"/>
    <n v="3"/>
    <x v="294"/>
    <x v="11"/>
    <x v="0"/>
  </r>
  <r>
    <n v="44544"/>
    <x v="240"/>
    <x v="16"/>
    <x v="1"/>
    <x v="5"/>
    <s v="Iceberg Nesting Folding Chair, 19w x 6d x 43h"/>
    <n v="186.3"/>
    <n v="4"/>
    <x v="1480"/>
    <x v="11"/>
    <x v="0"/>
  </r>
  <r>
    <n v="44544"/>
    <x v="567"/>
    <x v="10"/>
    <x v="0"/>
    <x v="4"/>
    <s v="Newell 35"/>
    <n v="2.62"/>
    <n v="1"/>
    <x v="1481"/>
    <x v="11"/>
    <x v="0"/>
  </r>
  <r>
    <n v="44544"/>
    <x v="567"/>
    <x v="10"/>
    <x v="1"/>
    <x v="13"/>
    <s v="Hon Rectangular Conference Tables"/>
    <n v="136.53"/>
    <n v="1"/>
    <x v="1482"/>
    <x v="11"/>
    <x v="0"/>
  </r>
  <r>
    <n v="44544"/>
    <x v="567"/>
    <x v="10"/>
    <x v="2"/>
    <x v="9"/>
    <s v="Plantronics CS510 - Over-the-Head monaural Wireless Headset System"/>
    <n v="263.95999999999998"/>
    <n v="1"/>
    <x v="1483"/>
    <x v="11"/>
    <x v="0"/>
  </r>
  <r>
    <n v="44544"/>
    <x v="23"/>
    <x v="20"/>
    <x v="2"/>
    <x v="15"/>
    <s v="HP Designjet T520 Inkjet Large Format Printer - 24&quot; Color"/>
    <n v="6999.96"/>
    <n v="4"/>
    <x v="1484"/>
    <x v="11"/>
    <x v="0"/>
  </r>
  <r>
    <n v="44544"/>
    <x v="568"/>
    <x v="1"/>
    <x v="0"/>
    <x v="3"/>
    <s v="GBC VeloBind Cover Sets"/>
    <n v="9.26"/>
    <n v="3"/>
    <x v="1485"/>
    <x v="11"/>
    <x v="0"/>
  </r>
  <r>
    <n v="44545"/>
    <x v="260"/>
    <x v="0"/>
    <x v="2"/>
    <x v="6"/>
    <s v="ARKON Windshield Dashboard Air Vent Car Mount Holder"/>
    <n v="40.68"/>
    <n v="3"/>
    <x v="1177"/>
    <x v="11"/>
    <x v="0"/>
  </r>
  <r>
    <n v="44545"/>
    <x v="260"/>
    <x v="0"/>
    <x v="1"/>
    <x v="5"/>
    <s v="Lifetime Advantage Folding Chairs, 4/Carton"/>
    <n v="763.28"/>
    <n v="5"/>
    <x v="1486"/>
    <x v="11"/>
    <x v="0"/>
  </r>
  <r>
    <n v="44545"/>
    <x v="117"/>
    <x v="3"/>
    <x v="1"/>
    <x v="8"/>
    <s v="Stackable Trays"/>
    <n v="6.16"/>
    <n v="2"/>
    <x v="532"/>
    <x v="11"/>
    <x v="0"/>
  </r>
  <r>
    <n v="44545"/>
    <x v="569"/>
    <x v="1"/>
    <x v="1"/>
    <x v="8"/>
    <s v="Dana Swing-Arm Lamps"/>
    <n v="8.5399999999999991"/>
    <n v="2"/>
    <x v="1013"/>
    <x v="11"/>
    <x v="0"/>
  </r>
  <r>
    <n v="44545"/>
    <x v="290"/>
    <x v="2"/>
    <x v="1"/>
    <x v="5"/>
    <s v="Global Wood Trimmed Manager's Task Chair, Khaki"/>
    <n v="445.8"/>
    <n v="7"/>
    <x v="1487"/>
    <x v="11"/>
    <x v="0"/>
  </r>
  <r>
    <n v="44546"/>
    <x v="148"/>
    <x v="16"/>
    <x v="0"/>
    <x v="3"/>
    <s v="Avery Binder Labels"/>
    <n v="1.17"/>
    <n v="1"/>
    <x v="1488"/>
    <x v="11"/>
    <x v="0"/>
  </r>
  <r>
    <n v="44546"/>
    <x v="570"/>
    <x v="3"/>
    <x v="1"/>
    <x v="8"/>
    <s v="Executive Impressions 14&quot; Contract Wall Clock"/>
    <n v="44.46"/>
    <n v="2"/>
    <x v="1489"/>
    <x v="11"/>
    <x v="0"/>
  </r>
  <r>
    <n v="44546"/>
    <x v="570"/>
    <x v="3"/>
    <x v="1"/>
    <x v="5"/>
    <s v="DMI Arturo Collection Mission-style Design Wood Chair"/>
    <n v="241.57"/>
    <n v="2"/>
    <x v="1490"/>
    <x v="11"/>
    <x v="0"/>
  </r>
  <r>
    <n v="44546"/>
    <x v="570"/>
    <x v="3"/>
    <x v="2"/>
    <x v="9"/>
    <s v="First Data FD10 PIN Pad"/>
    <n v="395"/>
    <n v="5"/>
    <x v="1491"/>
    <x v="11"/>
    <x v="0"/>
  </r>
  <r>
    <n v="44546"/>
    <x v="570"/>
    <x v="3"/>
    <x v="2"/>
    <x v="6"/>
    <s v="GE 30524EE4"/>
    <n v="627.16999999999996"/>
    <n v="4"/>
    <x v="1492"/>
    <x v="11"/>
    <x v="0"/>
  </r>
  <r>
    <n v="44546"/>
    <x v="127"/>
    <x v="16"/>
    <x v="1"/>
    <x v="5"/>
    <s v="Hon Olson Stacker Stools"/>
    <n v="1013.83"/>
    <n v="9"/>
    <x v="1493"/>
    <x v="11"/>
    <x v="0"/>
  </r>
  <r>
    <n v="44546"/>
    <x v="127"/>
    <x v="16"/>
    <x v="0"/>
    <x v="7"/>
    <s v="OIC Binder Clips, Mini, 1/4&quot; Capacity, Black"/>
    <n v="1.98"/>
    <n v="2"/>
    <x v="1494"/>
    <x v="11"/>
    <x v="0"/>
  </r>
  <r>
    <n v="44546"/>
    <x v="28"/>
    <x v="0"/>
    <x v="0"/>
    <x v="0"/>
    <s v="Xerox 224"/>
    <n v="36.29"/>
    <n v="7"/>
    <x v="1285"/>
    <x v="11"/>
    <x v="0"/>
  </r>
  <r>
    <n v="44546"/>
    <x v="28"/>
    <x v="0"/>
    <x v="1"/>
    <x v="8"/>
    <s v="Tenex Carpeted, Granite-Look or Clear Contemporary Contour Shape Chair Mats"/>
    <n v="56.57"/>
    <n v="2"/>
    <x v="1495"/>
    <x v="11"/>
    <x v="0"/>
  </r>
  <r>
    <n v="44546"/>
    <x v="571"/>
    <x v="14"/>
    <x v="0"/>
    <x v="0"/>
    <s v="Xerox 1929"/>
    <n v="114.2"/>
    <n v="5"/>
    <x v="799"/>
    <x v="11"/>
    <x v="0"/>
  </r>
  <r>
    <n v="44546"/>
    <x v="572"/>
    <x v="3"/>
    <x v="1"/>
    <x v="5"/>
    <s v="Office Star - Professional Matrix Back Chair with 2-to-1 Synchro Tilt and Mesh Fabric Seat"/>
    <n v="1403.92"/>
    <n v="5"/>
    <x v="374"/>
    <x v="11"/>
    <x v="0"/>
  </r>
  <r>
    <n v="44546"/>
    <x v="224"/>
    <x v="6"/>
    <x v="2"/>
    <x v="9"/>
    <s v="Case Logic 2.4GHz Wireless Keyboard"/>
    <n v="99.98"/>
    <n v="2"/>
    <x v="697"/>
    <x v="11"/>
    <x v="0"/>
  </r>
  <r>
    <n v="44546"/>
    <x v="224"/>
    <x v="6"/>
    <x v="1"/>
    <x v="8"/>
    <s v="Ultra Door Push Plate"/>
    <n v="29.46"/>
    <n v="6"/>
    <x v="584"/>
    <x v="11"/>
    <x v="0"/>
  </r>
  <r>
    <n v="44546"/>
    <x v="573"/>
    <x v="0"/>
    <x v="2"/>
    <x v="9"/>
    <s v="Razer Kraken 7.1 Surround Sound Over Ear USB Gaming Headset"/>
    <n v="319.97000000000003"/>
    <n v="4"/>
    <x v="1496"/>
    <x v="11"/>
    <x v="0"/>
  </r>
  <r>
    <n v="44546"/>
    <x v="573"/>
    <x v="0"/>
    <x v="1"/>
    <x v="8"/>
    <s v="Longer-Life Soft White Bulbs"/>
    <n v="8.6199999999999992"/>
    <n v="7"/>
    <x v="1497"/>
    <x v="11"/>
    <x v="0"/>
  </r>
  <r>
    <n v="44547"/>
    <x v="503"/>
    <x v="4"/>
    <x v="0"/>
    <x v="4"/>
    <s v="Stanley Contemporary Battery Pencil Sharpeners"/>
    <n v="40.049999999999997"/>
    <n v="3"/>
    <x v="1498"/>
    <x v="11"/>
    <x v="0"/>
  </r>
  <r>
    <n v="44547"/>
    <x v="574"/>
    <x v="10"/>
    <x v="0"/>
    <x v="3"/>
    <s v="Newell 3-Hole Punched Plastic Slotted Magazine Holders for Binders"/>
    <n v="5.48"/>
    <n v="4"/>
    <x v="1499"/>
    <x v="11"/>
    <x v="0"/>
  </r>
  <r>
    <n v="44549"/>
    <x v="575"/>
    <x v="16"/>
    <x v="0"/>
    <x v="3"/>
    <s v="Insertable Tab Post Binder Dividers"/>
    <n v="4.8099999999999996"/>
    <n v="2"/>
    <x v="1500"/>
    <x v="11"/>
    <x v="0"/>
  </r>
  <r>
    <n v="44549"/>
    <x v="575"/>
    <x v="16"/>
    <x v="2"/>
    <x v="9"/>
    <s v="Belkin QODE FastFit Bluetooth Keyboard"/>
    <n v="247.8"/>
    <n v="5"/>
    <x v="1501"/>
    <x v="11"/>
    <x v="0"/>
  </r>
  <r>
    <n v="44549"/>
    <x v="576"/>
    <x v="33"/>
    <x v="0"/>
    <x v="3"/>
    <s v="Canvas Sectional Post Binders"/>
    <n v="152.76"/>
    <n v="6"/>
    <x v="1502"/>
    <x v="11"/>
    <x v="0"/>
  </r>
  <r>
    <n v="44549"/>
    <x v="576"/>
    <x v="33"/>
    <x v="0"/>
    <x v="14"/>
    <s v="Acme Stainless Steel Office Snips"/>
    <n v="7.27"/>
    <n v="1"/>
    <x v="212"/>
    <x v="11"/>
    <x v="0"/>
  </r>
  <r>
    <n v="44549"/>
    <x v="576"/>
    <x v="33"/>
    <x v="1"/>
    <x v="5"/>
    <s v="High-Back Leather Manager's Chair"/>
    <n v="1819.86"/>
    <n v="14"/>
    <x v="305"/>
    <x v="11"/>
    <x v="0"/>
  </r>
  <r>
    <n v="44549"/>
    <x v="244"/>
    <x v="3"/>
    <x v="0"/>
    <x v="1"/>
    <s v="Avery 516"/>
    <n v="14.62"/>
    <n v="2"/>
    <x v="96"/>
    <x v="11"/>
    <x v="0"/>
  </r>
  <r>
    <n v="44549"/>
    <x v="244"/>
    <x v="3"/>
    <x v="0"/>
    <x v="7"/>
    <s v="Advantus T-Pin Paper Clips"/>
    <n v="22.55"/>
    <n v="5"/>
    <x v="450"/>
    <x v="11"/>
    <x v="0"/>
  </r>
  <r>
    <n v="44549"/>
    <x v="244"/>
    <x v="3"/>
    <x v="2"/>
    <x v="6"/>
    <s v="Wi-Ex zBoost YX540 Cellular Phone Signal Booster"/>
    <n v="583.79999999999995"/>
    <n v="5"/>
    <x v="1503"/>
    <x v="11"/>
    <x v="0"/>
  </r>
  <r>
    <n v="44549"/>
    <x v="244"/>
    <x v="3"/>
    <x v="2"/>
    <x v="6"/>
    <s v="Clarity 53712"/>
    <n v="211.17"/>
    <n v="4"/>
    <x v="785"/>
    <x v="11"/>
    <x v="0"/>
  </r>
  <r>
    <n v="44549"/>
    <x v="25"/>
    <x v="1"/>
    <x v="2"/>
    <x v="6"/>
    <s v="RCA ViSYS 25425RE1 Corded phone"/>
    <n v="323.98"/>
    <n v="3"/>
    <x v="1504"/>
    <x v="11"/>
    <x v="0"/>
  </r>
  <r>
    <n v="44549"/>
    <x v="25"/>
    <x v="1"/>
    <x v="0"/>
    <x v="0"/>
    <s v="Xerox 229"/>
    <n v="15.55"/>
    <n v="3"/>
    <x v="192"/>
    <x v="11"/>
    <x v="0"/>
  </r>
  <r>
    <n v="44549"/>
    <x v="25"/>
    <x v="1"/>
    <x v="0"/>
    <x v="2"/>
    <s v="Rogers Jumbo File, Granite"/>
    <n v="32.590000000000003"/>
    <n v="3"/>
    <x v="1505"/>
    <x v="11"/>
    <x v="0"/>
  </r>
  <r>
    <n v="44550"/>
    <x v="577"/>
    <x v="6"/>
    <x v="0"/>
    <x v="2"/>
    <s v="SAFCO Commercial Wire Shelving, 72h"/>
    <n v="122.48"/>
    <n v="2"/>
    <x v="62"/>
    <x v="11"/>
    <x v="0"/>
  </r>
  <r>
    <n v="44550"/>
    <x v="577"/>
    <x v="6"/>
    <x v="1"/>
    <x v="13"/>
    <s v="Chromcraft 48&quot; x 96&quot; Racetrack Double Pedestal Table"/>
    <n v="2244.48"/>
    <n v="7"/>
    <x v="1506"/>
    <x v="11"/>
    <x v="0"/>
  </r>
  <r>
    <n v="44550"/>
    <x v="577"/>
    <x v="6"/>
    <x v="0"/>
    <x v="3"/>
    <s v="Wilson Jones Century Plastic Molded Ring Binders"/>
    <n v="62.31"/>
    <n v="3"/>
    <x v="1507"/>
    <x v="11"/>
    <x v="0"/>
  </r>
  <r>
    <n v="44550"/>
    <x v="577"/>
    <x v="6"/>
    <x v="1"/>
    <x v="13"/>
    <s v="Hon Practical Foundations 30 x 60 Training Table, Light Gray/Charcoal"/>
    <n v="455.1"/>
    <n v="2"/>
    <x v="1508"/>
    <x v="11"/>
    <x v="0"/>
  </r>
  <r>
    <n v="44550"/>
    <x v="348"/>
    <x v="22"/>
    <x v="0"/>
    <x v="1"/>
    <s v="Avery 489"/>
    <n v="31.05"/>
    <n v="3"/>
    <x v="1256"/>
    <x v="11"/>
    <x v="0"/>
  </r>
  <r>
    <n v="44550"/>
    <x v="578"/>
    <x v="15"/>
    <x v="0"/>
    <x v="12"/>
    <s v="Hoover Commercial Soft Guard Upright Vacuum And Disposable Filtration Bags"/>
    <n v="43.51"/>
    <n v="7"/>
    <x v="1509"/>
    <x v="11"/>
    <x v="0"/>
  </r>
  <r>
    <n v="44550"/>
    <x v="578"/>
    <x v="15"/>
    <x v="1"/>
    <x v="5"/>
    <s v="SAFCO Arco Folding Chair"/>
    <n v="662.88"/>
    <n v="3"/>
    <x v="1510"/>
    <x v="11"/>
    <x v="0"/>
  </r>
  <r>
    <n v="44550"/>
    <x v="578"/>
    <x v="15"/>
    <x v="0"/>
    <x v="0"/>
    <s v="Weyerhaeuser First Choice Laser/Copy Paper (20Lb. and 88 Bright)"/>
    <n v="25.92"/>
    <n v="5"/>
    <x v="278"/>
    <x v="11"/>
    <x v="0"/>
  </r>
  <r>
    <n v="44550"/>
    <x v="283"/>
    <x v="3"/>
    <x v="0"/>
    <x v="3"/>
    <s v="Ibico Hi-Tech Manual Binding System"/>
    <n v="487.98"/>
    <n v="2"/>
    <x v="1511"/>
    <x v="11"/>
    <x v="0"/>
  </r>
  <r>
    <n v="44550"/>
    <x v="283"/>
    <x v="3"/>
    <x v="0"/>
    <x v="4"/>
    <s v="Boston Home &amp; Office Model 2000 Electric Pencil Sharpeners"/>
    <n v="47.3"/>
    <n v="2"/>
    <x v="1512"/>
    <x v="11"/>
    <x v="0"/>
  </r>
  <r>
    <n v="44550"/>
    <x v="283"/>
    <x v="3"/>
    <x v="0"/>
    <x v="4"/>
    <s v="Newell 31"/>
    <n v="4.13"/>
    <n v="1"/>
    <x v="1513"/>
    <x v="11"/>
    <x v="0"/>
  </r>
  <r>
    <n v="44550"/>
    <x v="283"/>
    <x v="3"/>
    <x v="0"/>
    <x v="3"/>
    <s v="Premium Transparent Presentation Covers, No Pattern/Clear, 8 1/2&quot; x 11&quot;"/>
    <n v="155.12"/>
    <n v="5"/>
    <x v="342"/>
    <x v="11"/>
    <x v="0"/>
  </r>
  <r>
    <n v="44550"/>
    <x v="460"/>
    <x v="26"/>
    <x v="2"/>
    <x v="9"/>
    <s v="Logitech G430 Surround Sound Gaming Headset with Dolby 7.1 Technology"/>
    <n v="447.94"/>
    <n v="7"/>
    <x v="1514"/>
    <x v="11"/>
    <x v="0"/>
  </r>
  <r>
    <n v="44550"/>
    <x v="579"/>
    <x v="18"/>
    <x v="0"/>
    <x v="1"/>
    <s v="Avery 487"/>
    <n v="3.69"/>
    <n v="1"/>
    <x v="1515"/>
    <x v="11"/>
    <x v="0"/>
  </r>
  <r>
    <n v="44550"/>
    <x v="579"/>
    <x v="18"/>
    <x v="0"/>
    <x v="3"/>
    <s v="Ibico Ibimaster 300 Manual Binding System"/>
    <n v="1103.97"/>
    <n v="3"/>
    <x v="1516"/>
    <x v="11"/>
    <x v="0"/>
  </r>
  <r>
    <n v="44550"/>
    <x v="294"/>
    <x v="10"/>
    <x v="1"/>
    <x v="8"/>
    <s v="Eldon Cleatmat Plus Chair Mats for High Pile Carpets"/>
    <n v="190.85"/>
    <n v="3"/>
    <x v="1517"/>
    <x v="11"/>
    <x v="0"/>
  </r>
  <r>
    <n v="44550"/>
    <x v="189"/>
    <x v="12"/>
    <x v="1"/>
    <x v="8"/>
    <s v="Computer Room Manger, 14&quot;"/>
    <n v="51.97"/>
    <n v="2"/>
    <x v="1156"/>
    <x v="11"/>
    <x v="0"/>
  </r>
  <r>
    <n v="44550"/>
    <x v="189"/>
    <x v="12"/>
    <x v="2"/>
    <x v="9"/>
    <s v="Logitech 910-002974 M325 Wireless Mouse for Web Scrolling"/>
    <n v="71.98"/>
    <n v="3"/>
    <x v="1518"/>
    <x v="11"/>
    <x v="0"/>
  </r>
  <r>
    <n v="44550"/>
    <x v="189"/>
    <x v="12"/>
    <x v="1"/>
    <x v="5"/>
    <s v="Global Low Back Tilter Chair"/>
    <n v="242.35"/>
    <n v="3"/>
    <x v="1519"/>
    <x v="11"/>
    <x v="0"/>
  </r>
  <r>
    <n v="44550"/>
    <x v="189"/>
    <x v="12"/>
    <x v="0"/>
    <x v="0"/>
    <s v="Xerox 1888"/>
    <n v="221.92"/>
    <n v="5"/>
    <x v="1520"/>
    <x v="11"/>
    <x v="0"/>
  </r>
  <r>
    <n v="44550"/>
    <x v="189"/>
    <x v="12"/>
    <x v="0"/>
    <x v="0"/>
    <s v="Xerox 1954"/>
    <n v="8.4499999999999993"/>
    <n v="2"/>
    <x v="172"/>
    <x v="11"/>
    <x v="0"/>
  </r>
  <r>
    <n v="44550"/>
    <x v="494"/>
    <x v="0"/>
    <x v="0"/>
    <x v="12"/>
    <s v="Belkin Premiere Surge Master II 8-outlet surge protector"/>
    <n v="19.43"/>
    <n v="2"/>
    <x v="1521"/>
    <x v="11"/>
    <x v="0"/>
  </r>
  <r>
    <n v="44550"/>
    <x v="494"/>
    <x v="0"/>
    <x v="2"/>
    <x v="9"/>
    <s v="Logitech Desktop MK120 Mouse and keyboard Combo"/>
    <n v="65.44"/>
    <n v="5"/>
    <x v="1522"/>
    <x v="11"/>
    <x v="0"/>
  </r>
  <r>
    <n v="44550"/>
    <x v="436"/>
    <x v="20"/>
    <x v="1"/>
    <x v="5"/>
    <s v="Harbour Creations 67200 Series Stacking Chairs"/>
    <n v="192.19"/>
    <n v="3"/>
    <x v="1523"/>
    <x v="11"/>
    <x v="0"/>
  </r>
  <r>
    <n v="44551"/>
    <x v="95"/>
    <x v="3"/>
    <x v="1"/>
    <x v="5"/>
    <s v="SAFCO Arco Folding Chair"/>
    <n v="1325.76"/>
    <n v="6"/>
    <x v="1524"/>
    <x v="11"/>
    <x v="0"/>
  </r>
  <r>
    <n v="44551"/>
    <x v="95"/>
    <x v="3"/>
    <x v="1"/>
    <x v="5"/>
    <s v="Safco Contoured Stacking Chairs"/>
    <n v="572.16"/>
    <n v="3"/>
    <x v="1525"/>
    <x v="11"/>
    <x v="0"/>
  </r>
  <r>
    <n v="44551"/>
    <x v="285"/>
    <x v="15"/>
    <x v="0"/>
    <x v="3"/>
    <s v="Ibico Plastic Spiral Binding Combs"/>
    <n v="18.239999999999998"/>
    <n v="2"/>
    <x v="1526"/>
    <x v="11"/>
    <x v="0"/>
  </r>
  <r>
    <n v="44551"/>
    <x v="405"/>
    <x v="7"/>
    <x v="0"/>
    <x v="1"/>
    <s v="Avery 492"/>
    <n v="17.28"/>
    <n v="6"/>
    <x v="740"/>
    <x v="11"/>
    <x v="0"/>
  </r>
  <r>
    <n v="44552"/>
    <x v="580"/>
    <x v="3"/>
    <x v="0"/>
    <x v="4"/>
    <s v="Newell 332"/>
    <n v="11.76"/>
    <n v="4"/>
    <x v="474"/>
    <x v="11"/>
    <x v="0"/>
  </r>
  <r>
    <n v="44552"/>
    <x v="214"/>
    <x v="20"/>
    <x v="0"/>
    <x v="2"/>
    <s v="Desktop 3-Pocket Hot File"/>
    <n v="216.4"/>
    <n v="4"/>
    <x v="1527"/>
    <x v="11"/>
    <x v="0"/>
  </r>
  <r>
    <n v="44552"/>
    <x v="377"/>
    <x v="1"/>
    <x v="0"/>
    <x v="2"/>
    <s v="Economy Rollaway Files"/>
    <n v="132.16"/>
    <n v="1"/>
    <x v="1528"/>
    <x v="11"/>
    <x v="0"/>
  </r>
  <r>
    <n v="44552"/>
    <x v="377"/>
    <x v="1"/>
    <x v="0"/>
    <x v="3"/>
    <s v="Recycled Easel Ring Binders"/>
    <n v="17.899999999999999"/>
    <n v="6"/>
    <x v="1529"/>
    <x v="11"/>
    <x v="0"/>
  </r>
  <r>
    <n v="44552"/>
    <x v="377"/>
    <x v="1"/>
    <x v="0"/>
    <x v="0"/>
    <s v="White Computer Printout Paper by Universal"/>
    <n v="124.03"/>
    <n v="4"/>
    <x v="646"/>
    <x v="11"/>
    <x v="0"/>
  </r>
  <r>
    <n v="44552"/>
    <x v="581"/>
    <x v="20"/>
    <x v="0"/>
    <x v="3"/>
    <s v="Lock-Up Easel 'Spel-Binder'"/>
    <n v="296.70999999999998"/>
    <n v="13"/>
    <x v="1530"/>
    <x v="11"/>
    <x v="0"/>
  </r>
  <r>
    <n v="44553"/>
    <x v="582"/>
    <x v="18"/>
    <x v="0"/>
    <x v="12"/>
    <s v="Belkin F9H710-06 7 Outlet SurgeMaster Surge Protector"/>
    <n v="207.24"/>
    <n v="11"/>
    <x v="1531"/>
    <x v="11"/>
    <x v="0"/>
  </r>
  <r>
    <n v="44553"/>
    <x v="495"/>
    <x v="20"/>
    <x v="1"/>
    <x v="13"/>
    <s v="Hon 61000 Series Interactive Training Tables"/>
    <n v="53.32"/>
    <n v="2"/>
    <x v="1532"/>
    <x v="11"/>
    <x v="0"/>
  </r>
  <r>
    <n v="44553"/>
    <x v="495"/>
    <x v="20"/>
    <x v="0"/>
    <x v="12"/>
    <s v="Belkin F9H710-06 7 Outlet SurgeMaster Surge Protector"/>
    <n v="56.52"/>
    <n v="3"/>
    <x v="1533"/>
    <x v="11"/>
    <x v="0"/>
  </r>
  <r>
    <n v="44553"/>
    <x v="311"/>
    <x v="0"/>
    <x v="0"/>
    <x v="0"/>
    <s v="Xerox 2000"/>
    <n v="5.18"/>
    <n v="1"/>
    <x v="1534"/>
    <x v="11"/>
    <x v="0"/>
  </r>
  <r>
    <n v="44553"/>
    <x v="583"/>
    <x v="16"/>
    <x v="0"/>
    <x v="0"/>
    <s v="Computer Printout Paper with Letter-Trim Perforations"/>
    <n v="45.53"/>
    <n v="3"/>
    <x v="1535"/>
    <x v="11"/>
    <x v="0"/>
  </r>
  <r>
    <n v="44553"/>
    <x v="583"/>
    <x v="16"/>
    <x v="1"/>
    <x v="5"/>
    <s v="Padded Folding Chairs, Black, 4/Carton"/>
    <n v="64.78"/>
    <n v="1"/>
    <x v="1536"/>
    <x v="11"/>
    <x v="0"/>
  </r>
  <r>
    <n v="44553"/>
    <x v="583"/>
    <x v="16"/>
    <x v="0"/>
    <x v="2"/>
    <s v="Tennsco 6- and 18-Compartment Lockers"/>
    <n v="424.27"/>
    <n v="2"/>
    <x v="1537"/>
    <x v="11"/>
    <x v="0"/>
  </r>
  <r>
    <n v="44553"/>
    <x v="583"/>
    <x v="16"/>
    <x v="0"/>
    <x v="4"/>
    <s v="Prang Dustless Chalk Sticks"/>
    <n v="1.34"/>
    <n v="1"/>
    <x v="1538"/>
    <x v="11"/>
    <x v="0"/>
  </r>
  <r>
    <n v="44553"/>
    <x v="583"/>
    <x v="16"/>
    <x v="0"/>
    <x v="2"/>
    <s v="Acco Perma 3000 Stacking Storage Drawers"/>
    <n v="83.92"/>
    <n v="5"/>
    <x v="1539"/>
    <x v="11"/>
    <x v="0"/>
  </r>
  <r>
    <n v="44554"/>
    <x v="321"/>
    <x v="16"/>
    <x v="0"/>
    <x v="0"/>
    <s v="Xerox 1974"/>
    <n v="9.57"/>
    <n v="2"/>
    <x v="1540"/>
    <x v="11"/>
    <x v="0"/>
  </r>
  <r>
    <n v="44554"/>
    <x v="218"/>
    <x v="10"/>
    <x v="1"/>
    <x v="8"/>
    <s v="Master Giant Foot Doorstop, Safety Yellow"/>
    <n v="30.36"/>
    <n v="5"/>
    <x v="1541"/>
    <x v="11"/>
    <x v="0"/>
  </r>
  <r>
    <n v="44554"/>
    <x v="520"/>
    <x v="3"/>
    <x v="0"/>
    <x v="2"/>
    <s v="Letter Size Cart"/>
    <n v="142.86000000000001"/>
    <n v="1"/>
    <x v="1542"/>
    <x v="11"/>
    <x v="0"/>
  </r>
  <r>
    <n v="44554"/>
    <x v="520"/>
    <x v="3"/>
    <x v="1"/>
    <x v="5"/>
    <s v="Global Value Mid-Back Manager's Chair, Gray"/>
    <n v="292.27"/>
    <n v="6"/>
    <x v="1543"/>
    <x v="11"/>
    <x v="0"/>
  </r>
  <r>
    <n v="44554"/>
    <x v="151"/>
    <x v="3"/>
    <x v="2"/>
    <x v="6"/>
    <s v="Seidio BD2-HK3IPH5-BK DILEX Case and Holster Combo for Apple iPhone 5/5s - Black"/>
    <n v="173.66"/>
    <n v="7"/>
    <x v="1341"/>
    <x v="11"/>
    <x v="0"/>
  </r>
  <r>
    <n v="44554"/>
    <x v="151"/>
    <x v="3"/>
    <x v="0"/>
    <x v="12"/>
    <s v="Avanti 4.4 Cu. Ft. Refrigerator"/>
    <n v="361.96"/>
    <n v="2"/>
    <x v="1544"/>
    <x v="11"/>
    <x v="0"/>
  </r>
  <r>
    <n v="44554"/>
    <x v="151"/>
    <x v="3"/>
    <x v="2"/>
    <x v="9"/>
    <s v="Sony 32GB Class 10 Micro SDHC R40 Memory Card"/>
    <n v="62.85"/>
    <n v="3"/>
    <x v="966"/>
    <x v="11"/>
    <x v="0"/>
  </r>
  <r>
    <n v="44554"/>
    <x v="151"/>
    <x v="3"/>
    <x v="2"/>
    <x v="6"/>
    <s v="Cisco Unified IP Phone 7945G VoIP phone"/>
    <n v="818.38"/>
    <n v="3"/>
    <x v="1545"/>
    <x v="11"/>
    <x v="0"/>
  </r>
  <r>
    <n v="44554"/>
    <x v="151"/>
    <x v="3"/>
    <x v="0"/>
    <x v="2"/>
    <s v="Tennsco Commercial Shelving"/>
    <n v="20.34"/>
    <n v="1"/>
    <x v="1546"/>
    <x v="11"/>
    <x v="0"/>
  </r>
  <r>
    <n v="44554"/>
    <x v="151"/>
    <x v="3"/>
    <x v="1"/>
    <x v="8"/>
    <s v="Westinghouse Floor Lamp with Metal Mesh Shade, Black"/>
    <n v="23.99"/>
    <n v="1"/>
    <x v="1547"/>
    <x v="11"/>
    <x v="0"/>
  </r>
  <r>
    <n v="44554"/>
    <x v="423"/>
    <x v="3"/>
    <x v="0"/>
    <x v="12"/>
    <s v="Belkin 7-Outlet SurgeMaster Home Series"/>
    <n v="13.97"/>
    <n v="1"/>
    <x v="316"/>
    <x v="11"/>
    <x v="0"/>
  </r>
  <r>
    <n v="44556"/>
    <x v="525"/>
    <x v="0"/>
    <x v="1"/>
    <x v="5"/>
    <s v="Global Deluxe High-Back Manager's Chair"/>
    <n v="600.55999999999995"/>
    <n v="3"/>
    <x v="1548"/>
    <x v="11"/>
    <x v="0"/>
  </r>
  <r>
    <n v="44556"/>
    <x v="254"/>
    <x v="26"/>
    <x v="1"/>
    <x v="8"/>
    <s v="Howard Miller 13&quot; Diameter Goldtone Round Wall Clock"/>
    <n v="300.42"/>
    <n v="8"/>
    <x v="1549"/>
    <x v="11"/>
    <x v="0"/>
  </r>
  <r>
    <n v="44556"/>
    <x v="254"/>
    <x v="26"/>
    <x v="1"/>
    <x v="5"/>
    <s v="Global Deluxe Office Fabric Chairs"/>
    <n v="230.35"/>
    <n v="3"/>
    <x v="468"/>
    <x v="11"/>
    <x v="0"/>
  </r>
  <r>
    <n v="44556"/>
    <x v="254"/>
    <x v="26"/>
    <x v="1"/>
    <x v="8"/>
    <s v="Eldon ClusterMat Chair Mat with Cordless Antistatic Protection"/>
    <n v="218.35"/>
    <n v="3"/>
    <x v="1550"/>
    <x v="11"/>
    <x v="0"/>
  </r>
  <r>
    <n v="44556"/>
    <x v="254"/>
    <x v="26"/>
    <x v="0"/>
    <x v="3"/>
    <s v="Ibico Laser Imprintable Binding System Covers"/>
    <n v="78.599999999999994"/>
    <n v="5"/>
    <x v="1551"/>
    <x v="11"/>
    <x v="0"/>
  </r>
  <r>
    <n v="44556"/>
    <x v="254"/>
    <x v="26"/>
    <x v="0"/>
    <x v="7"/>
    <s v="Vinyl Coated Wire Paper Clips in Organizer Box, 800/Box"/>
    <n v="27.55"/>
    <n v="3"/>
    <x v="282"/>
    <x v="11"/>
    <x v="0"/>
  </r>
  <r>
    <n v="44556"/>
    <x v="103"/>
    <x v="1"/>
    <x v="0"/>
    <x v="3"/>
    <s v="Cardinal Slant-D Ring Binder, Heavy Gauge Vinyl"/>
    <n v="8.69"/>
    <n v="5"/>
    <x v="88"/>
    <x v="11"/>
    <x v="0"/>
  </r>
  <r>
    <n v="44556"/>
    <x v="584"/>
    <x v="3"/>
    <x v="0"/>
    <x v="14"/>
    <s v="Acme Rosewood Handle Letter Opener"/>
    <n v="11.91"/>
    <n v="3"/>
    <x v="1552"/>
    <x v="11"/>
    <x v="0"/>
  </r>
  <r>
    <n v="44556"/>
    <x v="584"/>
    <x v="3"/>
    <x v="1"/>
    <x v="8"/>
    <s v="Eldon Regeneration Recycled Desk Accessories, Smoke"/>
    <n v="3.48"/>
    <n v="2"/>
    <x v="1553"/>
    <x v="11"/>
    <x v="0"/>
  </r>
  <r>
    <n v="44556"/>
    <x v="585"/>
    <x v="2"/>
    <x v="0"/>
    <x v="0"/>
    <s v="Wirebound Message Books, Two 4 1/4&quot; x 5&quot; Forms per Page"/>
    <n v="18.260000000000002"/>
    <n v="3"/>
    <x v="539"/>
    <x v="11"/>
    <x v="0"/>
  </r>
  <r>
    <n v="44556"/>
    <x v="585"/>
    <x v="2"/>
    <x v="0"/>
    <x v="12"/>
    <s v="Holmes 99% HEPA Air Purifier"/>
    <n v="34.659999999999997"/>
    <n v="2"/>
    <x v="1554"/>
    <x v="11"/>
    <x v="0"/>
  </r>
  <r>
    <n v="44556"/>
    <x v="585"/>
    <x v="2"/>
    <x v="0"/>
    <x v="12"/>
    <s v="Tripp Lite TLP810NET Broadband Surge for Modem/Fax"/>
    <n v="81.55"/>
    <n v="2"/>
    <x v="1555"/>
    <x v="11"/>
    <x v="0"/>
  </r>
  <r>
    <n v="44556"/>
    <x v="585"/>
    <x v="2"/>
    <x v="0"/>
    <x v="2"/>
    <s v="Sensible Storage WireTech Storage Systems"/>
    <n v="227.14"/>
    <n v="4"/>
    <x v="1556"/>
    <x v="11"/>
    <x v="0"/>
  </r>
  <r>
    <n v="44556"/>
    <x v="463"/>
    <x v="20"/>
    <x v="0"/>
    <x v="2"/>
    <s v="Fellowes Bankers Box Stor/Drawer Steel Plus"/>
    <n v="191.88"/>
    <n v="6"/>
    <x v="1557"/>
    <x v="11"/>
    <x v="0"/>
  </r>
  <r>
    <n v="44556"/>
    <x v="135"/>
    <x v="2"/>
    <x v="0"/>
    <x v="4"/>
    <s v="Eldon Spacemaker Box, Quick-Snap Lid, Clear"/>
    <n v="8.02"/>
    <n v="3"/>
    <x v="1035"/>
    <x v="11"/>
    <x v="0"/>
  </r>
  <r>
    <n v="44557"/>
    <x v="538"/>
    <x v="3"/>
    <x v="0"/>
    <x v="1"/>
    <s v="Staple-on labels"/>
    <n v="11.56"/>
    <n v="4"/>
    <x v="776"/>
    <x v="11"/>
    <x v="0"/>
  </r>
  <r>
    <n v="44557"/>
    <x v="261"/>
    <x v="1"/>
    <x v="1"/>
    <x v="8"/>
    <s v="DAX Wood Document Frame"/>
    <n v="32.950000000000003"/>
    <n v="6"/>
    <x v="1558"/>
    <x v="11"/>
    <x v="0"/>
  </r>
  <r>
    <n v="44557"/>
    <x v="261"/>
    <x v="1"/>
    <x v="0"/>
    <x v="2"/>
    <s v="Staple magnet"/>
    <n v="30.02"/>
    <n v="4"/>
    <x v="1559"/>
    <x v="11"/>
    <x v="0"/>
  </r>
  <r>
    <n v="44557"/>
    <x v="467"/>
    <x v="3"/>
    <x v="1"/>
    <x v="5"/>
    <s v="Bevis Steel Folding Chairs"/>
    <n v="230.28"/>
    <n v="3"/>
    <x v="361"/>
    <x v="11"/>
    <x v="0"/>
  </r>
  <r>
    <n v="44557"/>
    <x v="467"/>
    <x v="3"/>
    <x v="0"/>
    <x v="0"/>
    <s v="Xerox 1927"/>
    <n v="12.84"/>
    <n v="3"/>
    <x v="436"/>
    <x v="11"/>
    <x v="0"/>
  </r>
  <r>
    <n v="44557"/>
    <x v="586"/>
    <x v="20"/>
    <x v="1"/>
    <x v="5"/>
    <s v="Global Push Button Manager's Chair, Indigo"/>
    <n v="767.21"/>
    <n v="14"/>
    <x v="1560"/>
    <x v="11"/>
    <x v="0"/>
  </r>
  <r>
    <n v="44557"/>
    <x v="33"/>
    <x v="3"/>
    <x v="0"/>
    <x v="12"/>
    <s v="Staple holder"/>
    <n v="10.98"/>
    <n v="1"/>
    <x v="1057"/>
    <x v="11"/>
    <x v="0"/>
  </r>
  <r>
    <n v="44557"/>
    <x v="33"/>
    <x v="3"/>
    <x v="0"/>
    <x v="7"/>
    <s v="Staples"/>
    <n v="7.86"/>
    <n v="3"/>
    <x v="1561"/>
    <x v="11"/>
    <x v="0"/>
  </r>
  <r>
    <n v="44557"/>
    <x v="33"/>
    <x v="3"/>
    <x v="0"/>
    <x v="2"/>
    <s v="Advantus Rolling Storage Box"/>
    <n v="51.45"/>
    <n v="3"/>
    <x v="1562"/>
    <x v="11"/>
    <x v="0"/>
  </r>
  <r>
    <n v="44557"/>
    <x v="33"/>
    <x v="3"/>
    <x v="0"/>
    <x v="3"/>
    <s v="GBC VeloBind Cover Sets"/>
    <n v="37.06"/>
    <n v="3"/>
    <x v="1563"/>
    <x v="11"/>
    <x v="0"/>
  </r>
  <r>
    <n v="44557"/>
    <x v="498"/>
    <x v="33"/>
    <x v="0"/>
    <x v="0"/>
    <s v="Xerox 1983"/>
    <n v="23.92"/>
    <n v="4"/>
    <x v="1564"/>
    <x v="11"/>
    <x v="0"/>
  </r>
  <r>
    <n v="44557"/>
    <x v="498"/>
    <x v="33"/>
    <x v="2"/>
    <x v="9"/>
    <s v="Enermax Acrylux Wireless Keyboard"/>
    <n v="498"/>
    <n v="5"/>
    <x v="1565"/>
    <x v="11"/>
    <x v="0"/>
  </r>
  <r>
    <n v="44557"/>
    <x v="180"/>
    <x v="0"/>
    <x v="0"/>
    <x v="3"/>
    <s v="GBC Standard Therm-A-Bind Covers"/>
    <n v="4.9800000000000004"/>
    <n v="1"/>
    <x v="1566"/>
    <x v="11"/>
    <x v="0"/>
  </r>
  <r>
    <n v="44557"/>
    <x v="366"/>
    <x v="10"/>
    <x v="1"/>
    <x v="8"/>
    <s v="Eldon &quot;L&quot; Workstation Diamond Chairmat"/>
    <n v="182.35"/>
    <n v="3"/>
    <x v="1567"/>
    <x v="11"/>
    <x v="0"/>
  </r>
  <r>
    <n v="44557"/>
    <x v="366"/>
    <x v="10"/>
    <x v="0"/>
    <x v="2"/>
    <s v="Safco Industrial Shelving"/>
    <n v="118.16"/>
    <n v="2"/>
    <x v="1568"/>
    <x v="11"/>
    <x v="0"/>
  </r>
  <r>
    <n v="44557"/>
    <x v="218"/>
    <x v="12"/>
    <x v="0"/>
    <x v="3"/>
    <s v="GBC DocuBind 300 Electric Binding Machine"/>
    <n v="946.76"/>
    <n v="6"/>
    <x v="1569"/>
    <x v="11"/>
    <x v="0"/>
  </r>
  <r>
    <n v="44558"/>
    <x v="569"/>
    <x v="2"/>
    <x v="0"/>
    <x v="4"/>
    <s v="Boston School Pro Electric Pencil Sharpener, 1670"/>
    <n v="99.14"/>
    <n v="4"/>
    <x v="1570"/>
    <x v="11"/>
    <x v="0"/>
  </r>
  <r>
    <n v="44558"/>
    <x v="8"/>
    <x v="32"/>
    <x v="0"/>
    <x v="12"/>
    <s v="Hoover Upright Vacuum With Dirt Cup"/>
    <n v="1737.18"/>
    <n v="6"/>
    <x v="1571"/>
    <x v="11"/>
    <x v="0"/>
  </r>
  <r>
    <n v="44558"/>
    <x v="8"/>
    <x v="32"/>
    <x v="0"/>
    <x v="2"/>
    <s v="Fellowes Strictly Business Drawer File, Letter/Legal Size"/>
    <n v="704.25"/>
    <n v="5"/>
    <x v="1572"/>
    <x v="11"/>
    <x v="0"/>
  </r>
  <r>
    <n v="44558"/>
    <x v="8"/>
    <x v="32"/>
    <x v="0"/>
    <x v="0"/>
    <s v="Xerox 1906"/>
    <n v="141.76"/>
    <n v="4"/>
    <x v="1226"/>
    <x v="11"/>
    <x v="0"/>
  </r>
  <r>
    <n v="44558"/>
    <x v="496"/>
    <x v="3"/>
    <x v="0"/>
    <x v="2"/>
    <s v="Carina Mini System Audio Rack, Model AR050B"/>
    <n v="998.82"/>
    <n v="9"/>
    <x v="1573"/>
    <x v="11"/>
    <x v="0"/>
  </r>
  <r>
    <n v="44558"/>
    <x v="496"/>
    <x v="3"/>
    <x v="0"/>
    <x v="14"/>
    <s v="Acme Box Cutter Scissors"/>
    <n v="51.15"/>
    <n v="5"/>
    <x v="1574"/>
    <x v="11"/>
    <x v="0"/>
  </r>
  <r>
    <n v="44559"/>
    <x v="587"/>
    <x v="28"/>
    <x v="0"/>
    <x v="2"/>
    <s v="Recycled Eldon Regeneration Jumbo File"/>
    <n v="24.56"/>
    <n v="2"/>
    <x v="1435"/>
    <x v="11"/>
    <x v="0"/>
  </r>
  <r>
    <n v="44559"/>
    <x v="587"/>
    <x v="28"/>
    <x v="2"/>
    <x v="9"/>
    <s v="ImationÂ 32GB Pocket Pro USB 3.0Â Flash DriveÂ - 32 GB - Black - 1 P ..."/>
    <n v="119.8"/>
    <n v="4"/>
    <x v="1575"/>
    <x v="11"/>
    <x v="0"/>
  </r>
  <r>
    <n v="44559"/>
    <x v="202"/>
    <x v="3"/>
    <x v="1"/>
    <x v="8"/>
    <s v="Stacking Trays by OIC"/>
    <n v="24.9"/>
    <n v="5"/>
    <x v="1576"/>
    <x v="11"/>
    <x v="0"/>
  </r>
  <r>
    <n v="44559"/>
    <x v="202"/>
    <x v="3"/>
    <x v="0"/>
    <x v="0"/>
    <s v="Xerox 1981"/>
    <n v="21.12"/>
    <n v="4"/>
    <x v="150"/>
    <x v="11"/>
    <x v="0"/>
  </r>
  <r>
    <n v="44559"/>
    <x v="202"/>
    <x v="3"/>
    <x v="2"/>
    <x v="15"/>
    <s v="DYMO CardScan Personal V9 Business Card Scanner"/>
    <n v="767.95"/>
    <n v="6"/>
    <x v="1577"/>
    <x v="11"/>
    <x v="0"/>
  </r>
  <r>
    <n v="44559"/>
    <x v="202"/>
    <x v="3"/>
    <x v="0"/>
    <x v="3"/>
    <s v="Avery Hanging File Binders"/>
    <n v="14.35"/>
    <n v="3"/>
    <x v="148"/>
    <x v="11"/>
    <x v="0"/>
  </r>
  <r>
    <n v="44559"/>
    <x v="202"/>
    <x v="3"/>
    <x v="2"/>
    <x v="6"/>
    <s v="Mophie Juice Pack Helium for iPhone"/>
    <n v="191.98"/>
    <n v="3"/>
    <x v="1578"/>
    <x v="11"/>
    <x v="0"/>
  </r>
  <r>
    <n v="44559"/>
    <x v="202"/>
    <x v="3"/>
    <x v="0"/>
    <x v="1"/>
    <s v="Avery 477"/>
    <n v="274.77"/>
    <n v="9"/>
    <x v="1579"/>
    <x v="11"/>
    <x v="0"/>
  </r>
  <r>
    <n v="44559"/>
    <x v="202"/>
    <x v="3"/>
    <x v="1"/>
    <x v="8"/>
    <s v="Executive Impressions 10&quot; Spectator Wall Clock"/>
    <n v="70.56"/>
    <n v="6"/>
    <x v="1580"/>
    <x v="11"/>
    <x v="0"/>
  </r>
  <r>
    <n v="44559"/>
    <x v="43"/>
    <x v="31"/>
    <x v="2"/>
    <x v="6"/>
    <s v="Mediabridge Sport Armband iPhone 5s"/>
    <n v="23.98"/>
    <n v="3"/>
    <x v="1581"/>
    <x v="11"/>
    <x v="0"/>
  </r>
  <r>
    <n v="44559"/>
    <x v="43"/>
    <x v="31"/>
    <x v="0"/>
    <x v="2"/>
    <s v="Fellowes Bases and Tops For Staxonsteel/High-Stak Systems"/>
    <n v="33.29"/>
    <n v="1"/>
    <x v="1582"/>
    <x v="11"/>
    <x v="0"/>
  </r>
  <r>
    <n v="44559"/>
    <x v="456"/>
    <x v="1"/>
    <x v="1"/>
    <x v="8"/>
    <s v="Tenex Chairmats For Use with Hard Floors"/>
    <n v="38.979999999999997"/>
    <n v="3"/>
    <x v="1583"/>
    <x v="11"/>
    <x v="0"/>
  </r>
  <r>
    <n v="44559"/>
    <x v="588"/>
    <x v="1"/>
    <x v="1"/>
    <x v="8"/>
    <s v="Master Caster Door Stop, Large Brown"/>
    <n v="8.74"/>
    <n v="3"/>
    <x v="1584"/>
    <x v="11"/>
    <x v="0"/>
  </r>
  <r>
    <n v="44559"/>
    <x v="170"/>
    <x v="3"/>
    <x v="0"/>
    <x v="1"/>
    <s v="Alphabetical Labels for Top Tab Filing"/>
    <n v="88.8"/>
    <n v="6"/>
    <x v="1585"/>
    <x v="11"/>
    <x v="0"/>
  </r>
  <r>
    <n v="44559"/>
    <x v="170"/>
    <x v="3"/>
    <x v="2"/>
    <x v="6"/>
    <s v="HTC One"/>
    <n v="319.97000000000003"/>
    <n v="4"/>
    <x v="1586"/>
    <x v="11"/>
    <x v="0"/>
  </r>
  <r>
    <n v="44559"/>
    <x v="589"/>
    <x v="10"/>
    <x v="0"/>
    <x v="12"/>
    <s v="Acco 6 Outlet Guardian Standard Surge Suppressor"/>
    <n v="48.36"/>
    <n v="5"/>
    <x v="1587"/>
    <x v="11"/>
    <x v="0"/>
  </r>
  <r>
    <n v="44560"/>
    <x v="590"/>
    <x v="14"/>
    <x v="0"/>
    <x v="4"/>
    <s v="Newell 350"/>
    <n v="9.84"/>
    <n v="3"/>
    <x v="1029"/>
    <x v="11"/>
    <x v="0"/>
  </r>
  <r>
    <n v="44560"/>
    <x v="386"/>
    <x v="0"/>
    <x v="0"/>
    <x v="10"/>
    <s v="Fashion Color Clasp Envelopes"/>
    <n v="12.98"/>
    <n v="3"/>
    <x v="1588"/>
    <x v="11"/>
    <x v="0"/>
  </r>
  <r>
    <n v="44560"/>
    <x v="386"/>
    <x v="0"/>
    <x v="2"/>
    <x v="6"/>
    <s v="Plantronics CS 50-USB -Â headsetÂ - Convertible, Monaural"/>
    <n v="217.58"/>
    <n v="2"/>
    <x v="1107"/>
    <x v="11"/>
    <x v="0"/>
  </r>
  <r>
    <n v="44560"/>
    <x v="386"/>
    <x v="0"/>
    <x v="2"/>
    <x v="6"/>
    <s v="AT&amp;T 1080 Corded phone"/>
    <n v="328.78"/>
    <n v="3"/>
    <x v="1589"/>
    <x v="11"/>
    <x v="0"/>
  </r>
  <r>
    <n v="44560"/>
    <x v="386"/>
    <x v="0"/>
    <x v="0"/>
    <x v="3"/>
    <s v="Acco Hanging Data Binders"/>
    <n v="2.29"/>
    <n v="3"/>
    <x v="1590"/>
    <x v="11"/>
    <x v="0"/>
  </r>
  <r>
    <n v="44560"/>
    <x v="386"/>
    <x v="0"/>
    <x v="2"/>
    <x v="9"/>
    <s v="Logitech 910-002974 M325 Wireless Mouse for Web Scrolling"/>
    <n v="47.98"/>
    <n v="2"/>
    <x v="1038"/>
    <x v="11"/>
    <x v="0"/>
  </r>
  <r>
    <n v="44560"/>
    <x v="591"/>
    <x v="12"/>
    <x v="0"/>
    <x v="3"/>
    <s v="Ibico Ibimaster 300 Manual Binding System"/>
    <n v="551.99"/>
    <n v="5"/>
    <x v="1591"/>
    <x v="11"/>
    <x v="0"/>
  </r>
  <r>
    <n v="44560"/>
    <x v="41"/>
    <x v="2"/>
    <x v="2"/>
    <x v="9"/>
    <s v="Maxell Pro 80 Minute CD-R, 10/Pack"/>
    <n v="27.97"/>
    <n v="2"/>
    <x v="1592"/>
    <x v="11"/>
    <x v="0"/>
  </r>
  <r>
    <n v="44560"/>
    <x v="592"/>
    <x v="2"/>
    <x v="2"/>
    <x v="6"/>
    <s v="ClearSounds CSC500 Amplified Spirit Phone Corded phone"/>
    <n v="251.96"/>
    <n v="6"/>
    <x v="1593"/>
    <x v="11"/>
    <x v="0"/>
  </r>
  <r>
    <n v="44560"/>
    <x v="592"/>
    <x v="2"/>
    <x v="1"/>
    <x v="13"/>
    <s v="Hon 5100 Series Wood Tables"/>
    <n v="523.76"/>
    <n v="3"/>
    <x v="1594"/>
    <x v="11"/>
    <x v="0"/>
  </r>
  <r>
    <n v="44560"/>
    <x v="404"/>
    <x v="20"/>
    <x v="0"/>
    <x v="12"/>
    <s v="Kensington 6 Outlet SmartSocket Surge Protector"/>
    <n v="122.94"/>
    <n v="3"/>
    <x v="1595"/>
    <x v="11"/>
    <x v="0"/>
  </r>
  <r>
    <n v="44560"/>
    <x v="404"/>
    <x v="20"/>
    <x v="0"/>
    <x v="3"/>
    <s v="Cardinal HOLDit! Binder Insert Strips,Extra Strips"/>
    <n v="35.450000000000003"/>
    <n v="7"/>
    <x v="1596"/>
    <x v="11"/>
    <x v="0"/>
  </r>
  <r>
    <n v="44560"/>
    <x v="118"/>
    <x v="15"/>
    <x v="0"/>
    <x v="2"/>
    <s v="Tennsco Industrial Shelving"/>
    <n v="39.130000000000003"/>
    <n v="1"/>
    <x v="1233"/>
    <x v="11"/>
    <x v="0"/>
  </r>
  <r>
    <n v="44561"/>
    <x v="593"/>
    <x v="20"/>
    <x v="1"/>
    <x v="11"/>
    <s v="Atlantic Metals Mobile 4-Shelf Bookcases, Custom Colors"/>
    <n v="1573.49"/>
    <n v="7"/>
    <x v="1597"/>
    <x v="11"/>
    <x v="0"/>
  </r>
  <r>
    <n v="44561"/>
    <x v="274"/>
    <x v="24"/>
    <x v="0"/>
    <x v="4"/>
    <s v="BIC Brite Liner Grip Highlighters, Assorted, 5/Pack"/>
    <n v="29.68"/>
    <n v="7"/>
    <x v="45"/>
    <x v="11"/>
    <x v="0"/>
  </r>
  <r>
    <n v="44561"/>
    <x v="274"/>
    <x v="24"/>
    <x v="2"/>
    <x v="9"/>
    <s v="Sabrent 4-Port USB 2.0 Hub"/>
    <n v="47.53"/>
    <n v="7"/>
    <x v="1598"/>
    <x v="11"/>
    <x v="0"/>
  </r>
  <r>
    <n v="44561"/>
    <x v="146"/>
    <x v="32"/>
    <x v="1"/>
    <x v="8"/>
    <s v="Nu-Dell Executive Frame"/>
    <n v="63.2"/>
    <n v="5"/>
    <x v="1599"/>
    <x v="11"/>
    <x v="0"/>
  </r>
  <r>
    <n v="44561"/>
    <x v="146"/>
    <x v="32"/>
    <x v="2"/>
    <x v="9"/>
    <s v="ImationÂ SecureÂ DriveÂ + Hardware Encrypted USBÂ flash driveÂ - 16 GB"/>
    <n v="113.97"/>
    <n v="3"/>
    <x v="1600"/>
    <x v="11"/>
    <x v="0"/>
  </r>
  <r>
    <n v="44561"/>
    <x v="507"/>
    <x v="0"/>
    <x v="0"/>
    <x v="10"/>
    <s v="Staple envelope"/>
    <n v="49.57"/>
    <n v="2"/>
    <x v="1601"/>
    <x v="11"/>
    <x v="0"/>
  </r>
  <r>
    <n v="44561"/>
    <x v="307"/>
    <x v="43"/>
    <x v="0"/>
    <x v="0"/>
    <s v="Xerox 1917"/>
    <n v="195.64"/>
    <n v="4"/>
    <x v="1602"/>
    <x v="11"/>
    <x v="0"/>
  </r>
  <r>
    <n v="44561"/>
    <x v="307"/>
    <x v="43"/>
    <x v="0"/>
    <x v="0"/>
    <s v="Xerox 1970"/>
    <n v="14.94"/>
    <n v="3"/>
    <x v="162"/>
    <x v="11"/>
    <x v="0"/>
  </r>
  <r>
    <n v="44561"/>
    <x v="307"/>
    <x v="43"/>
    <x v="2"/>
    <x v="9"/>
    <s v="Plantronics Savi W720 Multi-Device Wireless Headset System"/>
    <n v="1687.8"/>
    <n v="4"/>
    <x v="1603"/>
    <x v="11"/>
    <x v="0"/>
  </r>
  <r>
    <n v="44561"/>
    <x v="307"/>
    <x v="43"/>
    <x v="1"/>
    <x v="11"/>
    <s v="Sauder Inglewood Library Bookcases"/>
    <n v="341.96"/>
    <n v="2"/>
    <x v="1604"/>
    <x v="11"/>
    <x v="0"/>
  </r>
  <r>
    <n v="44561"/>
    <x v="307"/>
    <x v="43"/>
    <x v="1"/>
    <x v="5"/>
    <s v="Global Fabric Manager's Chair, Dark Gray"/>
    <n v="605.88"/>
    <n v="6"/>
    <x v="1605"/>
    <x v="11"/>
    <x v="0"/>
  </r>
  <r>
    <n v="44561"/>
    <x v="594"/>
    <x v="17"/>
    <x v="2"/>
    <x v="6"/>
    <s v="Panasonic KX TS3282W Corded phone"/>
    <n v="475.94"/>
    <n v="7"/>
    <x v="1606"/>
    <x v="11"/>
    <x v="0"/>
  </r>
  <r>
    <n v="44561"/>
    <x v="160"/>
    <x v="20"/>
    <x v="2"/>
    <x v="9"/>
    <s v="Verbatim 25 GB 6x Blu-ray Single Layer Recordable Disc, 10/Pack"/>
    <n v="34.770000000000003"/>
    <n v="3"/>
    <x v="1607"/>
    <x v="11"/>
    <x v="0"/>
  </r>
  <r>
    <n v="44561"/>
    <x v="160"/>
    <x v="20"/>
    <x v="0"/>
    <x v="1"/>
    <s v="Avery 51"/>
    <n v="18.899999999999999"/>
    <n v="3"/>
    <x v="1061"/>
    <x v="11"/>
    <x v="0"/>
  </r>
  <r>
    <n v="44563"/>
    <x v="197"/>
    <x v="10"/>
    <x v="0"/>
    <x v="1"/>
    <s v="Avery 505"/>
    <n v="23.68"/>
    <n v="2"/>
    <x v="1352"/>
    <x v="0"/>
    <x v="1"/>
  </r>
  <r>
    <n v="44563"/>
    <x v="197"/>
    <x v="10"/>
    <x v="1"/>
    <x v="11"/>
    <s v="O'Sullivan 2-Door Barrister Bookcase in Odessa Pine"/>
    <n v="452.45"/>
    <n v="5"/>
    <x v="1608"/>
    <x v="0"/>
    <x v="1"/>
  </r>
  <r>
    <n v="44563"/>
    <x v="197"/>
    <x v="10"/>
    <x v="2"/>
    <x v="6"/>
    <s v="Speck Products Candyshell Flip Case"/>
    <n v="62.98"/>
    <n v="3"/>
    <x v="1609"/>
    <x v="0"/>
    <x v="1"/>
  </r>
  <r>
    <n v="44563"/>
    <x v="197"/>
    <x v="10"/>
    <x v="2"/>
    <x v="15"/>
    <s v="Cisco 9971 IP Video Phone Charcoal"/>
    <n v="1188"/>
    <n v="9"/>
    <x v="1610"/>
    <x v="0"/>
    <x v="1"/>
  </r>
  <r>
    <n v="44563"/>
    <x v="197"/>
    <x v="10"/>
    <x v="2"/>
    <x v="9"/>
    <s v="Sony Micro Vault Click 16 GB USB 2.0 Flash Drive"/>
    <n v="89.58"/>
    <n v="2"/>
    <x v="1611"/>
    <x v="0"/>
    <x v="1"/>
  </r>
  <r>
    <n v="44563"/>
    <x v="595"/>
    <x v="7"/>
    <x v="0"/>
    <x v="2"/>
    <s v="SAFCO Mobile Desk Side File, Wire Frame"/>
    <n v="85.52"/>
    <n v="2"/>
    <x v="1612"/>
    <x v="0"/>
    <x v="1"/>
  </r>
  <r>
    <n v="44563"/>
    <x v="595"/>
    <x v="7"/>
    <x v="0"/>
    <x v="4"/>
    <s v="Newell 313"/>
    <n v="9.84"/>
    <n v="3"/>
    <x v="1613"/>
    <x v="0"/>
    <x v="1"/>
  </r>
  <r>
    <n v="44563"/>
    <x v="595"/>
    <x v="7"/>
    <x v="0"/>
    <x v="0"/>
    <s v="Xerox 1959"/>
    <n v="20.04"/>
    <n v="3"/>
    <x v="1614"/>
    <x v="0"/>
    <x v="1"/>
  </r>
  <r>
    <n v="44564"/>
    <x v="472"/>
    <x v="0"/>
    <x v="0"/>
    <x v="0"/>
    <s v="Xerox 21"/>
    <n v="10.37"/>
    <n v="2"/>
    <x v="316"/>
    <x v="0"/>
    <x v="1"/>
  </r>
  <r>
    <n v="44564"/>
    <x v="596"/>
    <x v="0"/>
    <x v="2"/>
    <x v="9"/>
    <s v="Enermax Acrylux Wireless Keyboard"/>
    <n v="398.4"/>
    <n v="5"/>
    <x v="1615"/>
    <x v="0"/>
    <x v="1"/>
  </r>
  <r>
    <n v="44564"/>
    <x v="596"/>
    <x v="0"/>
    <x v="0"/>
    <x v="4"/>
    <s v="Newell 317"/>
    <n v="7.06"/>
    <n v="3"/>
    <x v="1230"/>
    <x v="0"/>
    <x v="1"/>
  </r>
  <r>
    <n v="44564"/>
    <x v="596"/>
    <x v="0"/>
    <x v="1"/>
    <x v="11"/>
    <s v="O'Sullivan Living Dimensions 5-Shelf Bookcases"/>
    <n v="1352.4"/>
    <n v="9"/>
    <x v="1616"/>
    <x v="0"/>
    <x v="1"/>
  </r>
  <r>
    <n v="44565"/>
    <x v="10"/>
    <x v="28"/>
    <x v="0"/>
    <x v="3"/>
    <s v="GBC Standard Recycled Report Covers, Clear Plastic Sheets"/>
    <n v="32.340000000000003"/>
    <n v="3"/>
    <x v="1617"/>
    <x v="0"/>
    <x v="1"/>
  </r>
  <r>
    <n v="44565"/>
    <x v="10"/>
    <x v="28"/>
    <x v="0"/>
    <x v="0"/>
    <s v="Adams Telephone Message Book w/Frequently-Called Numbers Space, 400 Messages per Book"/>
    <n v="39.9"/>
    <n v="5"/>
    <x v="1618"/>
    <x v="0"/>
    <x v="1"/>
  </r>
  <r>
    <n v="44565"/>
    <x v="597"/>
    <x v="6"/>
    <x v="1"/>
    <x v="8"/>
    <s v="DAX Wood Document Frame"/>
    <n v="192.22"/>
    <n v="14"/>
    <x v="1619"/>
    <x v="0"/>
    <x v="1"/>
  </r>
  <r>
    <n v="44566"/>
    <x v="50"/>
    <x v="22"/>
    <x v="1"/>
    <x v="5"/>
    <s v="Global Deluxe Steno Chair"/>
    <n v="61.58"/>
    <n v="1"/>
    <x v="1620"/>
    <x v="0"/>
    <x v="1"/>
  </r>
  <r>
    <n v="44566"/>
    <x v="196"/>
    <x v="20"/>
    <x v="0"/>
    <x v="4"/>
    <s v="Newell 34"/>
    <n v="59.52"/>
    <n v="3"/>
    <x v="142"/>
    <x v="0"/>
    <x v="1"/>
  </r>
  <r>
    <n v="44566"/>
    <x v="196"/>
    <x v="20"/>
    <x v="0"/>
    <x v="10"/>
    <s v="#10- 4 1/8&quot; x 9 1/2&quot; Recycled Envelopes"/>
    <n v="17.48"/>
    <n v="2"/>
    <x v="1576"/>
    <x v="0"/>
    <x v="1"/>
  </r>
  <r>
    <n v="44566"/>
    <x v="196"/>
    <x v="20"/>
    <x v="0"/>
    <x v="3"/>
    <s v="Wilson Jones data.warehouse D-Ring Binders with DublLock"/>
    <n v="13.17"/>
    <n v="2"/>
    <x v="1621"/>
    <x v="0"/>
    <x v="1"/>
  </r>
  <r>
    <n v="44566"/>
    <x v="594"/>
    <x v="3"/>
    <x v="0"/>
    <x v="12"/>
    <s v="Acco 6 Outlet Guardian Premium Surge Suppressor"/>
    <n v="87.36"/>
    <n v="6"/>
    <x v="181"/>
    <x v="0"/>
    <x v="1"/>
  </r>
  <r>
    <n v="44566"/>
    <x v="594"/>
    <x v="3"/>
    <x v="0"/>
    <x v="3"/>
    <s v="Fellowes Binding Cases"/>
    <n v="56.16"/>
    <n v="6"/>
    <x v="1622"/>
    <x v="0"/>
    <x v="1"/>
  </r>
  <r>
    <n v="44567"/>
    <x v="386"/>
    <x v="26"/>
    <x v="0"/>
    <x v="0"/>
    <s v="It's Hot Message Books with Stickers, 2 3/4&quot; x 5&quot;"/>
    <n v="29.6"/>
    <n v="5"/>
    <x v="1623"/>
    <x v="0"/>
    <x v="1"/>
  </r>
  <r>
    <n v="44567"/>
    <x v="386"/>
    <x v="26"/>
    <x v="0"/>
    <x v="3"/>
    <s v="Recycled Pressboard Report Cover with Reinforced Top Hinge"/>
    <n v="1.94"/>
    <n v="2"/>
    <x v="958"/>
    <x v="0"/>
    <x v="1"/>
  </r>
  <r>
    <n v="44570"/>
    <x v="96"/>
    <x v="5"/>
    <x v="0"/>
    <x v="0"/>
    <s v="Easy-staple paper"/>
    <n v="106.32"/>
    <n v="3"/>
    <x v="1624"/>
    <x v="0"/>
    <x v="1"/>
  </r>
  <r>
    <n v="44570"/>
    <x v="96"/>
    <x v="5"/>
    <x v="0"/>
    <x v="12"/>
    <s v="Belkin 5 Outlet SurgeMaster Power Centers"/>
    <n v="163.44"/>
    <n v="3"/>
    <x v="1625"/>
    <x v="0"/>
    <x v="1"/>
  </r>
  <r>
    <n v="44570"/>
    <x v="96"/>
    <x v="5"/>
    <x v="0"/>
    <x v="4"/>
    <s v="Boston 1730 StandUp Electric Pencil Sharpener"/>
    <n v="42.76"/>
    <n v="2"/>
    <x v="1626"/>
    <x v="0"/>
    <x v="1"/>
  </r>
  <r>
    <n v="44570"/>
    <x v="96"/>
    <x v="5"/>
    <x v="0"/>
    <x v="0"/>
    <s v="Speediset Carbonless Redi-Letter 7&quot; x 8 1/2&quot;"/>
    <n v="51.55"/>
    <n v="5"/>
    <x v="1627"/>
    <x v="0"/>
    <x v="1"/>
  </r>
  <r>
    <n v="44571"/>
    <x v="13"/>
    <x v="20"/>
    <x v="1"/>
    <x v="13"/>
    <s v="Bush Advantage Collection Racetrack Conference Table"/>
    <n v="1018.1"/>
    <n v="4"/>
    <x v="1628"/>
    <x v="0"/>
    <x v="1"/>
  </r>
  <r>
    <n v="44573"/>
    <x v="598"/>
    <x v="7"/>
    <x v="0"/>
    <x v="2"/>
    <s v="Dual Level, Single-Width Filing Carts"/>
    <n v="465.18"/>
    <n v="3"/>
    <x v="1629"/>
    <x v="0"/>
    <x v="1"/>
  </r>
  <r>
    <n v="44573"/>
    <x v="599"/>
    <x v="10"/>
    <x v="0"/>
    <x v="4"/>
    <s v="BIC Brite Liner Highlighters, Chisel Tip"/>
    <n v="10.37"/>
    <n v="2"/>
    <x v="1630"/>
    <x v="0"/>
    <x v="1"/>
  </r>
  <r>
    <n v="44573"/>
    <x v="599"/>
    <x v="10"/>
    <x v="2"/>
    <x v="6"/>
    <s v="GE 30524EE4"/>
    <n v="235.19"/>
    <n v="2"/>
    <x v="1631"/>
    <x v="0"/>
    <x v="1"/>
  </r>
  <r>
    <n v="44573"/>
    <x v="599"/>
    <x v="10"/>
    <x v="2"/>
    <x v="6"/>
    <s v="Anker 24W Portable Micro USB Car Charger"/>
    <n v="26.38"/>
    <n v="4"/>
    <x v="172"/>
    <x v="0"/>
    <x v="1"/>
  </r>
  <r>
    <n v="44573"/>
    <x v="599"/>
    <x v="10"/>
    <x v="2"/>
    <x v="9"/>
    <s v="SanDisk Cruzer 4 GB USB Flash Drive"/>
    <n v="10.38"/>
    <n v="2"/>
    <x v="481"/>
    <x v="0"/>
    <x v="1"/>
  </r>
  <r>
    <n v="44573"/>
    <x v="599"/>
    <x v="10"/>
    <x v="2"/>
    <x v="6"/>
    <s v="LG Electronics Tone+ HBS-730 Bluetooth Headset"/>
    <n v="107.12"/>
    <n v="3"/>
    <x v="1632"/>
    <x v="0"/>
    <x v="1"/>
  </r>
  <r>
    <n v="44574"/>
    <x v="300"/>
    <x v="3"/>
    <x v="0"/>
    <x v="3"/>
    <s v="Binding Machine Supplies"/>
    <n v="70.010000000000005"/>
    <n v="3"/>
    <x v="1633"/>
    <x v="0"/>
    <x v="1"/>
  </r>
  <r>
    <n v="44574"/>
    <x v="300"/>
    <x v="3"/>
    <x v="1"/>
    <x v="8"/>
    <s v="Floodlight Indoor Halogen Bulbs, 1 Bulb per Pack, 60 Watts"/>
    <n v="77.599999999999994"/>
    <n v="4"/>
    <x v="1634"/>
    <x v="0"/>
    <x v="1"/>
  </r>
  <r>
    <n v="44574"/>
    <x v="300"/>
    <x v="3"/>
    <x v="1"/>
    <x v="8"/>
    <s v="Deflect-o EconoMat Nonstudded, No Bevel Mat"/>
    <n v="464.85"/>
    <n v="9"/>
    <x v="1635"/>
    <x v="0"/>
    <x v="1"/>
  </r>
  <r>
    <n v="44574"/>
    <x v="600"/>
    <x v="4"/>
    <x v="0"/>
    <x v="1"/>
    <s v="Avery 508"/>
    <n v="9.82"/>
    <n v="2"/>
    <x v="1636"/>
    <x v="0"/>
    <x v="1"/>
  </r>
  <r>
    <n v="44578"/>
    <x v="179"/>
    <x v="1"/>
    <x v="1"/>
    <x v="8"/>
    <s v="Eldon ClusterMat Chair Mat with Cordless Antistatic Protection"/>
    <n v="254.74"/>
    <n v="7"/>
    <x v="1637"/>
    <x v="0"/>
    <x v="1"/>
  </r>
  <r>
    <n v="44578"/>
    <x v="134"/>
    <x v="32"/>
    <x v="0"/>
    <x v="4"/>
    <s v="Avery Fluorescent Highlighter Four-Color Set"/>
    <n v="6.68"/>
    <n v="2"/>
    <x v="866"/>
    <x v="0"/>
    <x v="1"/>
  </r>
  <r>
    <n v="44578"/>
    <x v="596"/>
    <x v="15"/>
    <x v="0"/>
    <x v="14"/>
    <s v="Acme Hot Forged Carbon Steel Scissors with Nickel-Plated Handles, 3 7/8&quot; Cut, 8&quot;L"/>
    <n v="88.96"/>
    <n v="8"/>
    <x v="1638"/>
    <x v="0"/>
    <x v="1"/>
  </r>
  <r>
    <n v="44580"/>
    <x v="181"/>
    <x v="0"/>
    <x v="1"/>
    <x v="13"/>
    <s v="Bevis Round Conference Table Top &amp; Single Column Base"/>
    <n v="102.44"/>
    <n v="1"/>
    <x v="1639"/>
    <x v="0"/>
    <x v="1"/>
  </r>
  <r>
    <n v="44580"/>
    <x v="181"/>
    <x v="0"/>
    <x v="1"/>
    <x v="5"/>
    <s v="Harbour Creations 67200 Series Stacking Chairs"/>
    <n v="199.3"/>
    <n v="4"/>
    <x v="1640"/>
    <x v="0"/>
    <x v="1"/>
  </r>
  <r>
    <n v="44584"/>
    <x v="249"/>
    <x v="35"/>
    <x v="0"/>
    <x v="0"/>
    <s v="Wirebound Service Call Books, 5 1/2&quot; x 4&quot;"/>
    <n v="29.04"/>
    <n v="3"/>
    <x v="1641"/>
    <x v="0"/>
    <x v="1"/>
  </r>
  <r>
    <n v="44584"/>
    <x v="249"/>
    <x v="35"/>
    <x v="0"/>
    <x v="1"/>
    <s v="Avery 500"/>
    <n v="14.62"/>
    <n v="2"/>
    <x v="96"/>
    <x v="0"/>
    <x v="1"/>
  </r>
  <r>
    <n v="44585"/>
    <x v="601"/>
    <x v="16"/>
    <x v="0"/>
    <x v="4"/>
    <s v="Crayola Colored Pencils"/>
    <n v="13.12"/>
    <n v="5"/>
    <x v="1642"/>
    <x v="0"/>
    <x v="1"/>
  </r>
  <r>
    <n v="44587"/>
    <x v="551"/>
    <x v="3"/>
    <x v="0"/>
    <x v="0"/>
    <s v="Xerox 1991"/>
    <n v="182.72"/>
    <n v="8"/>
    <x v="1643"/>
    <x v="0"/>
    <x v="1"/>
  </r>
  <r>
    <n v="44588"/>
    <x v="9"/>
    <x v="10"/>
    <x v="1"/>
    <x v="5"/>
    <s v="High-Back Leather Manager's Chair"/>
    <n v="181.99"/>
    <n v="2"/>
    <x v="1644"/>
    <x v="0"/>
    <x v="1"/>
  </r>
  <r>
    <n v="44588"/>
    <x v="9"/>
    <x v="10"/>
    <x v="2"/>
    <x v="6"/>
    <s v="Polycom VVX 310 VoIP phone"/>
    <n v="431.98"/>
    <n v="4"/>
    <x v="1645"/>
    <x v="0"/>
    <x v="1"/>
  </r>
  <r>
    <n v="44588"/>
    <x v="9"/>
    <x v="10"/>
    <x v="2"/>
    <x v="6"/>
    <s v="Nortel Meridian M5316 Digital phone"/>
    <n v="155.37"/>
    <n v="1"/>
    <x v="1646"/>
    <x v="0"/>
    <x v="1"/>
  </r>
  <r>
    <n v="44588"/>
    <x v="573"/>
    <x v="3"/>
    <x v="1"/>
    <x v="5"/>
    <s v="HON 5400 Series Task Chairs for Big and Tall"/>
    <n v="2803.92"/>
    <n v="5"/>
    <x v="62"/>
    <x v="0"/>
    <x v="1"/>
  </r>
  <r>
    <n v="44589"/>
    <x v="343"/>
    <x v="25"/>
    <x v="1"/>
    <x v="13"/>
    <s v="Chromcraft Bull-Nose Wood Oval Conference Tables &amp; Bases"/>
    <n v="4297.6400000000003"/>
    <n v="13"/>
    <x v="1647"/>
    <x v="0"/>
    <x v="1"/>
  </r>
  <r>
    <n v="44591"/>
    <x v="355"/>
    <x v="0"/>
    <x v="0"/>
    <x v="0"/>
    <s v="Rediform Voice Mail Log Books"/>
    <n v="14.3"/>
    <n v="6"/>
    <x v="1648"/>
    <x v="0"/>
    <x v="1"/>
  </r>
  <r>
    <n v="44591"/>
    <x v="309"/>
    <x v="3"/>
    <x v="1"/>
    <x v="8"/>
    <s v="Computer Room Manger, 14&quot;"/>
    <n v="227.36"/>
    <n v="7"/>
    <x v="1649"/>
    <x v="0"/>
    <x v="1"/>
  </r>
  <r>
    <n v="44591"/>
    <x v="309"/>
    <x v="3"/>
    <x v="2"/>
    <x v="15"/>
    <s v="Bady BDG101FRU Card Printer"/>
    <n v="1919.98"/>
    <n v="3"/>
    <x v="1650"/>
    <x v="0"/>
    <x v="1"/>
  </r>
  <r>
    <n v="44592"/>
    <x v="366"/>
    <x v="28"/>
    <x v="0"/>
    <x v="0"/>
    <s v="Xerox 1999"/>
    <n v="12.96"/>
    <n v="2"/>
    <x v="113"/>
    <x v="0"/>
    <x v="1"/>
  </r>
  <r>
    <n v="44592"/>
    <x v="366"/>
    <x v="28"/>
    <x v="1"/>
    <x v="8"/>
    <s v="Seth Thomas 13 1/2&quot; Wall Clock"/>
    <n v="53.34"/>
    <n v="3"/>
    <x v="1651"/>
    <x v="0"/>
    <x v="1"/>
  </r>
  <r>
    <n v="44592"/>
    <x v="366"/>
    <x v="28"/>
    <x v="0"/>
    <x v="3"/>
    <s v="Ibico Standard Transparent Covers"/>
    <n v="32.96"/>
    <n v="2"/>
    <x v="1652"/>
    <x v="0"/>
    <x v="1"/>
  </r>
  <r>
    <n v="44595"/>
    <x v="158"/>
    <x v="40"/>
    <x v="1"/>
    <x v="8"/>
    <s v="Coloredge Poster Frame"/>
    <n v="28.4"/>
    <n v="2"/>
    <x v="414"/>
    <x v="1"/>
    <x v="1"/>
  </r>
  <r>
    <n v="44595"/>
    <x v="158"/>
    <x v="40"/>
    <x v="2"/>
    <x v="9"/>
    <s v="Kensington SlimBlade Notebook Wireless Mouse with Nano Receiver"/>
    <n v="149.97"/>
    <n v="3"/>
    <x v="1653"/>
    <x v="1"/>
    <x v="1"/>
  </r>
  <r>
    <n v="44595"/>
    <x v="602"/>
    <x v="3"/>
    <x v="1"/>
    <x v="8"/>
    <s v="Hand-Finished Solid Wood Document Frame"/>
    <n v="136.91999999999999"/>
    <n v="4"/>
    <x v="1654"/>
    <x v="1"/>
    <x v="1"/>
  </r>
  <r>
    <n v="44595"/>
    <x v="484"/>
    <x v="27"/>
    <x v="0"/>
    <x v="3"/>
    <s v="Wilson Jones Standard D-Ring Binders"/>
    <n v="12.14"/>
    <n v="3"/>
    <x v="60"/>
    <x v="1"/>
    <x v="1"/>
  </r>
  <r>
    <n v="44595"/>
    <x v="251"/>
    <x v="4"/>
    <x v="0"/>
    <x v="10"/>
    <s v="Staple envelope"/>
    <n v="74.52"/>
    <n v="9"/>
    <x v="1655"/>
    <x v="1"/>
    <x v="1"/>
  </r>
  <r>
    <n v="44595"/>
    <x v="203"/>
    <x v="20"/>
    <x v="1"/>
    <x v="5"/>
    <s v="Global Fabric Manager's Chair, Dark Gray"/>
    <n v="90.88"/>
    <n v="1"/>
    <x v="1656"/>
    <x v="1"/>
    <x v="1"/>
  </r>
  <r>
    <n v="44598"/>
    <x v="197"/>
    <x v="22"/>
    <x v="0"/>
    <x v="4"/>
    <s v="Newell 310"/>
    <n v="5.28"/>
    <n v="3"/>
    <x v="1657"/>
    <x v="1"/>
    <x v="1"/>
  </r>
  <r>
    <n v="44598"/>
    <x v="325"/>
    <x v="7"/>
    <x v="1"/>
    <x v="5"/>
    <s v="Office Star - Contemporary Swivel Chair with Padded Adjustable Arms and Flex Back"/>
    <n v="1268.82"/>
    <n v="9"/>
    <x v="1658"/>
    <x v="1"/>
    <x v="1"/>
  </r>
  <r>
    <n v="44598"/>
    <x v="325"/>
    <x v="7"/>
    <x v="1"/>
    <x v="11"/>
    <s v="Hon Metal Bookcases, Putty"/>
    <n v="283.92"/>
    <n v="4"/>
    <x v="1659"/>
    <x v="1"/>
    <x v="1"/>
  </r>
  <r>
    <n v="44598"/>
    <x v="325"/>
    <x v="7"/>
    <x v="0"/>
    <x v="4"/>
    <s v="SANFORD Liquid Accent Tank-Style Highlighters"/>
    <n v="5.68"/>
    <n v="2"/>
    <x v="1406"/>
    <x v="1"/>
    <x v="1"/>
  </r>
  <r>
    <n v="44598"/>
    <x v="603"/>
    <x v="0"/>
    <x v="0"/>
    <x v="3"/>
    <s v="UniKeep View Case Binders"/>
    <n v="2.93"/>
    <n v="3"/>
    <x v="1660"/>
    <x v="1"/>
    <x v="1"/>
  </r>
  <r>
    <n v="44598"/>
    <x v="603"/>
    <x v="0"/>
    <x v="2"/>
    <x v="9"/>
    <s v="Memorex Mini Travel Drive 8 GB USB 2.0 Flash Drive"/>
    <n v="18.53"/>
    <n v="2"/>
    <x v="1661"/>
    <x v="1"/>
    <x v="1"/>
  </r>
  <r>
    <n v="44598"/>
    <x v="603"/>
    <x v="0"/>
    <x v="0"/>
    <x v="2"/>
    <s v="Tennsco Snap-Together Open Shelving Units, Starter Sets and Add-On Units"/>
    <n v="670.75"/>
    <n v="3"/>
    <x v="1662"/>
    <x v="1"/>
    <x v="1"/>
  </r>
  <r>
    <n v="44598"/>
    <x v="604"/>
    <x v="6"/>
    <x v="0"/>
    <x v="2"/>
    <s v="Tennsco Industrial Shelving"/>
    <n v="146.72999999999999"/>
    <n v="3"/>
    <x v="1461"/>
    <x v="1"/>
    <x v="1"/>
  </r>
  <r>
    <n v="44598"/>
    <x v="604"/>
    <x v="6"/>
    <x v="0"/>
    <x v="0"/>
    <s v="Xerox 1920"/>
    <n v="29.9"/>
    <n v="5"/>
    <x v="1663"/>
    <x v="1"/>
    <x v="1"/>
  </r>
  <r>
    <n v="44599"/>
    <x v="105"/>
    <x v="6"/>
    <x v="0"/>
    <x v="10"/>
    <s v="Cameo Buff Policy Envelopes"/>
    <n v="311.14999999999998"/>
    <n v="5"/>
    <x v="1664"/>
    <x v="1"/>
    <x v="1"/>
  </r>
  <r>
    <n v="44599"/>
    <x v="105"/>
    <x v="6"/>
    <x v="0"/>
    <x v="0"/>
    <s v="Xerox 1957"/>
    <n v="12.96"/>
    <n v="2"/>
    <x v="195"/>
    <x v="1"/>
    <x v="1"/>
  </r>
  <r>
    <n v="44600"/>
    <x v="384"/>
    <x v="10"/>
    <x v="2"/>
    <x v="6"/>
    <s v="JBL Micro Wireless Portable Bluetooth Speaker"/>
    <n v="107.98"/>
    <n v="3"/>
    <x v="1665"/>
    <x v="1"/>
    <x v="1"/>
  </r>
  <r>
    <n v="44600"/>
    <x v="248"/>
    <x v="42"/>
    <x v="0"/>
    <x v="0"/>
    <s v="Wirebound Message Books, Four 2 3/4 x 5 Forms per Page, 200 Sets per Book"/>
    <n v="9.5399999999999991"/>
    <n v="2"/>
    <x v="1254"/>
    <x v="1"/>
    <x v="1"/>
  </r>
  <r>
    <n v="44600"/>
    <x v="248"/>
    <x v="42"/>
    <x v="0"/>
    <x v="7"/>
    <s v="Advantus Push Pins, Aluminum Head"/>
    <n v="5.81"/>
    <n v="1"/>
    <x v="1666"/>
    <x v="1"/>
    <x v="1"/>
  </r>
  <r>
    <n v="44600"/>
    <x v="248"/>
    <x v="42"/>
    <x v="0"/>
    <x v="4"/>
    <s v="Sanford Colorific Colored Pencils, 12/Box"/>
    <n v="5.76"/>
    <n v="2"/>
    <x v="1515"/>
    <x v="1"/>
    <x v="1"/>
  </r>
  <r>
    <n v="44601"/>
    <x v="279"/>
    <x v="0"/>
    <x v="2"/>
    <x v="9"/>
    <s v="Memorex Micro Travel Drive 8 GB"/>
    <n v="20.8"/>
    <n v="2"/>
    <x v="1667"/>
    <x v="1"/>
    <x v="1"/>
  </r>
  <r>
    <n v="44601"/>
    <x v="410"/>
    <x v="0"/>
    <x v="0"/>
    <x v="1"/>
    <s v="Round Specialty Laser Printer Labels"/>
    <n v="40.1"/>
    <n v="4"/>
    <x v="1668"/>
    <x v="1"/>
    <x v="1"/>
  </r>
  <r>
    <n v="44601"/>
    <x v="410"/>
    <x v="0"/>
    <x v="1"/>
    <x v="8"/>
    <s v="Dana Fluorescent Magnifying Lamp, White, 36&quot;"/>
    <n v="40.78"/>
    <n v="2"/>
    <x v="1669"/>
    <x v="1"/>
    <x v="1"/>
  </r>
  <r>
    <n v="44601"/>
    <x v="605"/>
    <x v="3"/>
    <x v="1"/>
    <x v="5"/>
    <s v="Global Deluxe Stacking Chair, Gray"/>
    <n v="203.92"/>
    <n v="5"/>
    <x v="1670"/>
    <x v="1"/>
    <x v="1"/>
  </r>
  <r>
    <n v="44601"/>
    <x v="453"/>
    <x v="1"/>
    <x v="2"/>
    <x v="9"/>
    <s v="Logitech Wireless Headset h800"/>
    <n v="479.95"/>
    <n v="6"/>
    <x v="1671"/>
    <x v="1"/>
    <x v="1"/>
  </r>
  <r>
    <n v="44602"/>
    <x v="555"/>
    <x v="2"/>
    <x v="0"/>
    <x v="2"/>
    <s v="Eldon ProFile File 'N Store Portable File Tub Letter/Legal Size Black"/>
    <n v="77.239999999999995"/>
    <n v="5"/>
    <x v="1672"/>
    <x v="1"/>
    <x v="1"/>
  </r>
  <r>
    <n v="44606"/>
    <x v="366"/>
    <x v="10"/>
    <x v="0"/>
    <x v="3"/>
    <s v="GBC Standard Therm-A-Bind Covers"/>
    <n v="14.95"/>
    <n v="2"/>
    <x v="1673"/>
    <x v="1"/>
    <x v="1"/>
  </r>
  <r>
    <n v="44606"/>
    <x v="366"/>
    <x v="10"/>
    <x v="2"/>
    <x v="6"/>
    <s v="Google Nexus 5"/>
    <n v="323.98"/>
    <n v="3"/>
    <x v="1674"/>
    <x v="1"/>
    <x v="1"/>
  </r>
  <r>
    <n v="44606"/>
    <x v="366"/>
    <x v="10"/>
    <x v="0"/>
    <x v="3"/>
    <s v="Acco Hanging Data Binders"/>
    <n v="2.29"/>
    <n v="2"/>
    <x v="1675"/>
    <x v="1"/>
    <x v="1"/>
  </r>
  <r>
    <n v="44606"/>
    <x v="366"/>
    <x v="10"/>
    <x v="0"/>
    <x v="4"/>
    <s v="Newell 315"/>
    <n v="14.35"/>
    <n v="3"/>
    <x v="1191"/>
    <x v="1"/>
    <x v="1"/>
  </r>
  <r>
    <n v="44606"/>
    <x v="366"/>
    <x v="10"/>
    <x v="2"/>
    <x v="9"/>
    <s v="Belkin F8E887 USB Wired Ergonomic Keyboard"/>
    <n v="71.98"/>
    <n v="3"/>
    <x v="1191"/>
    <x v="1"/>
    <x v="1"/>
  </r>
  <r>
    <n v="44606"/>
    <x v="207"/>
    <x v="20"/>
    <x v="0"/>
    <x v="3"/>
    <s v="Black Avery Memo-Size 3-Ring Binder, 5 1/2&quot; x 8 1/2&quot;"/>
    <n v="26.42"/>
    <n v="9"/>
    <x v="1676"/>
    <x v="1"/>
    <x v="1"/>
  </r>
  <r>
    <n v="44606"/>
    <x v="207"/>
    <x v="20"/>
    <x v="2"/>
    <x v="6"/>
    <s v="Samsung Galaxy S4"/>
    <n v="625.99"/>
    <n v="1"/>
    <x v="1677"/>
    <x v="1"/>
    <x v="1"/>
  </r>
  <r>
    <n v="44607"/>
    <x v="132"/>
    <x v="21"/>
    <x v="2"/>
    <x v="6"/>
    <s v="Innergie mMini Combo Duo USB Travel Charging Kit"/>
    <n v="134.97"/>
    <n v="3"/>
    <x v="1678"/>
    <x v="1"/>
    <x v="1"/>
  </r>
  <r>
    <n v="44607"/>
    <x v="132"/>
    <x v="21"/>
    <x v="2"/>
    <x v="6"/>
    <s v="Samsung Galaxy S III - 16GB - pebble blue (T-Mobile)"/>
    <n v="699.98"/>
    <n v="2"/>
    <x v="1679"/>
    <x v="1"/>
    <x v="1"/>
  </r>
  <r>
    <n v="44607"/>
    <x v="132"/>
    <x v="21"/>
    <x v="2"/>
    <x v="9"/>
    <s v="MaxellÂ LTO Ultrium - 800 GB"/>
    <n v="139.94999999999999"/>
    <n v="5"/>
    <x v="1680"/>
    <x v="1"/>
    <x v="1"/>
  </r>
  <r>
    <n v="44607"/>
    <x v="176"/>
    <x v="3"/>
    <x v="0"/>
    <x v="0"/>
    <s v="Xerox 1959"/>
    <n v="13.36"/>
    <n v="2"/>
    <x v="846"/>
    <x v="1"/>
    <x v="1"/>
  </r>
  <r>
    <n v="44607"/>
    <x v="176"/>
    <x v="3"/>
    <x v="0"/>
    <x v="3"/>
    <s v="Acco Data Flex Cable Posts For Top &amp; Bottom Load Binders, 6&quot; Capacity"/>
    <n v="41.72"/>
    <n v="5"/>
    <x v="1681"/>
    <x v="1"/>
    <x v="1"/>
  </r>
  <r>
    <n v="44607"/>
    <x v="176"/>
    <x v="3"/>
    <x v="0"/>
    <x v="3"/>
    <s v="Avery Durable Binders"/>
    <n v="11.52"/>
    <n v="5"/>
    <x v="1682"/>
    <x v="1"/>
    <x v="1"/>
  </r>
  <r>
    <n v="44607"/>
    <x v="176"/>
    <x v="3"/>
    <x v="0"/>
    <x v="12"/>
    <s v="Kensington 6 Outlet MasterPiece HOMEOFFICE Power Control Center"/>
    <n v="541.44000000000005"/>
    <n v="6"/>
    <x v="1683"/>
    <x v="1"/>
    <x v="1"/>
  </r>
  <r>
    <n v="44607"/>
    <x v="176"/>
    <x v="3"/>
    <x v="0"/>
    <x v="0"/>
    <s v="Xerox 22"/>
    <n v="19.440000000000001"/>
    <n v="3"/>
    <x v="5"/>
    <x v="1"/>
    <x v="1"/>
  </r>
  <r>
    <n v="44608"/>
    <x v="569"/>
    <x v="38"/>
    <x v="0"/>
    <x v="0"/>
    <s v="Xerox 1920"/>
    <n v="35.880000000000003"/>
    <n v="6"/>
    <x v="1652"/>
    <x v="1"/>
    <x v="1"/>
  </r>
  <r>
    <n v="44608"/>
    <x v="122"/>
    <x v="3"/>
    <x v="0"/>
    <x v="0"/>
    <s v="Xerox 1881"/>
    <n v="36.840000000000003"/>
    <n v="3"/>
    <x v="1684"/>
    <x v="1"/>
    <x v="1"/>
  </r>
  <r>
    <n v="44608"/>
    <x v="122"/>
    <x v="3"/>
    <x v="0"/>
    <x v="1"/>
    <s v="Avery 485"/>
    <n v="87.71"/>
    <n v="7"/>
    <x v="1685"/>
    <x v="1"/>
    <x v="1"/>
  </r>
  <r>
    <n v="44610"/>
    <x v="518"/>
    <x v="3"/>
    <x v="0"/>
    <x v="1"/>
    <s v="Smead Alpha-Z Color-Coded Second Alphabetical Labels and Starter Set"/>
    <n v="9.24"/>
    <n v="3"/>
    <x v="823"/>
    <x v="1"/>
    <x v="1"/>
  </r>
  <r>
    <n v="44610"/>
    <x v="606"/>
    <x v="3"/>
    <x v="0"/>
    <x v="1"/>
    <s v="Avery 4027 File Folder Labels for Dot Matrix Printers, 5000 Labels per Box, White"/>
    <n v="61.06"/>
    <n v="2"/>
    <x v="1686"/>
    <x v="1"/>
    <x v="1"/>
  </r>
  <r>
    <n v="44610"/>
    <x v="606"/>
    <x v="3"/>
    <x v="1"/>
    <x v="13"/>
    <s v="Hon 61000 Series Interactive Training Tables"/>
    <n v="35.54"/>
    <n v="1"/>
    <x v="1687"/>
    <x v="1"/>
    <x v="1"/>
  </r>
  <r>
    <n v="44612"/>
    <x v="272"/>
    <x v="13"/>
    <x v="2"/>
    <x v="9"/>
    <s v="Anker Ultrathin Bluetooth Wireless Keyboard Aluminum Cover with Stand"/>
    <n v="29.99"/>
    <n v="1"/>
    <x v="1559"/>
    <x v="1"/>
    <x v="1"/>
  </r>
  <r>
    <n v="44612"/>
    <x v="75"/>
    <x v="23"/>
    <x v="0"/>
    <x v="4"/>
    <s v="Sanford 52201 APSCO Electric Pencil Sharpener"/>
    <n v="286.79000000000002"/>
    <n v="7"/>
    <x v="1510"/>
    <x v="1"/>
    <x v="1"/>
  </r>
  <r>
    <n v="44613"/>
    <x v="364"/>
    <x v="31"/>
    <x v="0"/>
    <x v="0"/>
    <s v="Easy-staple paper"/>
    <n v="49.12"/>
    <n v="4"/>
    <x v="641"/>
    <x v="1"/>
    <x v="1"/>
  </r>
  <r>
    <n v="44613"/>
    <x v="517"/>
    <x v="36"/>
    <x v="0"/>
    <x v="3"/>
    <s v="Fellowes PB500 Electric Punch Plastic Comb Binding Machine with Manual Bind"/>
    <n v="2541.98"/>
    <n v="2"/>
    <x v="1688"/>
    <x v="1"/>
    <x v="1"/>
  </r>
  <r>
    <n v="44614"/>
    <x v="577"/>
    <x v="14"/>
    <x v="0"/>
    <x v="4"/>
    <s v="Newell 34"/>
    <n v="79.36"/>
    <n v="4"/>
    <x v="1689"/>
    <x v="1"/>
    <x v="1"/>
  </r>
  <r>
    <n v="44615"/>
    <x v="607"/>
    <x v="20"/>
    <x v="0"/>
    <x v="12"/>
    <s v="Hoover Portapower Portable Vacuum"/>
    <n v="26.88"/>
    <n v="6"/>
    <x v="1690"/>
    <x v="1"/>
    <x v="1"/>
  </r>
  <r>
    <n v="44615"/>
    <x v="607"/>
    <x v="20"/>
    <x v="0"/>
    <x v="3"/>
    <s v="Avery Self-Adhesive Photo Pockets for Polaroid Photos"/>
    <n v="10.9"/>
    <n v="2"/>
    <x v="1509"/>
    <x v="1"/>
    <x v="1"/>
  </r>
  <r>
    <n v="44617"/>
    <x v="567"/>
    <x v="32"/>
    <x v="0"/>
    <x v="1"/>
    <s v="Avery 518"/>
    <n v="3.15"/>
    <n v="1"/>
    <x v="367"/>
    <x v="1"/>
    <x v="1"/>
  </r>
  <r>
    <n v="44617"/>
    <x v="567"/>
    <x v="32"/>
    <x v="0"/>
    <x v="0"/>
    <s v="Adams Telephone Message Book W/Dividers/Space For Phone Numbers, 5 1/4&quot;X8 1/2&quot;, 200/Messages"/>
    <n v="22.72"/>
    <n v="4"/>
    <x v="725"/>
    <x v="1"/>
    <x v="1"/>
  </r>
  <r>
    <n v="44619"/>
    <x v="478"/>
    <x v="2"/>
    <x v="0"/>
    <x v="3"/>
    <s v="Pressboard Covers with Storage Hooks, 9 1/2&quot; x 11&quot;, Light Blue"/>
    <n v="4.42"/>
    <n v="3"/>
    <x v="1691"/>
    <x v="1"/>
    <x v="1"/>
  </r>
  <r>
    <n v="44619"/>
    <x v="478"/>
    <x v="2"/>
    <x v="0"/>
    <x v="4"/>
    <s v="Eldon Spacemaker Box, Quick-Snap Lid, Clear"/>
    <n v="16.03"/>
    <n v="6"/>
    <x v="1692"/>
    <x v="1"/>
    <x v="1"/>
  </r>
  <r>
    <n v="44619"/>
    <x v="442"/>
    <x v="43"/>
    <x v="2"/>
    <x v="6"/>
    <s v="i.Sound Portable Power - 8000 mAh"/>
    <n v="105.98"/>
    <n v="2"/>
    <x v="266"/>
    <x v="1"/>
    <x v="1"/>
  </r>
  <r>
    <n v="44619"/>
    <x v="442"/>
    <x v="43"/>
    <x v="1"/>
    <x v="13"/>
    <s v="Barricks 18&quot; x 48&quot; Non-Folding Utility Table with Bottom Storage Shelf"/>
    <n v="493.92"/>
    <n v="7"/>
    <x v="1693"/>
    <x v="1"/>
    <x v="1"/>
  </r>
  <r>
    <n v="44619"/>
    <x v="608"/>
    <x v="22"/>
    <x v="2"/>
    <x v="9"/>
    <s v="Microsoft Natural Keyboard Elite"/>
    <n v="538.91999999999996"/>
    <n v="9"/>
    <x v="1694"/>
    <x v="1"/>
    <x v="1"/>
  </r>
  <r>
    <n v="44620"/>
    <x v="329"/>
    <x v="15"/>
    <x v="1"/>
    <x v="5"/>
    <s v="Global Low Back Tilter Chair"/>
    <n v="161.57"/>
    <n v="2"/>
    <x v="1695"/>
    <x v="1"/>
    <x v="1"/>
  </r>
  <r>
    <n v="44620"/>
    <x v="329"/>
    <x v="15"/>
    <x v="1"/>
    <x v="5"/>
    <s v="Global Push Button Manager's Chair, Indigo"/>
    <n v="389.7"/>
    <n v="8"/>
    <x v="1696"/>
    <x v="1"/>
    <x v="1"/>
  </r>
  <r>
    <n v="44621"/>
    <x v="43"/>
    <x v="4"/>
    <x v="0"/>
    <x v="3"/>
    <s v="XtraLife ClearVue Slant-D Ring Binder, White, 3&quot;"/>
    <n v="58.72"/>
    <n v="4"/>
    <x v="1697"/>
    <x v="2"/>
    <x v="1"/>
  </r>
  <r>
    <n v="44621"/>
    <x v="526"/>
    <x v="3"/>
    <x v="2"/>
    <x v="6"/>
    <s v="Square Credit Card Reader"/>
    <n v="15.98"/>
    <n v="2"/>
    <x v="217"/>
    <x v="2"/>
    <x v="1"/>
  </r>
  <r>
    <n v="44621"/>
    <x v="526"/>
    <x v="3"/>
    <x v="1"/>
    <x v="5"/>
    <s v="Global Deluxe Steno Chair"/>
    <n v="184.75"/>
    <n v="3"/>
    <x v="1698"/>
    <x v="2"/>
    <x v="1"/>
  </r>
  <r>
    <n v="44621"/>
    <x v="218"/>
    <x v="2"/>
    <x v="0"/>
    <x v="12"/>
    <s v="Hoover Replacement Belt for Commercial Guardsman Heavy-Duty Upright Vacuum"/>
    <n v="3.55"/>
    <n v="2"/>
    <x v="1699"/>
    <x v="2"/>
    <x v="1"/>
  </r>
  <r>
    <n v="44621"/>
    <x v="71"/>
    <x v="0"/>
    <x v="0"/>
    <x v="4"/>
    <s v="Panasonic KP-350BK Electric Pencil Sharpener with Auto Stop"/>
    <n v="55.33"/>
    <n v="2"/>
    <x v="113"/>
    <x v="2"/>
    <x v="1"/>
  </r>
  <r>
    <n v="44621"/>
    <x v="71"/>
    <x v="0"/>
    <x v="1"/>
    <x v="11"/>
    <s v="Atlantic Metals Mobile 5-Shelf Bookcases, Custom Colors"/>
    <n v="1228"/>
    <n v="6"/>
    <x v="1700"/>
    <x v="2"/>
    <x v="1"/>
  </r>
  <r>
    <n v="44621"/>
    <x v="609"/>
    <x v="0"/>
    <x v="2"/>
    <x v="6"/>
    <s v="Jackery Bar Premium Fast-charging Portable Charger"/>
    <n v="95.84"/>
    <n v="4"/>
    <x v="1701"/>
    <x v="2"/>
    <x v="1"/>
  </r>
  <r>
    <n v="44622"/>
    <x v="610"/>
    <x v="22"/>
    <x v="1"/>
    <x v="13"/>
    <s v="Hon Racetrack Conference Tables"/>
    <n v="787.53"/>
    <n v="3"/>
    <x v="1702"/>
    <x v="2"/>
    <x v="1"/>
  </r>
  <r>
    <n v="44622"/>
    <x v="205"/>
    <x v="18"/>
    <x v="0"/>
    <x v="4"/>
    <s v="50 Colored Long Pencils"/>
    <n v="10.16"/>
    <n v="1"/>
    <x v="172"/>
    <x v="2"/>
    <x v="1"/>
  </r>
  <r>
    <n v="44622"/>
    <x v="205"/>
    <x v="18"/>
    <x v="0"/>
    <x v="10"/>
    <s v="Brown Kraft Recycled Envelopes"/>
    <n v="101.88"/>
    <n v="6"/>
    <x v="1703"/>
    <x v="2"/>
    <x v="1"/>
  </r>
  <r>
    <n v="44625"/>
    <x v="321"/>
    <x v="20"/>
    <x v="0"/>
    <x v="10"/>
    <s v="Staple envelope"/>
    <n v="29.34"/>
    <n v="3"/>
    <x v="1489"/>
    <x v="2"/>
    <x v="1"/>
  </r>
  <r>
    <n v="44625"/>
    <x v="321"/>
    <x v="20"/>
    <x v="1"/>
    <x v="5"/>
    <s v="Global Value Mid-Back Manager's Chair, Gray"/>
    <n v="383.61"/>
    <n v="7"/>
    <x v="1704"/>
    <x v="2"/>
    <x v="1"/>
  </r>
  <r>
    <n v="44625"/>
    <x v="321"/>
    <x v="20"/>
    <x v="0"/>
    <x v="2"/>
    <s v="Fellowes Strictly Business Drawer File, Letter/Legal Size"/>
    <n v="563.4"/>
    <n v="4"/>
    <x v="1705"/>
    <x v="2"/>
    <x v="1"/>
  </r>
  <r>
    <n v="44625"/>
    <x v="582"/>
    <x v="18"/>
    <x v="2"/>
    <x v="6"/>
    <s v="I Need's 3d Hello Kitty Hybrid Silicone Case Cover for HTC One X 4g with 3d Hello Kitty Stylus Pen Green/pink"/>
    <n v="23.92"/>
    <n v="2"/>
    <x v="516"/>
    <x v="2"/>
    <x v="1"/>
  </r>
  <r>
    <n v="44625"/>
    <x v="582"/>
    <x v="18"/>
    <x v="0"/>
    <x v="12"/>
    <s v="Staple holder"/>
    <n v="60.69"/>
    <n v="7"/>
    <x v="1706"/>
    <x v="2"/>
    <x v="1"/>
  </r>
  <r>
    <n v="44625"/>
    <x v="549"/>
    <x v="2"/>
    <x v="2"/>
    <x v="6"/>
    <s v="Samsung Convoy 3"/>
    <n v="466.16"/>
    <n v="7"/>
    <x v="1707"/>
    <x v="2"/>
    <x v="1"/>
  </r>
  <r>
    <n v="44625"/>
    <x v="549"/>
    <x v="2"/>
    <x v="2"/>
    <x v="9"/>
    <s v="Sony 16GB Class 10 Micro SDHC R40 Memory Card"/>
    <n v="10.31"/>
    <n v="1"/>
    <x v="1708"/>
    <x v="2"/>
    <x v="1"/>
  </r>
  <r>
    <n v="44625"/>
    <x v="549"/>
    <x v="2"/>
    <x v="0"/>
    <x v="3"/>
    <s v="Avery Round Ring Poly Binders"/>
    <n v="2.56"/>
    <n v="3"/>
    <x v="1709"/>
    <x v="2"/>
    <x v="1"/>
  </r>
  <r>
    <n v="44625"/>
    <x v="611"/>
    <x v="2"/>
    <x v="1"/>
    <x v="5"/>
    <s v="Situations Contoured Folding Chairs, 4/Set"/>
    <n v="99.37"/>
    <n v="2"/>
    <x v="1710"/>
    <x v="2"/>
    <x v="1"/>
  </r>
  <r>
    <n v="44625"/>
    <x v="611"/>
    <x v="2"/>
    <x v="1"/>
    <x v="8"/>
    <s v="36X48 HARDFLOOR CHAIRMAT"/>
    <n v="33.57"/>
    <n v="2"/>
    <x v="1711"/>
    <x v="2"/>
    <x v="1"/>
  </r>
  <r>
    <n v="44625"/>
    <x v="30"/>
    <x v="0"/>
    <x v="2"/>
    <x v="6"/>
    <s v="Cisco SPA525G2 IP Phone - Wireless"/>
    <n v="31.92"/>
    <n v="2"/>
    <x v="1712"/>
    <x v="2"/>
    <x v="1"/>
  </r>
  <r>
    <n v="44625"/>
    <x v="612"/>
    <x v="1"/>
    <x v="0"/>
    <x v="7"/>
    <s v="Binder Clips by OIC"/>
    <n v="7.1"/>
    <n v="6"/>
    <x v="312"/>
    <x v="2"/>
    <x v="1"/>
  </r>
  <r>
    <n v="44625"/>
    <x v="389"/>
    <x v="1"/>
    <x v="0"/>
    <x v="3"/>
    <s v="Performers Binder/Pad Holder, Black"/>
    <n v="11.21"/>
    <n v="2"/>
    <x v="1713"/>
    <x v="2"/>
    <x v="1"/>
  </r>
  <r>
    <n v="44625"/>
    <x v="389"/>
    <x v="1"/>
    <x v="1"/>
    <x v="8"/>
    <s v="Eldon Wave Desk Accessories"/>
    <n v="4.71"/>
    <n v="2"/>
    <x v="1714"/>
    <x v="2"/>
    <x v="1"/>
  </r>
  <r>
    <n v="44625"/>
    <x v="389"/>
    <x v="1"/>
    <x v="0"/>
    <x v="12"/>
    <s v="Avanti 4.4 Cu. Ft. Refrigerator"/>
    <n v="180.98"/>
    <n v="5"/>
    <x v="1715"/>
    <x v="2"/>
    <x v="1"/>
  </r>
  <r>
    <n v="44625"/>
    <x v="389"/>
    <x v="1"/>
    <x v="0"/>
    <x v="2"/>
    <s v="Companion Letter/Legal File, Black"/>
    <n v="60.42"/>
    <n v="2"/>
    <x v="84"/>
    <x v="2"/>
    <x v="1"/>
  </r>
  <r>
    <n v="44626"/>
    <x v="315"/>
    <x v="3"/>
    <x v="1"/>
    <x v="8"/>
    <s v="Deflect-o Glass Clear Studded Chair Mats"/>
    <n v="435.26"/>
    <n v="7"/>
    <x v="1716"/>
    <x v="2"/>
    <x v="1"/>
  </r>
  <r>
    <n v="44626"/>
    <x v="315"/>
    <x v="3"/>
    <x v="2"/>
    <x v="16"/>
    <s v="Canon PC1060 Personal Laser Copier"/>
    <n v="1119.98"/>
    <n v="2"/>
    <x v="1717"/>
    <x v="2"/>
    <x v="1"/>
  </r>
  <r>
    <n v="44627"/>
    <x v="306"/>
    <x v="7"/>
    <x v="2"/>
    <x v="9"/>
    <s v="Microsoft Sculpt Comfort Mouse"/>
    <n v="119.85"/>
    <n v="3"/>
    <x v="1718"/>
    <x v="2"/>
    <x v="1"/>
  </r>
  <r>
    <n v="44627"/>
    <x v="306"/>
    <x v="7"/>
    <x v="0"/>
    <x v="3"/>
    <s v="GBC Twin Loop Wire Binding Elements, 9/16&quot; Spine, Black"/>
    <n v="30.44"/>
    <n v="2"/>
    <x v="194"/>
    <x v="2"/>
    <x v="1"/>
  </r>
  <r>
    <n v="44627"/>
    <x v="306"/>
    <x v="7"/>
    <x v="0"/>
    <x v="3"/>
    <s v="Wilson Jones Heavy-Duty Casebound Ring Binders with Metal Hinges"/>
    <n v="69.28"/>
    <n v="2"/>
    <x v="1719"/>
    <x v="2"/>
    <x v="1"/>
  </r>
  <r>
    <n v="44627"/>
    <x v="306"/>
    <x v="7"/>
    <x v="2"/>
    <x v="6"/>
    <s v="LG G3"/>
    <n v="587.97"/>
    <n v="3"/>
    <x v="1720"/>
    <x v="2"/>
    <x v="1"/>
  </r>
  <r>
    <n v="44628"/>
    <x v="613"/>
    <x v="21"/>
    <x v="1"/>
    <x v="11"/>
    <s v="Rush Hierlooms Collection 1&quot; Thick Stackable Bookcases"/>
    <n v="512.94000000000005"/>
    <n v="3"/>
    <x v="1721"/>
    <x v="2"/>
    <x v="1"/>
  </r>
  <r>
    <n v="44628"/>
    <x v="613"/>
    <x v="21"/>
    <x v="1"/>
    <x v="5"/>
    <s v="Hon Mobius Operator's Chair"/>
    <n v="860.93"/>
    <n v="7"/>
    <x v="1722"/>
    <x v="2"/>
    <x v="1"/>
  </r>
  <r>
    <n v="44628"/>
    <x v="613"/>
    <x v="21"/>
    <x v="2"/>
    <x v="6"/>
    <s v="Nortel Meridian M3904 Professional Digital phone"/>
    <n v="769.95"/>
    <n v="5"/>
    <x v="1723"/>
    <x v="2"/>
    <x v="1"/>
  </r>
  <r>
    <n v="44628"/>
    <x v="613"/>
    <x v="21"/>
    <x v="0"/>
    <x v="4"/>
    <s v="Boston 1900 Electric Pencil Sharpener"/>
    <n v="14.98"/>
    <n v="1"/>
    <x v="630"/>
    <x v="2"/>
    <x v="1"/>
  </r>
  <r>
    <n v="44628"/>
    <x v="613"/>
    <x v="21"/>
    <x v="1"/>
    <x v="8"/>
    <s v="Deflect-o Glass Clear Studded Chair Mats"/>
    <n v="373.08"/>
    <n v="6"/>
    <x v="1724"/>
    <x v="2"/>
    <x v="1"/>
  </r>
  <r>
    <n v="44628"/>
    <x v="278"/>
    <x v="20"/>
    <x v="0"/>
    <x v="0"/>
    <s v="Xerox 1997"/>
    <n v="19.440000000000001"/>
    <n v="3"/>
    <x v="5"/>
    <x v="2"/>
    <x v="1"/>
  </r>
  <r>
    <n v="44628"/>
    <x v="452"/>
    <x v="26"/>
    <x v="0"/>
    <x v="4"/>
    <s v="Dixon Prang Watercolor Pencils, 10-Color Set with Brush"/>
    <n v="3.41"/>
    <n v="1"/>
    <x v="1170"/>
    <x v="2"/>
    <x v="1"/>
  </r>
  <r>
    <n v="44628"/>
    <x v="251"/>
    <x v="1"/>
    <x v="0"/>
    <x v="3"/>
    <s v="Avery Premier Heavy-Duty Binder with Round Locking Rings"/>
    <n v="8.57"/>
    <n v="3"/>
    <x v="550"/>
    <x v="2"/>
    <x v="1"/>
  </r>
  <r>
    <n v="44629"/>
    <x v="270"/>
    <x v="0"/>
    <x v="2"/>
    <x v="9"/>
    <s v="Maxell 4.7GB DVD-R"/>
    <n v="113.52"/>
    <n v="5"/>
    <x v="1725"/>
    <x v="2"/>
    <x v="1"/>
  </r>
  <r>
    <n v="44629"/>
    <x v="270"/>
    <x v="0"/>
    <x v="2"/>
    <x v="6"/>
    <s v="Panasonic KX T7736-B Digital phone"/>
    <n v="359.88"/>
    <n v="3"/>
    <x v="1726"/>
    <x v="2"/>
    <x v="1"/>
  </r>
  <r>
    <n v="44629"/>
    <x v="614"/>
    <x v="25"/>
    <x v="0"/>
    <x v="1"/>
    <s v="Avery 514"/>
    <n v="4.6100000000000003"/>
    <n v="2"/>
    <x v="688"/>
    <x v="2"/>
    <x v="1"/>
  </r>
  <r>
    <n v="44630"/>
    <x v="18"/>
    <x v="0"/>
    <x v="0"/>
    <x v="3"/>
    <s v="Acco Suede Grain Vinyl Round Ring Binder"/>
    <n v="1.1100000000000001"/>
    <n v="2"/>
    <x v="1727"/>
    <x v="2"/>
    <x v="1"/>
  </r>
  <r>
    <n v="44630"/>
    <x v="127"/>
    <x v="36"/>
    <x v="0"/>
    <x v="2"/>
    <s v="Pizazz Global Quick File"/>
    <n v="89.82"/>
    <n v="6"/>
    <x v="1728"/>
    <x v="2"/>
    <x v="1"/>
  </r>
  <r>
    <n v="44632"/>
    <x v="615"/>
    <x v="16"/>
    <x v="0"/>
    <x v="10"/>
    <s v="Convenience Packs of Business Envelopes"/>
    <n v="8.69"/>
    <n v="3"/>
    <x v="1461"/>
    <x v="2"/>
    <x v="1"/>
  </r>
  <r>
    <n v="44632"/>
    <x v="615"/>
    <x v="16"/>
    <x v="1"/>
    <x v="8"/>
    <s v="Eldon Expressions Desk Accessory, Wood Pencil Holder, Oak"/>
    <n v="30.88"/>
    <n v="4"/>
    <x v="1729"/>
    <x v="2"/>
    <x v="1"/>
  </r>
  <r>
    <n v="44632"/>
    <x v="615"/>
    <x v="16"/>
    <x v="1"/>
    <x v="8"/>
    <s v="Acrylic Self-Standing Desk Frames"/>
    <n v="6.41"/>
    <n v="3"/>
    <x v="437"/>
    <x v="2"/>
    <x v="1"/>
  </r>
  <r>
    <n v="44632"/>
    <x v="438"/>
    <x v="25"/>
    <x v="0"/>
    <x v="1"/>
    <s v="Avery 518"/>
    <n v="5.04"/>
    <n v="2"/>
    <x v="1406"/>
    <x v="2"/>
    <x v="1"/>
  </r>
  <r>
    <n v="44633"/>
    <x v="387"/>
    <x v="22"/>
    <x v="1"/>
    <x v="11"/>
    <s v="Safco Value Mate Series Steel Bookcases, Baked Enamel Finish on Steel, Gray"/>
    <n v="141.96"/>
    <n v="2"/>
    <x v="68"/>
    <x v="2"/>
    <x v="1"/>
  </r>
  <r>
    <n v="44633"/>
    <x v="155"/>
    <x v="3"/>
    <x v="1"/>
    <x v="5"/>
    <s v="Global Deluxe High-Back Manager's Chair"/>
    <n v="915.14"/>
    <n v="4"/>
    <x v="1730"/>
    <x v="2"/>
    <x v="1"/>
  </r>
  <r>
    <n v="44633"/>
    <x v="155"/>
    <x v="3"/>
    <x v="1"/>
    <x v="8"/>
    <s v="Dana Halogen Swing-Arm Architect Lamp"/>
    <n v="327.76"/>
    <n v="8"/>
    <x v="760"/>
    <x v="2"/>
    <x v="1"/>
  </r>
  <r>
    <n v="44634"/>
    <x v="287"/>
    <x v="38"/>
    <x v="0"/>
    <x v="1"/>
    <s v="Avery 476"/>
    <n v="16.52"/>
    <n v="4"/>
    <x v="920"/>
    <x v="2"/>
    <x v="1"/>
  </r>
  <r>
    <n v="44634"/>
    <x v="287"/>
    <x v="38"/>
    <x v="0"/>
    <x v="3"/>
    <s v="GBC DocuBind TL200 Manual Binding Machine"/>
    <n v="671.94"/>
    <n v="3"/>
    <x v="1731"/>
    <x v="2"/>
    <x v="1"/>
  </r>
  <r>
    <n v="44634"/>
    <x v="170"/>
    <x v="3"/>
    <x v="0"/>
    <x v="0"/>
    <s v="Xerox 223"/>
    <n v="19.440000000000001"/>
    <n v="3"/>
    <x v="5"/>
    <x v="2"/>
    <x v="1"/>
  </r>
  <r>
    <n v="44635"/>
    <x v="600"/>
    <x v="27"/>
    <x v="2"/>
    <x v="6"/>
    <s v="SmartStand Mobile Device Holder, Assorted Colors"/>
    <n v="16.78"/>
    <n v="3"/>
    <x v="967"/>
    <x v="2"/>
    <x v="1"/>
  </r>
  <r>
    <n v="44636"/>
    <x v="616"/>
    <x v="4"/>
    <x v="0"/>
    <x v="4"/>
    <s v="Rogers Handheld Barrel Pencil Sharpener"/>
    <n v="2.74"/>
    <n v="1"/>
    <x v="1732"/>
    <x v="2"/>
    <x v="1"/>
  </r>
  <r>
    <n v="44636"/>
    <x v="616"/>
    <x v="4"/>
    <x v="0"/>
    <x v="4"/>
    <s v="Newell 344"/>
    <n v="8.34"/>
    <n v="3"/>
    <x v="1733"/>
    <x v="2"/>
    <x v="1"/>
  </r>
  <r>
    <n v="44636"/>
    <x v="616"/>
    <x v="4"/>
    <x v="0"/>
    <x v="2"/>
    <s v="Personal File Boxes with Fold-Down Carry Handle"/>
    <n v="46.74"/>
    <n v="3"/>
    <x v="1734"/>
    <x v="2"/>
    <x v="1"/>
  </r>
  <r>
    <n v="44636"/>
    <x v="616"/>
    <x v="4"/>
    <x v="0"/>
    <x v="3"/>
    <s v="Fellowes PB500 Electric Punch Plastic Comb Binding Machine with Manual Bind"/>
    <n v="6354.95"/>
    <n v="5"/>
    <x v="1735"/>
    <x v="2"/>
    <x v="1"/>
  </r>
  <r>
    <n v="44636"/>
    <x v="617"/>
    <x v="22"/>
    <x v="1"/>
    <x v="13"/>
    <s v="KI Adjustable-Height Table"/>
    <n v="171.96"/>
    <n v="2"/>
    <x v="1391"/>
    <x v="2"/>
    <x v="1"/>
  </r>
  <r>
    <n v="44636"/>
    <x v="407"/>
    <x v="3"/>
    <x v="1"/>
    <x v="8"/>
    <s v="Howard Miller 11-1/2&quot; Diameter Brentwood Wall Clock"/>
    <n v="43.13"/>
    <n v="1"/>
    <x v="1736"/>
    <x v="2"/>
    <x v="1"/>
  </r>
  <r>
    <n v="44636"/>
    <x v="279"/>
    <x v="20"/>
    <x v="2"/>
    <x v="6"/>
    <s v="Plantronics MX500i Earset"/>
    <n v="85.9"/>
    <n v="2"/>
    <x v="1117"/>
    <x v="2"/>
    <x v="1"/>
  </r>
  <r>
    <n v="44636"/>
    <x v="102"/>
    <x v="33"/>
    <x v="0"/>
    <x v="1"/>
    <s v="Dot Matrix Printer Tape Reel Labels, White, 5000/Box"/>
    <n v="491.55"/>
    <n v="5"/>
    <x v="545"/>
    <x v="2"/>
    <x v="1"/>
  </r>
  <r>
    <n v="44636"/>
    <x v="102"/>
    <x v="33"/>
    <x v="0"/>
    <x v="10"/>
    <s v="Colored Envelopes"/>
    <n v="7.38"/>
    <n v="2"/>
    <x v="1737"/>
    <x v="2"/>
    <x v="1"/>
  </r>
  <r>
    <n v="44636"/>
    <x v="412"/>
    <x v="20"/>
    <x v="0"/>
    <x v="4"/>
    <s v="Avery Hi-Liter Smear-Safe Highlighters"/>
    <n v="17.52"/>
    <n v="3"/>
    <x v="1738"/>
    <x v="2"/>
    <x v="1"/>
  </r>
  <r>
    <n v="44637"/>
    <x v="535"/>
    <x v="20"/>
    <x v="2"/>
    <x v="9"/>
    <s v="KeyTronicÂ KT800P2 -Â KeyboardÂ - Black"/>
    <n v="15.02"/>
    <n v="1"/>
    <x v="222"/>
    <x v="2"/>
    <x v="1"/>
  </r>
  <r>
    <n v="44637"/>
    <x v="535"/>
    <x v="20"/>
    <x v="0"/>
    <x v="2"/>
    <s v="Tenex Personal Self-Stacking Standard File Box, Black/Gray"/>
    <n v="33.82"/>
    <n v="2"/>
    <x v="1739"/>
    <x v="2"/>
    <x v="1"/>
  </r>
  <r>
    <n v="44639"/>
    <x v="618"/>
    <x v="22"/>
    <x v="2"/>
    <x v="6"/>
    <s v="Wireless Extenders zBoost YX545 SOHO Signal Booster"/>
    <n v="453.58"/>
    <n v="3"/>
    <x v="1740"/>
    <x v="2"/>
    <x v="1"/>
  </r>
  <r>
    <n v="44639"/>
    <x v="470"/>
    <x v="22"/>
    <x v="0"/>
    <x v="2"/>
    <s v="Deluxe Rollaway Locking File with Drawer"/>
    <n v="1247.6400000000001"/>
    <n v="3"/>
    <x v="1741"/>
    <x v="2"/>
    <x v="1"/>
  </r>
  <r>
    <n v="44639"/>
    <x v="470"/>
    <x v="22"/>
    <x v="2"/>
    <x v="16"/>
    <s v="Canon PC940 Copier"/>
    <n v="3149.93"/>
    <n v="7"/>
    <x v="1742"/>
    <x v="2"/>
    <x v="1"/>
  </r>
  <r>
    <n v="44639"/>
    <x v="470"/>
    <x v="22"/>
    <x v="0"/>
    <x v="0"/>
    <s v="Multicolor Computer Printout Paper"/>
    <n v="209.7"/>
    <n v="2"/>
    <x v="1743"/>
    <x v="2"/>
    <x v="1"/>
  </r>
  <r>
    <n v="44639"/>
    <x v="328"/>
    <x v="3"/>
    <x v="0"/>
    <x v="3"/>
    <s v="GBC Imprintable Covers"/>
    <n v="17.57"/>
    <n v="2"/>
    <x v="822"/>
    <x v="2"/>
    <x v="1"/>
  </r>
  <r>
    <n v="44639"/>
    <x v="328"/>
    <x v="3"/>
    <x v="0"/>
    <x v="1"/>
    <s v="Self-Adhesive Address Labels for Typewriters by Universal"/>
    <n v="14.62"/>
    <n v="2"/>
    <x v="96"/>
    <x v="2"/>
    <x v="1"/>
  </r>
  <r>
    <n v="44639"/>
    <x v="328"/>
    <x v="3"/>
    <x v="0"/>
    <x v="14"/>
    <s v="Acme Elite Stainless Steel Scissors"/>
    <n v="33.36"/>
    <n v="4"/>
    <x v="1570"/>
    <x v="2"/>
    <x v="1"/>
  </r>
  <r>
    <n v="44639"/>
    <x v="328"/>
    <x v="3"/>
    <x v="0"/>
    <x v="0"/>
    <s v="Wirebound Message Books, 5-1/2 x 4 Forms, 2 or 4 Forms per Page"/>
    <n v="40.14"/>
    <n v="6"/>
    <x v="1744"/>
    <x v="2"/>
    <x v="1"/>
  </r>
  <r>
    <n v="44639"/>
    <x v="284"/>
    <x v="16"/>
    <x v="0"/>
    <x v="0"/>
    <s v="Adams Telephone Message Books, 5 1/4Â” x 11Â”"/>
    <n v="14.5"/>
    <n v="3"/>
    <x v="1077"/>
    <x v="2"/>
    <x v="1"/>
  </r>
  <r>
    <n v="44639"/>
    <x v="411"/>
    <x v="3"/>
    <x v="0"/>
    <x v="0"/>
    <s v="Xerox 1974"/>
    <n v="11.96"/>
    <n v="2"/>
    <x v="679"/>
    <x v="2"/>
    <x v="1"/>
  </r>
  <r>
    <n v="44639"/>
    <x v="41"/>
    <x v="3"/>
    <x v="0"/>
    <x v="7"/>
    <s v="Stockwell Push Pins"/>
    <n v="10.9"/>
    <n v="5"/>
    <x v="333"/>
    <x v="2"/>
    <x v="1"/>
  </r>
  <r>
    <n v="44639"/>
    <x v="619"/>
    <x v="0"/>
    <x v="0"/>
    <x v="0"/>
    <s v="Xerox 1919"/>
    <n v="65.58"/>
    <n v="2"/>
    <x v="302"/>
    <x v="2"/>
    <x v="1"/>
  </r>
  <r>
    <n v="44639"/>
    <x v="619"/>
    <x v="0"/>
    <x v="1"/>
    <x v="11"/>
    <s v="Bush Heritage Pine Collection 5-Shelf Bookcase, Albany Pine Finish, *Special Order"/>
    <n v="383.47"/>
    <n v="4"/>
    <x v="1745"/>
    <x v="2"/>
    <x v="1"/>
  </r>
  <r>
    <n v="44640"/>
    <x v="620"/>
    <x v="21"/>
    <x v="0"/>
    <x v="0"/>
    <s v="Xerox 205"/>
    <n v="51.84"/>
    <n v="8"/>
    <x v="1746"/>
    <x v="2"/>
    <x v="1"/>
  </r>
  <r>
    <n v="44640"/>
    <x v="519"/>
    <x v="0"/>
    <x v="0"/>
    <x v="3"/>
    <s v="GBC Standard Plastic Binding Systems' Combs"/>
    <n v="2.5099999999999998"/>
    <n v="2"/>
    <x v="1747"/>
    <x v="2"/>
    <x v="1"/>
  </r>
  <r>
    <n v="44640"/>
    <x v="519"/>
    <x v="0"/>
    <x v="0"/>
    <x v="7"/>
    <s v="Staples"/>
    <n v="18.86"/>
    <n v="9"/>
    <x v="483"/>
    <x v="2"/>
    <x v="1"/>
  </r>
  <r>
    <n v="44640"/>
    <x v="240"/>
    <x v="11"/>
    <x v="0"/>
    <x v="2"/>
    <s v="Portable Personal File Box"/>
    <n v="29.3"/>
    <n v="3"/>
    <x v="1393"/>
    <x v="2"/>
    <x v="1"/>
  </r>
  <r>
    <n v="44640"/>
    <x v="526"/>
    <x v="20"/>
    <x v="0"/>
    <x v="3"/>
    <s v="Wilson Jones Century Plastic Molded Ring Binders"/>
    <n v="49.85"/>
    <n v="3"/>
    <x v="1748"/>
    <x v="2"/>
    <x v="1"/>
  </r>
  <r>
    <n v="44640"/>
    <x v="526"/>
    <x v="20"/>
    <x v="0"/>
    <x v="10"/>
    <s v="Recycled Interoffice Envelopes with String and Button Closure, 10 x 13"/>
    <n v="23.99"/>
    <n v="1"/>
    <x v="1471"/>
    <x v="2"/>
    <x v="1"/>
  </r>
  <r>
    <n v="44640"/>
    <x v="526"/>
    <x v="20"/>
    <x v="0"/>
    <x v="3"/>
    <s v="Fellowes PB200 Plastic Comb Binding Machine"/>
    <n v="1087.94"/>
    <n v="8"/>
    <x v="1749"/>
    <x v="2"/>
    <x v="1"/>
  </r>
  <r>
    <n v="44640"/>
    <x v="526"/>
    <x v="20"/>
    <x v="2"/>
    <x v="6"/>
    <s v="Panasonic KX T7731-B Digital phone"/>
    <n v="199.98"/>
    <n v="2"/>
    <x v="860"/>
    <x v="2"/>
    <x v="1"/>
  </r>
  <r>
    <n v="44640"/>
    <x v="526"/>
    <x v="20"/>
    <x v="0"/>
    <x v="2"/>
    <s v="Tennsco Lockers, Sand"/>
    <n v="83.92"/>
    <n v="4"/>
    <x v="1750"/>
    <x v="2"/>
    <x v="1"/>
  </r>
  <r>
    <n v="44641"/>
    <x v="621"/>
    <x v="25"/>
    <x v="0"/>
    <x v="12"/>
    <s v="Honeywell Enviracaire Portable HEPA Air Cleaner for 17' x 22' Room"/>
    <n v="962.08"/>
    <n v="4"/>
    <x v="1751"/>
    <x v="2"/>
    <x v="1"/>
  </r>
  <r>
    <n v="44641"/>
    <x v="621"/>
    <x v="25"/>
    <x v="0"/>
    <x v="3"/>
    <s v="GBC Laser Imprintable Binding System Covers, Desert Sand"/>
    <n v="12.84"/>
    <n v="3"/>
    <x v="1752"/>
    <x v="2"/>
    <x v="1"/>
  </r>
  <r>
    <n v="44641"/>
    <x v="621"/>
    <x v="25"/>
    <x v="0"/>
    <x v="0"/>
    <s v="Xerox 1883"/>
    <n v="295.45999999999998"/>
    <n v="14"/>
    <x v="1753"/>
    <x v="2"/>
    <x v="1"/>
  </r>
  <r>
    <n v="44642"/>
    <x v="622"/>
    <x v="0"/>
    <x v="2"/>
    <x v="9"/>
    <s v="Verbatim 25 GB 6x Blu-ray Single Layer Recordable Disc, 25/Pack"/>
    <n v="18.39"/>
    <n v="1"/>
    <x v="1754"/>
    <x v="2"/>
    <x v="1"/>
  </r>
  <r>
    <n v="44642"/>
    <x v="622"/>
    <x v="0"/>
    <x v="0"/>
    <x v="2"/>
    <s v="Carina Double Wide Media Storage Towers in Natural &amp; Black"/>
    <n v="129.57"/>
    <n v="2"/>
    <x v="661"/>
    <x v="2"/>
    <x v="1"/>
  </r>
  <r>
    <n v="44642"/>
    <x v="622"/>
    <x v="0"/>
    <x v="0"/>
    <x v="3"/>
    <s v="XtraLife ClearVue Slant-D Ring Binders by Cardinal"/>
    <n v="14.11"/>
    <n v="9"/>
    <x v="1755"/>
    <x v="2"/>
    <x v="1"/>
  </r>
  <r>
    <n v="44642"/>
    <x v="131"/>
    <x v="3"/>
    <x v="2"/>
    <x v="6"/>
    <s v="Square Credit Card Reader"/>
    <n v="15.98"/>
    <n v="2"/>
    <x v="217"/>
    <x v="2"/>
    <x v="1"/>
  </r>
  <r>
    <n v="44642"/>
    <x v="514"/>
    <x v="3"/>
    <x v="0"/>
    <x v="0"/>
    <s v="Easy-staple paper"/>
    <n v="105.52"/>
    <n v="4"/>
    <x v="1453"/>
    <x v="2"/>
    <x v="1"/>
  </r>
  <r>
    <n v="44642"/>
    <x v="514"/>
    <x v="3"/>
    <x v="1"/>
    <x v="8"/>
    <s v="Tenex B1-RE Series Chair Mats for Low Pile Carpets"/>
    <n v="91.96"/>
    <n v="2"/>
    <x v="299"/>
    <x v="2"/>
    <x v="1"/>
  </r>
  <r>
    <n v="44642"/>
    <x v="514"/>
    <x v="3"/>
    <x v="2"/>
    <x v="6"/>
    <s v="ClearOne CHATAttach 160 -Â speaker phone"/>
    <n v="1487.98"/>
    <n v="3"/>
    <x v="1756"/>
    <x v="2"/>
    <x v="1"/>
  </r>
  <r>
    <n v="44642"/>
    <x v="623"/>
    <x v="33"/>
    <x v="0"/>
    <x v="4"/>
    <s v="Newell 316"/>
    <n v="19.559999999999999"/>
    <n v="4"/>
    <x v="147"/>
    <x v="2"/>
    <x v="1"/>
  </r>
  <r>
    <n v="44642"/>
    <x v="587"/>
    <x v="16"/>
    <x v="2"/>
    <x v="9"/>
    <s v="Logitech G602 Wireless Gaming Mouse"/>
    <n v="447.94"/>
    <n v="7"/>
    <x v="1514"/>
    <x v="2"/>
    <x v="1"/>
  </r>
  <r>
    <n v="44642"/>
    <x v="587"/>
    <x v="16"/>
    <x v="0"/>
    <x v="2"/>
    <s v="Iris 3-Drawer Stacking Bin, Black"/>
    <n v="150.41"/>
    <n v="9"/>
    <x v="1757"/>
    <x v="2"/>
    <x v="1"/>
  </r>
  <r>
    <n v="44643"/>
    <x v="427"/>
    <x v="0"/>
    <x v="1"/>
    <x v="5"/>
    <s v="Global Deluxe Steno Chair"/>
    <n v="107.77"/>
    <n v="2"/>
    <x v="453"/>
    <x v="2"/>
    <x v="1"/>
  </r>
  <r>
    <n v="44643"/>
    <x v="320"/>
    <x v="9"/>
    <x v="0"/>
    <x v="7"/>
    <s v="Staples"/>
    <n v="31.56"/>
    <n v="4"/>
    <x v="1758"/>
    <x v="2"/>
    <x v="1"/>
  </r>
  <r>
    <n v="44643"/>
    <x v="320"/>
    <x v="9"/>
    <x v="0"/>
    <x v="2"/>
    <s v="Eldon Shelf Savers Cubes and Bins"/>
    <n v="27.92"/>
    <n v="4"/>
    <x v="1759"/>
    <x v="2"/>
    <x v="1"/>
  </r>
  <r>
    <n v="44643"/>
    <x v="244"/>
    <x v="3"/>
    <x v="0"/>
    <x v="0"/>
    <s v="REDIFORM Incoming/Outgoing Call Register, 11&quot; X 8 1/2&quot;, 100 Messages"/>
    <n v="33.36"/>
    <n v="4"/>
    <x v="1760"/>
    <x v="2"/>
    <x v="1"/>
  </r>
  <r>
    <n v="44643"/>
    <x v="450"/>
    <x v="3"/>
    <x v="0"/>
    <x v="0"/>
    <s v="TOPS Carbonless Receipt Book, Four 2-3/4 x 7-1/4 Money Receipts per Page"/>
    <n v="192.72"/>
    <n v="11"/>
    <x v="1761"/>
    <x v="2"/>
    <x v="1"/>
  </r>
  <r>
    <n v="44643"/>
    <x v="450"/>
    <x v="3"/>
    <x v="2"/>
    <x v="9"/>
    <s v="Logitech G600 MMO Gaming Mouse"/>
    <n v="239.97"/>
    <n v="3"/>
    <x v="103"/>
    <x v="2"/>
    <x v="1"/>
  </r>
  <r>
    <n v="44644"/>
    <x v="285"/>
    <x v="1"/>
    <x v="1"/>
    <x v="11"/>
    <s v="Sauder Inglewood Library Bookcases"/>
    <n v="359.06"/>
    <n v="3"/>
    <x v="1762"/>
    <x v="2"/>
    <x v="1"/>
  </r>
  <r>
    <n v="44644"/>
    <x v="624"/>
    <x v="16"/>
    <x v="0"/>
    <x v="12"/>
    <s v="Eureka Sanitaire  Multi-Pro Heavy-Duty Upright, Disposable Bags"/>
    <n v="6.99"/>
    <n v="2"/>
    <x v="1763"/>
    <x v="2"/>
    <x v="1"/>
  </r>
  <r>
    <n v="44644"/>
    <x v="552"/>
    <x v="22"/>
    <x v="1"/>
    <x v="8"/>
    <s v="Eldon Expressions Punched Metal &amp; Wood Desk Accessories, Black &amp; Cherry"/>
    <n v="46.9"/>
    <n v="5"/>
    <x v="1764"/>
    <x v="2"/>
    <x v="1"/>
  </r>
  <r>
    <n v="44646"/>
    <x v="625"/>
    <x v="16"/>
    <x v="0"/>
    <x v="0"/>
    <s v="Xerox 1988"/>
    <n v="74.349999999999994"/>
    <n v="3"/>
    <x v="229"/>
    <x v="2"/>
    <x v="1"/>
  </r>
  <r>
    <n v="44646"/>
    <x v="344"/>
    <x v="2"/>
    <x v="0"/>
    <x v="0"/>
    <s v="Southworth 25% Cotton Antique Laid Paper &amp; Envelopes"/>
    <n v="40.03"/>
    <n v="6"/>
    <x v="1765"/>
    <x v="2"/>
    <x v="1"/>
  </r>
  <r>
    <n v="44646"/>
    <x v="344"/>
    <x v="2"/>
    <x v="2"/>
    <x v="9"/>
    <s v="Verbatim 25 GB 6x Blu-ray Single Layer Recordable Disc, 3/Pack"/>
    <n v="16.78"/>
    <n v="3"/>
    <x v="1766"/>
    <x v="2"/>
    <x v="1"/>
  </r>
  <r>
    <n v="44646"/>
    <x v="227"/>
    <x v="22"/>
    <x v="1"/>
    <x v="13"/>
    <s v="Bush Advantage Collection Racetrack Conference Table"/>
    <n v="3393.68"/>
    <n v="8"/>
    <x v="1767"/>
    <x v="2"/>
    <x v="1"/>
  </r>
  <r>
    <n v="44646"/>
    <x v="436"/>
    <x v="20"/>
    <x v="0"/>
    <x v="2"/>
    <s v="Dual Level, Single-Width Filing Carts"/>
    <n v="1085.42"/>
    <n v="7"/>
    <x v="1768"/>
    <x v="2"/>
    <x v="1"/>
  </r>
  <r>
    <n v="44646"/>
    <x v="436"/>
    <x v="20"/>
    <x v="0"/>
    <x v="12"/>
    <s v="Disposable Triple-Filter Dust Bags"/>
    <n v="13.11"/>
    <n v="3"/>
    <x v="919"/>
    <x v="2"/>
    <x v="1"/>
  </r>
  <r>
    <n v="44647"/>
    <x v="20"/>
    <x v="22"/>
    <x v="0"/>
    <x v="2"/>
    <s v="Rogers Profile Extra Capacity Storage Tub"/>
    <n v="83.7"/>
    <n v="5"/>
    <x v="318"/>
    <x v="2"/>
    <x v="1"/>
  </r>
  <r>
    <n v="44648"/>
    <x v="513"/>
    <x v="3"/>
    <x v="2"/>
    <x v="9"/>
    <s v="Imation Bio 8GB USBÂ Flash Drive ImationÂ Corp"/>
    <n v="166.24"/>
    <n v="1"/>
    <x v="1769"/>
    <x v="2"/>
    <x v="1"/>
  </r>
  <r>
    <n v="44648"/>
    <x v="513"/>
    <x v="3"/>
    <x v="0"/>
    <x v="0"/>
    <s v="Xerox 1977"/>
    <n v="33.4"/>
    <n v="5"/>
    <x v="1770"/>
    <x v="2"/>
    <x v="1"/>
  </r>
  <r>
    <n v="44648"/>
    <x v="74"/>
    <x v="2"/>
    <x v="0"/>
    <x v="0"/>
    <s v="Xerox 1999"/>
    <n v="15.55"/>
    <n v="3"/>
    <x v="192"/>
    <x v="2"/>
    <x v="1"/>
  </r>
  <r>
    <n v="44648"/>
    <x v="74"/>
    <x v="2"/>
    <x v="0"/>
    <x v="0"/>
    <s v="Southworth Parchment Paper &amp; Envelopes"/>
    <n v="5.23"/>
    <n v="1"/>
    <x v="157"/>
    <x v="2"/>
    <x v="1"/>
  </r>
  <r>
    <n v="44648"/>
    <x v="209"/>
    <x v="20"/>
    <x v="0"/>
    <x v="10"/>
    <s v="Security-Tint Envelopes"/>
    <n v="22.92"/>
    <n v="3"/>
    <x v="1771"/>
    <x v="2"/>
    <x v="1"/>
  </r>
  <r>
    <n v="44649"/>
    <x v="421"/>
    <x v="16"/>
    <x v="1"/>
    <x v="5"/>
    <s v="Hon 4070 Series Pagoda Armless Upholstered Stacking Chairs"/>
    <n v="1166.92"/>
    <n v="5"/>
    <x v="1772"/>
    <x v="2"/>
    <x v="1"/>
  </r>
  <r>
    <n v="44649"/>
    <x v="445"/>
    <x v="22"/>
    <x v="0"/>
    <x v="12"/>
    <s v="Acco 6 Outlet Guardian Premium Plus Surge Suppressor"/>
    <n v="73.28"/>
    <n v="4"/>
    <x v="1773"/>
    <x v="2"/>
    <x v="1"/>
  </r>
  <r>
    <n v="44649"/>
    <x v="77"/>
    <x v="3"/>
    <x v="0"/>
    <x v="0"/>
    <s v="Xerox 1880"/>
    <n v="212.64"/>
    <n v="6"/>
    <x v="1774"/>
    <x v="2"/>
    <x v="1"/>
  </r>
  <r>
    <n v="44649"/>
    <x v="77"/>
    <x v="3"/>
    <x v="0"/>
    <x v="0"/>
    <s v="Tops Wirebound Message Log Books"/>
    <n v="9.8699999999999992"/>
    <n v="3"/>
    <x v="406"/>
    <x v="2"/>
    <x v="1"/>
  </r>
  <r>
    <n v="44649"/>
    <x v="77"/>
    <x v="3"/>
    <x v="2"/>
    <x v="9"/>
    <s v="Memorex Froggy Flash Drive 8 GB"/>
    <n v="53.25"/>
    <n v="3"/>
    <x v="1775"/>
    <x v="2"/>
    <x v="1"/>
  </r>
  <r>
    <n v="44649"/>
    <x v="77"/>
    <x v="3"/>
    <x v="1"/>
    <x v="8"/>
    <s v="G.E. Longer-Life Indoor Recessed Floodlight Bulbs"/>
    <n v="19.920000000000002"/>
    <n v="3"/>
    <x v="1776"/>
    <x v="2"/>
    <x v="1"/>
  </r>
  <r>
    <n v="44649"/>
    <x v="83"/>
    <x v="6"/>
    <x v="0"/>
    <x v="4"/>
    <s v="Newell 333"/>
    <n v="5.56"/>
    <n v="2"/>
    <x v="1777"/>
    <x v="2"/>
    <x v="1"/>
  </r>
  <r>
    <n v="44649"/>
    <x v="626"/>
    <x v="20"/>
    <x v="0"/>
    <x v="0"/>
    <s v="Ampad Gold Fibre Wirebound Steno Books, 6&quot; x 9&quot;, Gregg Ruled"/>
    <n v="17.64"/>
    <n v="4"/>
    <x v="1778"/>
    <x v="2"/>
    <x v="1"/>
  </r>
  <r>
    <n v="44650"/>
    <x v="452"/>
    <x v="1"/>
    <x v="0"/>
    <x v="0"/>
    <s v="Adams Telephone Message Book W/Dividers/Space For Phone Numbers, 5 1/4&quot;X8 1/2&quot;, 300/Messages"/>
    <n v="23.52"/>
    <n v="5"/>
    <x v="1779"/>
    <x v="2"/>
    <x v="1"/>
  </r>
  <r>
    <n v="44650"/>
    <x v="452"/>
    <x v="1"/>
    <x v="2"/>
    <x v="6"/>
    <s v="AT&amp;T 17929 Lendline Telephone"/>
    <n v="180.96"/>
    <n v="5"/>
    <x v="79"/>
    <x v="2"/>
    <x v="1"/>
  </r>
  <r>
    <n v="44650"/>
    <x v="108"/>
    <x v="1"/>
    <x v="1"/>
    <x v="5"/>
    <s v="Office Star - Contemporary Task Swivel chair with Loop Arms, Charcoal"/>
    <n v="366.74"/>
    <n v="4"/>
    <x v="1780"/>
    <x v="2"/>
    <x v="1"/>
  </r>
  <r>
    <n v="44651"/>
    <x v="134"/>
    <x v="16"/>
    <x v="2"/>
    <x v="6"/>
    <s v="PureGear Roll-On Screen Protector"/>
    <n v="79.959999999999994"/>
    <n v="5"/>
    <x v="306"/>
    <x v="2"/>
    <x v="1"/>
  </r>
  <r>
    <n v="44651"/>
    <x v="290"/>
    <x v="0"/>
    <x v="0"/>
    <x v="0"/>
    <s v="White Dual Perf Computer Printout Paper, 2700 Sheets, 1 Part, Heavyweight, 20 lbs., 14 7/8 x 11"/>
    <n v="98.38"/>
    <n v="3"/>
    <x v="1171"/>
    <x v="2"/>
    <x v="1"/>
  </r>
  <r>
    <n v="44651"/>
    <x v="290"/>
    <x v="0"/>
    <x v="1"/>
    <x v="8"/>
    <s v="3M Polarizing Light Filter Sleeves"/>
    <n v="22.38"/>
    <n v="3"/>
    <x v="1781"/>
    <x v="2"/>
    <x v="1"/>
  </r>
  <r>
    <n v="44653"/>
    <x v="627"/>
    <x v="0"/>
    <x v="0"/>
    <x v="12"/>
    <s v="APC 7 Outlet Network SurgeArrest Surge Protector"/>
    <n v="32.19"/>
    <n v="2"/>
    <x v="1782"/>
    <x v="3"/>
    <x v="1"/>
  </r>
  <r>
    <n v="44653"/>
    <x v="627"/>
    <x v="0"/>
    <x v="2"/>
    <x v="9"/>
    <s v="Kingston Digital DataTraveler 16GB USB 2.0"/>
    <n v="50.12"/>
    <n v="7"/>
    <x v="1783"/>
    <x v="3"/>
    <x v="1"/>
  </r>
  <r>
    <n v="44653"/>
    <x v="627"/>
    <x v="0"/>
    <x v="2"/>
    <x v="9"/>
    <s v="Anker Ultra-Slim Mini Bluetooth 3.0 Wireless Keyboard"/>
    <n v="47.98"/>
    <n v="3"/>
    <x v="1666"/>
    <x v="3"/>
    <x v="1"/>
  </r>
  <r>
    <n v="44653"/>
    <x v="568"/>
    <x v="0"/>
    <x v="0"/>
    <x v="3"/>
    <s v="Aluminum Screw Posts"/>
    <n v="9.16"/>
    <n v="3"/>
    <x v="1784"/>
    <x v="3"/>
    <x v="1"/>
  </r>
  <r>
    <n v="44653"/>
    <x v="628"/>
    <x v="3"/>
    <x v="2"/>
    <x v="15"/>
    <s v="Vtech AT&amp;T CL2940 Corded Speakerphone, Black"/>
    <n v="71.98"/>
    <n v="3"/>
    <x v="1785"/>
    <x v="3"/>
    <x v="1"/>
  </r>
  <r>
    <n v="44653"/>
    <x v="315"/>
    <x v="12"/>
    <x v="2"/>
    <x v="6"/>
    <s v="Samsung HM1900 Bluetooth Headset"/>
    <n v="87.8"/>
    <n v="5"/>
    <x v="1786"/>
    <x v="3"/>
    <x v="1"/>
  </r>
  <r>
    <n v="44655"/>
    <x v="155"/>
    <x v="20"/>
    <x v="0"/>
    <x v="4"/>
    <s v="DIXON Ticonderoga Erasable Checking Pencils"/>
    <n v="11.16"/>
    <n v="2"/>
    <x v="1787"/>
    <x v="3"/>
    <x v="1"/>
  </r>
  <r>
    <n v="44655"/>
    <x v="155"/>
    <x v="20"/>
    <x v="1"/>
    <x v="8"/>
    <s v="Eldon Advantage Foldable Chair Mats for Low Pile Carpets"/>
    <n v="108.4"/>
    <n v="2"/>
    <x v="1788"/>
    <x v="3"/>
    <x v="1"/>
  </r>
  <r>
    <n v="44655"/>
    <x v="155"/>
    <x v="20"/>
    <x v="0"/>
    <x v="3"/>
    <s v="GBC Prestige Therm-A-Bind Covers"/>
    <n v="82.34"/>
    <n v="3"/>
    <x v="1789"/>
    <x v="3"/>
    <x v="1"/>
  </r>
  <r>
    <n v="44655"/>
    <x v="155"/>
    <x v="20"/>
    <x v="0"/>
    <x v="3"/>
    <s v="Avery Round Ring Poly Binders"/>
    <n v="9.09"/>
    <n v="4"/>
    <x v="1300"/>
    <x v="3"/>
    <x v="1"/>
  </r>
  <r>
    <n v="44655"/>
    <x v="115"/>
    <x v="14"/>
    <x v="0"/>
    <x v="12"/>
    <s v="Hoover Shoulder Vac Commercial Portable Vacuum"/>
    <n v="644.08000000000004"/>
    <n v="2"/>
    <x v="1790"/>
    <x v="3"/>
    <x v="1"/>
  </r>
  <r>
    <n v="44655"/>
    <x v="115"/>
    <x v="14"/>
    <x v="0"/>
    <x v="7"/>
    <s v="Staples"/>
    <n v="5.84"/>
    <n v="2"/>
    <x v="1791"/>
    <x v="3"/>
    <x v="1"/>
  </r>
  <r>
    <n v="44655"/>
    <x v="115"/>
    <x v="14"/>
    <x v="0"/>
    <x v="3"/>
    <s v="Acco Expandable Hanging Binders"/>
    <n v="12.76"/>
    <n v="2"/>
    <x v="1243"/>
    <x v="3"/>
    <x v="1"/>
  </r>
  <r>
    <n v="44655"/>
    <x v="115"/>
    <x v="14"/>
    <x v="2"/>
    <x v="6"/>
    <s v="Shocksock Galaxy S4 Armband"/>
    <n v="10.95"/>
    <n v="1"/>
    <x v="1699"/>
    <x v="3"/>
    <x v="1"/>
  </r>
  <r>
    <n v="44655"/>
    <x v="115"/>
    <x v="14"/>
    <x v="2"/>
    <x v="16"/>
    <s v="Brother DCP1000 Digital 3 in 1 Multifunction Machine"/>
    <n v="599.98"/>
    <n v="2"/>
    <x v="1792"/>
    <x v="3"/>
    <x v="1"/>
  </r>
  <r>
    <n v="44656"/>
    <x v="480"/>
    <x v="15"/>
    <x v="0"/>
    <x v="3"/>
    <s v="GBC DocuBind 300 Electric Binding Machine"/>
    <n v="157.79"/>
    <n v="1"/>
    <x v="1793"/>
    <x v="3"/>
    <x v="1"/>
  </r>
  <r>
    <n v="44656"/>
    <x v="243"/>
    <x v="2"/>
    <x v="0"/>
    <x v="12"/>
    <s v="Bionaire 99.97% HEPA Air Cleaner"/>
    <n v="98.11"/>
    <n v="7"/>
    <x v="1794"/>
    <x v="3"/>
    <x v="1"/>
  </r>
  <r>
    <n v="44656"/>
    <x v="243"/>
    <x v="2"/>
    <x v="0"/>
    <x v="2"/>
    <s v="Fellowes High-Stak Drawer Files"/>
    <n v="563.80999999999995"/>
    <n v="4"/>
    <x v="1795"/>
    <x v="3"/>
    <x v="1"/>
  </r>
  <r>
    <n v="44656"/>
    <x v="243"/>
    <x v="2"/>
    <x v="0"/>
    <x v="3"/>
    <s v="Cardinal Slant-D Ring Binders"/>
    <n v="10.43"/>
    <n v="4"/>
    <x v="1796"/>
    <x v="3"/>
    <x v="1"/>
  </r>
  <r>
    <n v="44656"/>
    <x v="243"/>
    <x v="2"/>
    <x v="1"/>
    <x v="8"/>
    <s v="Tenex Antistatic Computer Chair Mats"/>
    <n v="547.14"/>
    <n v="4"/>
    <x v="1797"/>
    <x v="3"/>
    <x v="1"/>
  </r>
  <r>
    <n v="44656"/>
    <x v="243"/>
    <x v="2"/>
    <x v="2"/>
    <x v="6"/>
    <s v="Cush Cases Heavy Duty Rugged Cover Case for Samsung Galaxy S5 - Purple"/>
    <n v="14.85"/>
    <n v="5"/>
    <x v="1798"/>
    <x v="3"/>
    <x v="1"/>
  </r>
  <r>
    <n v="44656"/>
    <x v="243"/>
    <x v="2"/>
    <x v="2"/>
    <x v="6"/>
    <s v="Speck Products Candyshell Flip Case"/>
    <n v="41.99"/>
    <n v="2"/>
    <x v="1799"/>
    <x v="3"/>
    <x v="1"/>
  </r>
  <r>
    <n v="44656"/>
    <x v="243"/>
    <x v="2"/>
    <x v="1"/>
    <x v="8"/>
    <s v="DAX Charcoal/Nickel-Tone Document Frame, 5 x 7"/>
    <n v="7.58"/>
    <n v="1"/>
    <x v="1036"/>
    <x v="3"/>
    <x v="1"/>
  </r>
  <r>
    <n v="44656"/>
    <x v="243"/>
    <x v="2"/>
    <x v="1"/>
    <x v="11"/>
    <s v="Bush Heritage Pine Collection 5-Shelf Bookcase, Albany Pine Finish, *Special Order"/>
    <n v="352.45"/>
    <n v="5"/>
    <x v="1800"/>
    <x v="3"/>
    <x v="1"/>
  </r>
  <r>
    <n v="44656"/>
    <x v="207"/>
    <x v="2"/>
    <x v="0"/>
    <x v="1"/>
    <s v="Avery 499"/>
    <n v="23.9"/>
    <n v="6"/>
    <x v="1182"/>
    <x v="3"/>
    <x v="1"/>
  </r>
  <r>
    <n v="44656"/>
    <x v="27"/>
    <x v="3"/>
    <x v="1"/>
    <x v="5"/>
    <s v="GuestStacker Chair with Chrome Finish Legs"/>
    <n v="892.22"/>
    <n v="3"/>
    <x v="1801"/>
    <x v="3"/>
    <x v="1"/>
  </r>
  <r>
    <n v="44656"/>
    <x v="259"/>
    <x v="22"/>
    <x v="2"/>
    <x v="9"/>
    <s v="SanDisk Ultra 64 GB MicroSDHC Class 10 Memory Card"/>
    <n v="239.94"/>
    <n v="6"/>
    <x v="485"/>
    <x v="3"/>
    <x v="1"/>
  </r>
  <r>
    <n v="44656"/>
    <x v="259"/>
    <x v="22"/>
    <x v="0"/>
    <x v="4"/>
    <s v="Dixon Ticonderoga Pencils"/>
    <n v="23.84"/>
    <n v="8"/>
    <x v="1802"/>
    <x v="3"/>
    <x v="1"/>
  </r>
  <r>
    <n v="44657"/>
    <x v="426"/>
    <x v="0"/>
    <x v="0"/>
    <x v="4"/>
    <s v="Newell 312"/>
    <n v="42.05"/>
    <n v="9"/>
    <x v="1803"/>
    <x v="3"/>
    <x v="1"/>
  </r>
  <r>
    <n v="44657"/>
    <x v="426"/>
    <x v="0"/>
    <x v="2"/>
    <x v="9"/>
    <s v="Maxell 4.7GB DVD-RW 3/Pack"/>
    <n v="25.49"/>
    <n v="2"/>
    <x v="519"/>
    <x v="3"/>
    <x v="1"/>
  </r>
  <r>
    <n v="44657"/>
    <x v="426"/>
    <x v="0"/>
    <x v="0"/>
    <x v="3"/>
    <s v="Ibico Covers for Plastic or Wire Binding Elements"/>
    <n v="6.9"/>
    <n v="3"/>
    <x v="1804"/>
    <x v="3"/>
    <x v="1"/>
  </r>
  <r>
    <n v="44657"/>
    <x v="426"/>
    <x v="0"/>
    <x v="0"/>
    <x v="3"/>
    <s v="Fellowes Twister Kit, Gray/Clear, 3/pkg"/>
    <n v="9.65"/>
    <n v="6"/>
    <x v="1805"/>
    <x v="3"/>
    <x v="1"/>
  </r>
  <r>
    <n v="44657"/>
    <x v="426"/>
    <x v="0"/>
    <x v="0"/>
    <x v="0"/>
    <s v="Xerox 1949"/>
    <n v="7.97"/>
    <n v="2"/>
    <x v="1131"/>
    <x v="3"/>
    <x v="1"/>
  </r>
  <r>
    <n v="44657"/>
    <x v="294"/>
    <x v="25"/>
    <x v="0"/>
    <x v="0"/>
    <s v="Xerox 1884"/>
    <n v="47.95"/>
    <n v="3"/>
    <x v="1806"/>
    <x v="3"/>
    <x v="1"/>
  </r>
  <r>
    <n v="44658"/>
    <x v="184"/>
    <x v="0"/>
    <x v="0"/>
    <x v="12"/>
    <s v="Hoover Upright Vacuum With Dirt Cup"/>
    <n v="463.25"/>
    <n v="8"/>
    <x v="1807"/>
    <x v="3"/>
    <x v="1"/>
  </r>
  <r>
    <n v="44658"/>
    <x v="184"/>
    <x v="0"/>
    <x v="2"/>
    <x v="9"/>
    <s v="Razer Kraken PRO Over Ear PC and Music Headset"/>
    <n v="383.95"/>
    <n v="6"/>
    <x v="1808"/>
    <x v="3"/>
    <x v="1"/>
  </r>
  <r>
    <n v="44658"/>
    <x v="365"/>
    <x v="2"/>
    <x v="0"/>
    <x v="4"/>
    <s v="Newell 331"/>
    <n v="11.74"/>
    <n v="3"/>
    <x v="812"/>
    <x v="3"/>
    <x v="1"/>
  </r>
  <r>
    <n v="44658"/>
    <x v="218"/>
    <x v="20"/>
    <x v="0"/>
    <x v="0"/>
    <s v="Xerox 192"/>
    <n v="25.92"/>
    <n v="4"/>
    <x v="496"/>
    <x v="3"/>
    <x v="1"/>
  </r>
  <r>
    <n v="44658"/>
    <x v="218"/>
    <x v="20"/>
    <x v="0"/>
    <x v="2"/>
    <s v="X-Rack File for Hanging Folders"/>
    <n v="22.58"/>
    <n v="2"/>
    <x v="1243"/>
    <x v="3"/>
    <x v="1"/>
  </r>
  <r>
    <n v="44660"/>
    <x v="144"/>
    <x v="3"/>
    <x v="1"/>
    <x v="13"/>
    <s v="Laminate Occasional Tables"/>
    <n v="369.91"/>
    <n v="3"/>
    <x v="1809"/>
    <x v="3"/>
    <x v="1"/>
  </r>
  <r>
    <n v="44660"/>
    <x v="260"/>
    <x v="20"/>
    <x v="0"/>
    <x v="2"/>
    <s v="Perma STOR-ALL Hanging File Box, 13 1/8&quot;W x 12 1/4&quot;D x 10 1/2&quot;H"/>
    <n v="17.940000000000001"/>
    <n v="3"/>
    <x v="1810"/>
    <x v="3"/>
    <x v="1"/>
  </r>
  <r>
    <n v="44660"/>
    <x v="466"/>
    <x v="37"/>
    <x v="0"/>
    <x v="12"/>
    <s v="Honeywell Enviracaire Portable HEPA Air Cleaner for up to 10 x 16 Room"/>
    <n v="370.14"/>
    <n v="3"/>
    <x v="1811"/>
    <x v="3"/>
    <x v="1"/>
  </r>
  <r>
    <n v="44661"/>
    <x v="441"/>
    <x v="3"/>
    <x v="0"/>
    <x v="3"/>
    <s v="Insertable Tab Post Binder Dividers"/>
    <n v="12.83"/>
    <n v="2"/>
    <x v="1398"/>
    <x v="3"/>
    <x v="1"/>
  </r>
  <r>
    <n v="44661"/>
    <x v="469"/>
    <x v="20"/>
    <x v="0"/>
    <x v="2"/>
    <s v="Steel Personal Filing/Posting Tote"/>
    <n v="142.04"/>
    <n v="4"/>
    <x v="1812"/>
    <x v="3"/>
    <x v="1"/>
  </r>
  <r>
    <n v="44661"/>
    <x v="469"/>
    <x v="20"/>
    <x v="0"/>
    <x v="4"/>
    <s v="Faber Castell Col-Erase Pencils"/>
    <n v="14.67"/>
    <n v="3"/>
    <x v="1813"/>
    <x v="3"/>
    <x v="1"/>
  </r>
  <r>
    <n v="44662"/>
    <x v="145"/>
    <x v="20"/>
    <x v="2"/>
    <x v="9"/>
    <s v="Maxell 4.7GB DVD-R"/>
    <n v="85.14"/>
    <n v="3"/>
    <x v="1814"/>
    <x v="3"/>
    <x v="1"/>
  </r>
  <r>
    <n v="44662"/>
    <x v="145"/>
    <x v="20"/>
    <x v="2"/>
    <x v="6"/>
    <s v="OtterBox Commuter Series Case - iPhone 5 &amp; 5s"/>
    <n v="21.99"/>
    <n v="1"/>
    <x v="1032"/>
    <x v="3"/>
    <x v="1"/>
  </r>
  <r>
    <n v="44662"/>
    <x v="145"/>
    <x v="20"/>
    <x v="0"/>
    <x v="12"/>
    <s v="Kensington 4 Outlet MasterPiece Compact Power Control Center"/>
    <n v="406.6"/>
    <n v="5"/>
    <x v="1815"/>
    <x v="3"/>
    <x v="1"/>
  </r>
  <r>
    <n v="44662"/>
    <x v="378"/>
    <x v="16"/>
    <x v="1"/>
    <x v="8"/>
    <s v="Executive Impressions Supervisor Wall Clock"/>
    <n v="67.36"/>
    <n v="2"/>
    <x v="1816"/>
    <x v="3"/>
    <x v="1"/>
  </r>
  <r>
    <n v="44662"/>
    <x v="378"/>
    <x v="16"/>
    <x v="1"/>
    <x v="8"/>
    <s v="Executive Impressions 14&quot; Two-Color Numerals Wall Clock"/>
    <n v="54.53"/>
    <n v="3"/>
    <x v="69"/>
    <x v="3"/>
    <x v="1"/>
  </r>
  <r>
    <n v="44662"/>
    <x v="539"/>
    <x v="3"/>
    <x v="2"/>
    <x v="16"/>
    <s v="Canon PC-428 Personal Copier"/>
    <n v="639.97"/>
    <n v="4"/>
    <x v="1817"/>
    <x v="3"/>
    <x v="1"/>
  </r>
  <r>
    <n v="44662"/>
    <x v="539"/>
    <x v="3"/>
    <x v="0"/>
    <x v="0"/>
    <s v="Easy-staple paper"/>
    <n v="52.76"/>
    <n v="2"/>
    <x v="1818"/>
    <x v="3"/>
    <x v="1"/>
  </r>
  <r>
    <n v="44663"/>
    <x v="629"/>
    <x v="22"/>
    <x v="0"/>
    <x v="2"/>
    <s v="Rogers Jumbo File, Granite"/>
    <n v="40.74"/>
    <n v="3"/>
    <x v="1018"/>
    <x v="3"/>
    <x v="1"/>
  </r>
  <r>
    <n v="44664"/>
    <x v="456"/>
    <x v="3"/>
    <x v="2"/>
    <x v="9"/>
    <s v="Plantronics Audio 478 Stereo USB Headset"/>
    <n v="199.96"/>
    <n v="4"/>
    <x v="1819"/>
    <x v="3"/>
    <x v="1"/>
  </r>
  <r>
    <n v="44664"/>
    <x v="456"/>
    <x v="3"/>
    <x v="1"/>
    <x v="13"/>
    <s v="Hon 94000 Series Round Tables"/>
    <n v="710.83"/>
    <n v="3"/>
    <x v="1820"/>
    <x v="3"/>
    <x v="1"/>
  </r>
  <r>
    <n v="44664"/>
    <x v="630"/>
    <x v="31"/>
    <x v="0"/>
    <x v="14"/>
    <s v="Martin-Yale Premier Letter Opener"/>
    <n v="12.88"/>
    <n v="1"/>
    <x v="1821"/>
    <x v="3"/>
    <x v="1"/>
  </r>
  <r>
    <n v="44664"/>
    <x v="631"/>
    <x v="12"/>
    <x v="0"/>
    <x v="0"/>
    <s v="Xerox 210"/>
    <n v="31.1"/>
    <n v="6"/>
    <x v="782"/>
    <x v="3"/>
    <x v="1"/>
  </r>
  <r>
    <n v="44664"/>
    <x v="631"/>
    <x v="12"/>
    <x v="0"/>
    <x v="0"/>
    <s v="Xerox 1973"/>
    <n v="54.82"/>
    <n v="3"/>
    <x v="1822"/>
    <x v="3"/>
    <x v="1"/>
  </r>
  <r>
    <n v="44664"/>
    <x v="478"/>
    <x v="3"/>
    <x v="1"/>
    <x v="8"/>
    <s v="Flat Face Poster Frame"/>
    <n v="37.68"/>
    <n v="2"/>
    <x v="1533"/>
    <x v="3"/>
    <x v="1"/>
  </r>
  <r>
    <n v="44664"/>
    <x v="478"/>
    <x v="3"/>
    <x v="2"/>
    <x v="6"/>
    <s v="Aastra 57i VoIP phone"/>
    <n v="258.58"/>
    <n v="2"/>
    <x v="1823"/>
    <x v="3"/>
    <x v="1"/>
  </r>
  <r>
    <n v="44664"/>
    <x v="478"/>
    <x v="3"/>
    <x v="0"/>
    <x v="12"/>
    <s v="3M Replacement Filter for Office Air Cleaner for 20' x 33' Room"/>
    <n v="75.84"/>
    <n v="2"/>
    <x v="1824"/>
    <x v="3"/>
    <x v="1"/>
  </r>
  <r>
    <n v="44664"/>
    <x v="331"/>
    <x v="40"/>
    <x v="0"/>
    <x v="3"/>
    <s v="Fellowes Black Plastic Comb Bindings"/>
    <n v="17.43"/>
    <n v="3"/>
    <x v="1825"/>
    <x v="3"/>
    <x v="1"/>
  </r>
  <r>
    <n v="44664"/>
    <x v="632"/>
    <x v="3"/>
    <x v="1"/>
    <x v="13"/>
    <s v="Iceberg OfficeWorks 42&quot; Round Tables"/>
    <n v="241.57"/>
    <n v="2"/>
    <x v="1826"/>
    <x v="3"/>
    <x v="1"/>
  </r>
  <r>
    <n v="44664"/>
    <x v="632"/>
    <x v="3"/>
    <x v="2"/>
    <x v="6"/>
    <s v="Polycom CX600 IP Phone VoIP phone"/>
    <n v="479.92"/>
    <n v="2"/>
    <x v="317"/>
    <x v="3"/>
    <x v="1"/>
  </r>
  <r>
    <n v="44664"/>
    <x v="433"/>
    <x v="12"/>
    <x v="0"/>
    <x v="2"/>
    <s v="Neat Ideas Personal Hanging Folder Files, Black"/>
    <n v="10.74"/>
    <n v="1"/>
    <x v="1261"/>
    <x v="3"/>
    <x v="1"/>
  </r>
  <r>
    <n v="44664"/>
    <x v="558"/>
    <x v="0"/>
    <x v="1"/>
    <x v="13"/>
    <s v="Chromcraft Bull-Nose Wood Round Conference Table Top, Wood Base"/>
    <n v="609.98"/>
    <n v="4"/>
    <x v="1827"/>
    <x v="3"/>
    <x v="1"/>
  </r>
  <r>
    <n v="44664"/>
    <x v="558"/>
    <x v="0"/>
    <x v="1"/>
    <x v="13"/>
    <s v="Iceberg OfficeWorks 42&quot; Round Tables"/>
    <n v="211.37"/>
    <n v="2"/>
    <x v="1828"/>
    <x v="3"/>
    <x v="1"/>
  </r>
  <r>
    <n v="44664"/>
    <x v="558"/>
    <x v="0"/>
    <x v="2"/>
    <x v="6"/>
    <s v="Apple iPhone 5C"/>
    <n v="239.98"/>
    <n v="3"/>
    <x v="1829"/>
    <x v="3"/>
    <x v="1"/>
  </r>
  <r>
    <n v="44665"/>
    <x v="633"/>
    <x v="11"/>
    <x v="0"/>
    <x v="12"/>
    <s v="Acco Smartsocket Color-Coded Six-Outlet AC Adapter Model Surge Protectors"/>
    <n v="35.21"/>
    <n v="1"/>
    <x v="172"/>
    <x v="3"/>
    <x v="1"/>
  </r>
  <r>
    <n v="44667"/>
    <x v="161"/>
    <x v="10"/>
    <x v="0"/>
    <x v="12"/>
    <s v="Belkin F9H710-06 7 Outlet SurgeMaster Surge Protector"/>
    <n v="45.22"/>
    <n v="3"/>
    <x v="662"/>
    <x v="3"/>
    <x v="1"/>
  </r>
  <r>
    <n v="44667"/>
    <x v="161"/>
    <x v="10"/>
    <x v="0"/>
    <x v="7"/>
    <s v="Super Bands, 12/Pack"/>
    <n v="10.42"/>
    <n v="7"/>
    <x v="1241"/>
    <x v="3"/>
    <x v="1"/>
  </r>
  <r>
    <n v="44667"/>
    <x v="161"/>
    <x v="10"/>
    <x v="0"/>
    <x v="4"/>
    <s v="Crayola Colored Pencils"/>
    <n v="7.87"/>
    <n v="3"/>
    <x v="1830"/>
    <x v="3"/>
    <x v="1"/>
  </r>
  <r>
    <n v="44667"/>
    <x v="161"/>
    <x v="10"/>
    <x v="2"/>
    <x v="6"/>
    <s v="Plantronics 81402"/>
    <n v="118.78"/>
    <n v="3"/>
    <x v="1831"/>
    <x v="3"/>
    <x v="1"/>
  </r>
  <r>
    <n v="44667"/>
    <x v="161"/>
    <x v="10"/>
    <x v="0"/>
    <x v="7"/>
    <s v="Assorted Color Push Pins"/>
    <n v="1.45"/>
    <n v="1"/>
    <x v="1832"/>
    <x v="3"/>
    <x v="1"/>
  </r>
  <r>
    <n v="44667"/>
    <x v="161"/>
    <x v="10"/>
    <x v="0"/>
    <x v="3"/>
    <s v="GBC Velobind Prepunched Cover Sets, Regency Series"/>
    <n v="55.47"/>
    <n v="5"/>
    <x v="1833"/>
    <x v="3"/>
    <x v="1"/>
  </r>
  <r>
    <n v="44667"/>
    <x v="396"/>
    <x v="2"/>
    <x v="0"/>
    <x v="7"/>
    <s v="Staples"/>
    <n v="12.58"/>
    <n v="4"/>
    <x v="1834"/>
    <x v="3"/>
    <x v="1"/>
  </r>
  <r>
    <n v="44667"/>
    <x v="417"/>
    <x v="1"/>
    <x v="2"/>
    <x v="16"/>
    <s v="Canon PC940 Copier"/>
    <n v="1439.97"/>
    <n v="4"/>
    <x v="1835"/>
    <x v="3"/>
    <x v="1"/>
  </r>
  <r>
    <n v="44667"/>
    <x v="417"/>
    <x v="1"/>
    <x v="2"/>
    <x v="9"/>
    <s v="Logitech Keyboard K120"/>
    <n v="43.56"/>
    <n v="3"/>
    <x v="1836"/>
    <x v="3"/>
    <x v="1"/>
  </r>
  <r>
    <n v="44667"/>
    <x v="172"/>
    <x v="6"/>
    <x v="2"/>
    <x v="6"/>
    <s v="Konftel 250 ConferenceÂ phoneÂ - Charcoal black"/>
    <n v="569.64"/>
    <n v="2"/>
    <x v="1837"/>
    <x v="3"/>
    <x v="1"/>
  </r>
  <r>
    <n v="44667"/>
    <x v="172"/>
    <x v="6"/>
    <x v="0"/>
    <x v="3"/>
    <s v="Cardinal EasyOpen D-Ring Binders"/>
    <n v="9.14"/>
    <n v="1"/>
    <x v="1838"/>
    <x v="3"/>
    <x v="1"/>
  </r>
  <r>
    <n v="44667"/>
    <x v="172"/>
    <x v="6"/>
    <x v="1"/>
    <x v="8"/>
    <s v="Tenex Antistatic Computer Chair Mats"/>
    <n v="1196.8599999999999"/>
    <n v="7"/>
    <x v="1839"/>
    <x v="3"/>
    <x v="1"/>
  </r>
  <r>
    <n v="44667"/>
    <x v="172"/>
    <x v="6"/>
    <x v="1"/>
    <x v="11"/>
    <s v="O'Sullivan 3-Shelf Heavy-Duty Bookcases"/>
    <n v="523.26"/>
    <n v="9"/>
    <x v="1840"/>
    <x v="3"/>
    <x v="1"/>
  </r>
  <r>
    <n v="44667"/>
    <x v="491"/>
    <x v="20"/>
    <x v="1"/>
    <x v="5"/>
    <s v="Novimex Turbo Task Chair"/>
    <n v="127.76"/>
    <n v="2"/>
    <x v="386"/>
    <x v="3"/>
    <x v="1"/>
  </r>
  <r>
    <n v="44668"/>
    <x v="208"/>
    <x v="3"/>
    <x v="0"/>
    <x v="4"/>
    <s v="Prang Drawing Pencil Set"/>
    <n v="5.56"/>
    <n v="2"/>
    <x v="635"/>
    <x v="3"/>
    <x v="1"/>
  </r>
  <r>
    <n v="44668"/>
    <x v="208"/>
    <x v="3"/>
    <x v="2"/>
    <x v="9"/>
    <s v="Plantronics S12 Corded Telephone Headset System"/>
    <n v="323.37"/>
    <n v="3"/>
    <x v="1841"/>
    <x v="3"/>
    <x v="1"/>
  </r>
  <r>
    <n v="44668"/>
    <x v="208"/>
    <x v="3"/>
    <x v="2"/>
    <x v="6"/>
    <s v="Plantronics Calisto P620-M USB Wireless Speakerphone System"/>
    <n v="783.96"/>
    <n v="5"/>
    <x v="1842"/>
    <x v="3"/>
    <x v="1"/>
  </r>
  <r>
    <n v="44668"/>
    <x v="208"/>
    <x v="3"/>
    <x v="0"/>
    <x v="12"/>
    <s v="Hoover Upright Vacuum With Dirt Cup"/>
    <n v="1447.65"/>
    <n v="5"/>
    <x v="1843"/>
    <x v="3"/>
    <x v="1"/>
  </r>
  <r>
    <n v="44668"/>
    <x v="208"/>
    <x v="3"/>
    <x v="0"/>
    <x v="0"/>
    <s v="Xerox 1903"/>
    <n v="11.96"/>
    <n v="2"/>
    <x v="679"/>
    <x v="3"/>
    <x v="1"/>
  </r>
  <r>
    <n v="44668"/>
    <x v="401"/>
    <x v="20"/>
    <x v="2"/>
    <x v="9"/>
    <s v="Enermax Acrylux Wireless Keyboard"/>
    <n v="99.6"/>
    <n v="1"/>
    <x v="1844"/>
    <x v="3"/>
    <x v="1"/>
  </r>
  <r>
    <n v="44668"/>
    <x v="401"/>
    <x v="20"/>
    <x v="0"/>
    <x v="3"/>
    <s v="DXL Angle-View Binders with Locking Rings, Black"/>
    <n v="62.3"/>
    <n v="13"/>
    <x v="452"/>
    <x v="3"/>
    <x v="1"/>
  </r>
  <r>
    <n v="44668"/>
    <x v="401"/>
    <x v="20"/>
    <x v="0"/>
    <x v="4"/>
    <s v="Barrel Sharpener"/>
    <n v="10.71"/>
    <n v="3"/>
    <x v="304"/>
    <x v="3"/>
    <x v="1"/>
  </r>
  <r>
    <n v="44669"/>
    <x v="0"/>
    <x v="18"/>
    <x v="0"/>
    <x v="3"/>
    <s v="C-Line Peel &amp; Stick Add-On Filing Pockets, 8-3/4 x 5-1/8, 10/Pack"/>
    <n v="38.22"/>
    <n v="6"/>
    <x v="1845"/>
    <x v="3"/>
    <x v="1"/>
  </r>
  <r>
    <n v="44669"/>
    <x v="0"/>
    <x v="18"/>
    <x v="0"/>
    <x v="1"/>
    <s v="Avery 485"/>
    <n v="75.180000000000007"/>
    <n v="6"/>
    <x v="999"/>
    <x v="3"/>
    <x v="1"/>
  </r>
  <r>
    <n v="44669"/>
    <x v="0"/>
    <x v="18"/>
    <x v="1"/>
    <x v="8"/>
    <s v="Longer-Life Soft White Bulbs"/>
    <n v="6.16"/>
    <n v="2"/>
    <x v="1057"/>
    <x v="3"/>
    <x v="1"/>
  </r>
  <r>
    <n v="44669"/>
    <x v="0"/>
    <x v="18"/>
    <x v="1"/>
    <x v="5"/>
    <s v="Global Leather Task Chair, Black"/>
    <n v="89.99"/>
    <n v="1"/>
    <x v="1846"/>
    <x v="3"/>
    <x v="1"/>
  </r>
  <r>
    <n v="44669"/>
    <x v="439"/>
    <x v="8"/>
    <x v="2"/>
    <x v="9"/>
    <s v="Memorex Froggy Flash Drive 8 GB"/>
    <n v="106.5"/>
    <n v="6"/>
    <x v="1847"/>
    <x v="3"/>
    <x v="1"/>
  </r>
  <r>
    <n v="44669"/>
    <x v="334"/>
    <x v="20"/>
    <x v="0"/>
    <x v="1"/>
    <s v="Avery 486"/>
    <n v="21.93"/>
    <n v="3"/>
    <x v="1848"/>
    <x v="3"/>
    <x v="1"/>
  </r>
  <r>
    <n v="44669"/>
    <x v="354"/>
    <x v="3"/>
    <x v="0"/>
    <x v="2"/>
    <s v="Tennsco Stur-D-Stor Boltless Shelving, 5 Shelves, 24&quot; Deep, Sand"/>
    <n v="947.17"/>
    <n v="7"/>
    <x v="1119"/>
    <x v="3"/>
    <x v="1"/>
  </r>
  <r>
    <n v="44669"/>
    <x v="354"/>
    <x v="3"/>
    <x v="0"/>
    <x v="0"/>
    <s v="Xerox 19"/>
    <n v="61.96"/>
    <n v="2"/>
    <x v="1141"/>
    <x v="3"/>
    <x v="1"/>
  </r>
  <r>
    <n v="44669"/>
    <x v="180"/>
    <x v="3"/>
    <x v="0"/>
    <x v="2"/>
    <s v="Advantus Rolling Drawer Organizers"/>
    <n v="115.44"/>
    <n v="3"/>
    <x v="1849"/>
    <x v="3"/>
    <x v="1"/>
  </r>
  <r>
    <n v="44669"/>
    <x v="634"/>
    <x v="0"/>
    <x v="2"/>
    <x v="9"/>
    <s v="TRENDnet 56K USB 2.0 Phone, Internet and Fax Modem"/>
    <n v="41.42"/>
    <n v="2"/>
    <x v="1187"/>
    <x v="3"/>
    <x v="1"/>
  </r>
  <r>
    <n v="44669"/>
    <x v="634"/>
    <x v="0"/>
    <x v="2"/>
    <x v="6"/>
    <s v="Grandstream GXP2100 Mainstream Business Phone"/>
    <n v="244.77"/>
    <n v="4"/>
    <x v="1850"/>
    <x v="3"/>
    <x v="1"/>
  </r>
  <r>
    <n v="44669"/>
    <x v="634"/>
    <x v="0"/>
    <x v="0"/>
    <x v="4"/>
    <s v="Boston School Pro Electric Pencil Sharpener, 1670"/>
    <n v="74.349999999999994"/>
    <n v="3"/>
    <x v="231"/>
    <x v="3"/>
    <x v="1"/>
  </r>
  <r>
    <n v="44669"/>
    <x v="634"/>
    <x v="0"/>
    <x v="0"/>
    <x v="3"/>
    <s v="GBC Standard Recycled Report Covers, Clear Plastic Sheets"/>
    <n v="4.3099999999999996"/>
    <n v="2"/>
    <x v="1851"/>
    <x v="3"/>
    <x v="1"/>
  </r>
  <r>
    <n v="44669"/>
    <x v="634"/>
    <x v="0"/>
    <x v="1"/>
    <x v="5"/>
    <s v="Global Geo Office Task Chair, Gray"/>
    <n v="56.69"/>
    <n v="1"/>
    <x v="1852"/>
    <x v="3"/>
    <x v="1"/>
  </r>
  <r>
    <n v="44669"/>
    <x v="634"/>
    <x v="0"/>
    <x v="2"/>
    <x v="6"/>
    <s v="Lunatik TT5L-002 Taktik Strike Impact Protection System for iPhone 5"/>
    <n v="97.97"/>
    <n v="2"/>
    <x v="1853"/>
    <x v="3"/>
    <x v="1"/>
  </r>
  <r>
    <n v="44669"/>
    <x v="634"/>
    <x v="0"/>
    <x v="0"/>
    <x v="4"/>
    <s v="Newell 348"/>
    <n v="7.87"/>
    <n v="3"/>
    <x v="1170"/>
    <x v="3"/>
    <x v="1"/>
  </r>
  <r>
    <n v="44669"/>
    <x v="634"/>
    <x v="0"/>
    <x v="0"/>
    <x v="0"/>
    <s v="Xerox 1994"/>
    <n v="15.55"/>
    <n v="3"/>
    <x v="192"/>
    <x v="3"/>
    <x v="1"/>
  </r>
  <r>
    <n v="44669"/>
    <x v="634"/>
    <x v="0"/>
    <x v="0"/>
    <x v="3"/>
    <s v="GBC Plastic Binding Combs"/>
    <n v="1.48"/>
    <n v="1"/>
    <x v="834"/>
    <x v="3"/>
    <x v="1"/>
  </r>
  <r>
    <n v="44670"/>
    <x v="190"/>
    <x v="0"/>
    <x v="0"/>
    <x v="12"/>
    <s v="Fellowes Premier Superior Surge Suppressor, 10-Outlet, With Phone and Remote"/>
    <n v="19.57"/>
    <n v="2"/>
    <x v="1854"/>
    <x v="3"/>
    <x v="1"/>
  </r>
  <r>
    <n v="44670"/>
    <x v="190"/>
    <x v="0"/>
    <x v="0"/>
    <x v="3"/>
    <s v="Fellowes PB300 Plastic Comb Binding Machine"/>
    <n v="310.39"/>
    <n v="4"/>
    <x v="1855"/>
    <x v="3"/>
    <x v="1"/>
  </r>
  <r>
    <n v="44671"/>
    <x v="161"/>
    <x v="4"/>
    <x v="2"/>
    <x v="6"/>
    <s v="Pyle PMP37LED"/>
    <n v="287.97000000000003"/>
    <n v="3"/>
    <x v="1856"/>
    <x v="3"/>
    <x v="1"/>
  </r>
  <r>
    <n v="44671"/>
    <x v="161"/>
    <x v="4"/>
    <x v="1"/>
    <x v="8"/>
    <s v="GE 48&quot; Fluorescent Tube, Cool White Energy Saver, 34 Watts, 30/Box"/>
    <n v="595.38"/>
    <n v="6"/>
    <x v="1857"/>
    <x v="3"/>
    <x v="1"/>
  </r>
  <r>
    <n v="44671"/>
    <x v="161"/>
    <x v="4"/>
    <x v="0"/>
    <x v="0"/>
    <s v="Xerox 2"/>
    <n v="12.96"/>
    <n v="2"/>
    <x v="113"/>
    <x v="3"/>
    <x v="1"/>
  </r>
  <r>
    <n v="44671"/>
    <x v="414"/>
    <x v="0"/>
    <x v="0"/>
    <x v="0"/>
    <s v="Xerox 1916"/>
    <n v="117.46"/>
    <n v="3"/>
    <x v="1858"/>
    <x v="3"/>
    <x v="1"/>
  </r>
  <r>
    <n v="44671"/>
    <x v="635"/>
    <x v="14"/>
    <x v="0"/>
    <x v="10"/>
    <s v="Tyvek Side-Opening Peel &amp; Seel Expanding Envelopes"/>
    <n v="180.96"/>
    <n v="2"/>
    <x v="1859"/>
    <x v="3"/>
    <x v="1"/>
  </r>
  <r>
    <n v="44672"/>
    <x v="636"/>
    <x v="5"/>
    <x v="1"/>
    <x v="5"/>
    <s v="Global Deluxe Office Fabric Chairs"/>
    <n v="191.96"/>
    <n v="2"/>
    <x v="1860"/>
    <x v="3"/>
    <x v="1"/>
  </r>
  <r>
    <n v="44672"/>
    <x v="636"/>
    <x v="5"/>
    <x v="0"/>
    <x v="3"/>
    <s v="Wilson Jones Hanging View Binder, White, 1&quot;"/>
    <n v="21.3"/>
    <n v="3"/>
    <x v="1861"/>
    <x v="3"/>
    <x v="1"/>
  </r>
  <r>
    <n v="44672"/>
    <x v="636"/>
    <x v="5"/>
    <x v="2"/>
    <x v="6"/>
    <s v="Jabra SPEAK 410"/>
    <n v="469.95"/>
    <n v="5"/>
    <x v="1862"/>
    <x v="3"/>
    <x v="1"/>
  </r>
  <r>
    <n v="44672"/>
    <x v="636"/>
    <x v="5"/>
    <x v="1"/>
    <x v="8"/>
    <s v="Tenex &quot;The Solids&quot; Textured Chair Mats"/>
    <n v="209.88"/>
    <n v="3"/>
    <x v="1863"/>
    <x v="3"/>
    <x v="1"/>
  </r>
  <r>
    <n v="44673"/>
    <x v="86"/>
    <x v="3"/>
    <x v="2"/>
    <x v="6"/>
    <s v="Logitech B530 USBÂ HeadsetÂ -Â headsetÂ - Full size, Binaural"/>
    <n v="88.78"/>
    <n v="3"/>
    <x v="1182"/>
    <x v="3"/>
    <x v="1"/>
  </r>
  <r>
    <n v="44673"/>
    <x v="86"/>
    <x v="3"/>
    <x v="0"/>
    <x v="4"/>
    <s v="Boston 1730 StandUp Electric Pencil Sharpener"/>
    <n v="64.14"/>
    <n v="3"/>
    <x v="1760"/>
    <x v="3"/>
    <x v="1"/>
  </r>
  <r>
    <n v="44675"/>
    <x v="35"/>
    <x v="20"/>
    <x v="0"/>
    <x v="4"/>
    <s v="BOSTON Ranger #55 Pencil Sharpener, Black"/>
    <n v="25.99"/>
    <n v="1"/>
    <x v="1864"/>
    <x v="3"/>
    <x v="1"/>
  </r>
  <r>
    <n v="44676"/>
    <x v="65"/>
    <x v="3"/>
    <x v="0"/>
    <x v="3"/>
    <s v="Fellowes Black Plastic Comb Bindings"/>
    <n v="13.94"/>
    <n v="3"/>
    <x v="1865"/>
    <x v="3"/>
    <x v="1"/>
  </r>
  <r>
    <n v="44676"/>
    <x v="315"/>
    <x v="20"/>
    <x v="0"/>
    <x v="12"/>
    <s v="Holmes Replacement Filter for HEPA Air Cleaner, Very Large Room, HEPA Filter"/>
    <n v="206.43"/>
    <n v="3"/>
    <x v="1866"/>
    <x v="3"/>
    <x v="1"/>
  </r>
  <r>
    <n v="44676"/>
    <x v="603"/>
    <x v="21"/>
    <x v="0"/>
    <x v="4"/>
    <s v="Newell 324"/>
    <n v="57.75"/>
    <n v="5"/>
    <x v="859"/>
    <x v="3"/>
    <x v="1"/>
  </r>
  <r>
    <n v="44676"/>
    <x v="603"/>
    <x v="21"/>
    <x v="0"/>
    <x v="12"/>
    <s v="Belkin 5 Outlet SurgeMaster Power Centers"/>
    <n v="272.39999999999998"/>
    <n v="5"/>
    <x v="1867"/>
    <x v="3"/>
    <x v="1"/>
  </r>
  <r>
    <n v="44676"/>
    <x v="456"/>
    <x v="1"/>
    <x v="0"/>
    <x v="2"/>
    <s v="SAFCO Commercial Wire Shelving, Black"/>
    <n v="221.02"/>
    <n v="2"/>
    <x v="1868"/>
    <x v="3"/>
    <x v="1"/>
  </r>
  <r>
    <n v="44676"/>
    <x v="456"/>
    <x v="1"/>
    <x v="1"/>
    <x v="5"/>
    <s v="Global Armless Task Chair, Royal Blue"/>
    <n v="128.06"/>
    <n v="3"/>
    <x v="1869"/>
    <x v="3"/>
    <x v="1"/>
  </r>
  <r>
    <n v="44676"/>
    <x v="637"/>
    <x v="3"/>
    <x v="0"/>
    <x v="10"/>
    <s v="Laser &amp; Ink Jet Business Envelopes"/>
    <n v="21.34"/>
    <n v="2"/>
    <x v="1199"/>
    <x v="3"/>
    <x v="1"/>
  </r>
  <r>
    <n v="44677"/>
    <x v="264"/>
    <x v="15"/>
    <x v="1"/>
    <x v="5"/>
    <s v="High-Back Leather Manager's Chair"/>
    <n v="831.94"/>
    <n v="8"/>
    <x v="1870"/>
    <x v="3"/>
    <x v="1"/>
  </r>
  <r>
    <n v="44677"/>
    <x v="264"/>
    <x v="15"/>
    <x v="1"/>
    <x v="8"/>
    <s v="Tenex Traditional Chairmats for Medium Pile Carpet, Standard Lip, 36&quot; x 48&quot;"/>
    <n v="97.04"/>
    <n v="2"/>
    <x v="968"/>
    <x v="3"/>
    <x v="1"/>
  </r>
  <r>
    <n v="44677"/>
    <x v="264"/>
    <x v="15"/>
    <x v="0"/>
    <x v="2"/>
    <s v="Safco Industrial Wire Shelving System"/>
    <n v="72.78"/>
    <n v="1"/>
    <x v="1871"/>
    <x v="3"/>
    <x v="1"/>
  </r>
  <r>
    <n v="44677"/>
    <x v="517"/>
    <x v="0"/>
    <x v="1"/>
    <x v="5"/>
    <s v="Hon 4070 Series Pagoda Armless Upholstered Stacking Chairs"/>
    <n v="408.42"/>
    <n v="2"/>
    <x v="1872"/>
    <x v="3"/>
    <x v="1"/>
  </r>
  <r>
    <n v="44677"/>
    <x v="620"/>
    <x v="3"/>
    <x v="1"/>
    <x v="5"/>
    <s v="SAFCO Optional Arm Kit for Workspace Cribbage Stacking Chair"/>
    <n v="63.94"/>
    <n v="3"/>
    <x v="1873"/>
    <x v="3"/>
    <x v="1"/>
  </r>
  <r>
    <n v="44677"/>
    <x v="620"/>
    <x v="3"/>
    <x v="0"/>
    <x v="4"/>
    <s v="Newell 345"/>
    <n v="59.52"/>
    <n v="3"/>
    <x v="142"/>
    <x v="3"/>
    <x v="1"/>
  </r>
  <r>
    <n v="44677"/>
    <x v="620"/>
    <x v="3"/>
    <x v="2"/>
    <x v="6"/>
    <s v="RCA ViSYS 25825 Wireless digital phone"/>
    <n v="311.98"/>
    <n v="3"/>
    <x v="1874"/>
    <x v="3"/>
    <x v="1"/>
  </r>
  <r>
    <n v="44677"/>
    <x v="620"/>
    <x v="3"/>
    <x v="0"/>
    <x v="3"/>
    <s v="GBC Premium Transparent Covers with Diagonal Lined Pattern"/>
    <n v="50.35"/>
    <n v="3"/>
    <x v="1875"/>
    <x v="3"/>
    <x v="1"/>
  </r>
  <r>
    <n v="44677"/>
    <x v="52"/>
    <x v="16"/>
    <x v="1"/>
    <x v="13"/>
    <s v="Bretford CR4500 Series Slim Rectangular Table"/>
    <n v="191.52"/>
    <n v="1"/>
    <x v="1876"/>
    <x v="3"/>
    <x v="1"/>
  </r>
  <r>
    <n v="44677"/>
    <x v="52"/>
    <x v="16"/>
    <x v="0"/>
    <x v="4"/>
    <s v="Crayola Colored Pencils"/>
    <n v="2.62"/>
    <n v="1"/>
    <x v="1360"/>
    <x v="3"/>
    <x v="1"/>
  </r>
  <r>
    <n v="44678"/>
    <x v="217"/>
    <x v="44"/>
    <x v="0"/>
    <x v="4"/>
    <s v="Staples in misc. colors"/>
    <n v="22.74"/>
    <n v="3"/>
    <x v="1877"/>
    <x v="3"/>
    <x v="1"/>
  </r>
  <r>
    <n v="44678"/>
    <x v="217"/>
    <x v="44"/>
    <x v="1"/>
    <x v="5"/>
    <s v="Global Comet Stacking Arm Chair"/>
    <n v="1267.53"/>
    <n v="3"/>
    <x v="1878"/>
    <x v="3"/>
    <x v="1"/>
  </r>
  <r>
    <n v="44678"/>
    <x v="217"/>
    <x v="44"/>
    <x v="2"/>
    <x v="15"/>
    <s v="Cisco SPA525G2 5-Line IP Phone"/>
    <n v="1379.92"/>
    <n v="8"/>
    <x v="1879"/>
    <x v="3"/>
    <x v="1"/>
  </r>
  <r>
    <n v="44678"/>
    <x v="529"/>
    <x v="26"/>
    <x v="0"/>
    <x v="12"/>
    <s v="Belkin 6 Outlet Metallic Surge Strip"/>
    <n v="43.56"/>
    <n v="5"/>
    <x v="1880"/>
    <x v="3"/>
    <x v="1"/>
  </r>
  <r>
    <n v="44678"/>
    <x v="529"/>
    <x v="26"/>
    <x v="0"/>
    <x v="14"/>
    <s v="Acme Value Line Scissors"/>
    <n v="5.84"/>
    <n v="2"/>
    <x v="1881"/>
    <x v="3"/>
    <x v="1"/>
  </r>
  <r>
    <n v="44679"/>
    <x v="277"/>
    <x v="0"/>
    <x v="0"/>
    <x v="12"/>
    <s v="Holmes Odor Grabber"/>
    <n v="8.65"/>
    <n v="3"/>
    <x v="1882"/>
    <x v="3"/>
    <x v="1"/>
  </r>
  <r>
    <n v="44679"/>
    <x v="277"/>
    <x v="0"/>
    <x v="0"/>
    <x v="2"/>
    <s v="Akro-Mils 12-Gallon Tote"/>
    <n v="23.83"/>
    <n v="3"/>
    <x v="268"/>
    <x v="3"/>
    <x v="1"/>
  </r>
  <r>
    <n v="44679"/>
    <x v="277"/>
    <x v="0"/>
    <x v="0"/>
    <x v="3"/>
    <s v="GBC Twin Loop Wire Binding Elements, 9/16&quot; Spine, Black"/>
    <n v="12.18"/>
    <n v="4"/>
    <x v="1883"/>
    <x v="3"/>
    <x v="1"/>
  </r>
  <r>
    <n v="44679"/>
    <x v="26"/>
    <x v="14"/>
    <x v="0"/>
    <x v="12"/>
    <s v="Kensington 7 Outlet MasterPiece Power Center with Fax/Phone Line Protection"/>
    <n v="186.73"/>
    <n v="1"/>
    <x v="1884"/>
    <x v="3"/>
    <x v="1"/>
  </r>
  <r>
    <n v="44679"/>
    <x v="26"/>
    <x v="14"/>
    <x v="0"/>
    <x v="3"/>
    <s v="Fellowes PB500 Electric Punch Plastic Comb Binding Machine with Manual Bind"/>
    <n v="3812.97"/>
    <n v="3"/>
    <x v="1885"/>
    <x v="3"/>
    <x v="1"/>
  </r>
  <r>
    <n v="44680"/>
    <x v="412"/>
    <x v="2"/>
    <x v="0"/>
    <x v="0"/>
    <s v="Xerox 1949"/>
    <n v="7.97"/>
    <n v="2"/>
    <x v="1131"/>
    <x v="3"/>
    <x v="1"/>
  </r>
  <r>
    <n v="44681"/>
    <x v="152"/>
    <x v="1"/>
    <x v="1"/>
    <x v="5"/>
    <s v="Global Value Mid-Back Manager's Chair, Gray"/>
    <n v="213.12"/>
    <n v="5"/>
    <x v="1886"/>
    <x v="3"/>
    <x v="1"/>
  </r>
  <r>
    <n v="44681"/>
    <x v="157"/>
    <x v="10"/>
    <x v="2"/>
    <x v="6"/>
    <s v="Cisco Unified IP Phone 7945G VoIP phone"/>
    <n v="1022.97"/>
    <n v="5"/>
    <x v="1887"/>
    <x v="3"/>
    <x v="1"/>
  </r>
  <r>
    <n v="44681"/>
    <x v="127"/>
    <x v="3"/>
    <x v="0"/>
    <x v="4"/>
    <s v="Newell 324"/>
    <n v="34.65"/>
    <n v="3"/>
    <x v="420"/>
    <x v="3"/>
    <x v="1"/>
  </r>
  <r>
    <n v="44681"/>
    <x v="127"/>
    <x v="3"/>
    <x v="2"/>
    <x v="6"/>
    <s v="Cush Cases Heavy Duty Rugged Cover Case for Samsung Galaxy S5 - Purple"/>
    <n v="19.8"/>
    <n v="5"/>
    <x v="1515"/>
    <x v="3"/>
    <x v="1"/>
  </r>
  <r>
    <n v="44681"/>
    <x v="638"/>
    <x v="32"/>
    <x v="1"/>
    <x v="8"/>
    <s v="Eldon 200 Class Desk Accessories, Burgundy"/>
    <n v="31.4"/>
    <n v="5"/>
    <x v="829"/>
    <x v="3"/>
    <x v="1"/>
  </r>
  <r>
    <n v="44681"/>
    <x v="638"/>
    <x v="32"/>
    <x v="1"/>
    <x v="8"/>
    <s v="DAX Two-Tone Rosewood/Black Document Frame, Desktop, 5 x 7"/>
    <n v="9.48"/>
    <n v="1"/>
    <x v="1158"/>
    <x v="3"/>
    <x v="1"/>
  </r>
  <r>
    <n v="44681"/>
    <x v="638"/>
    <x v="32"/>
    <x v="2"/>
    <x v="6"/>
    <s v="iKross Bluetooth Portable Keyboard + Cell Phone Stand Holder + Brush for Apple iPhone 5S 5C 5, 4S 4"/>
    <n v="209.5"/>
    <n v="10"/>
    <x v="1888"/>
    <x v="3"/>
    <x v="1"/>
  </r>
  <r>
    <n v="44681"/>
    <x v="638"/>
    <x v="32"/>
    <x v="1"/>
    <x v="8"/>
    <s v="Eldon ImÃ ge Series Desk Accessories, Clear"/>
    <n v="24.3"/>
    <n v="5"/>
    <x v="1889"/>
    <x v="3"/>
    <x v="1"/>
  </r>
  <r>
    <n v="44681"/>
    <x v="638"/>
    <x v="32"/>
    <x v="0"/>
    <x v="0"/>
    <s v="Weyerhaeuser First Choice Laser/Copy Paper (20Lb. and 88 Bright)"/>
    <n v="6.48"/>
    <n v="1"/>
    <x v="1006"/>
    <x v="3"/>
    <x v="1"/>
  </r>
  <r>
    <n v="44682"/>
    <x v="403"/>
    <x v="3"/>
    <x v="2"/>
    <x v="6"/>
    <s v="OtterBox Defender Series Case - iPhone 5c"/>
    <n v="88.75"/>
    <n v="3"/>
    <x v="1890"/>
    <x v="4"/>
    <x v="1"/>
  </r>
  <r>
    <n v="44682"/>
    <x v="639"/>
    <x v="16"/>
    <x v="1"/>
    <x v="8"/>
    <s v="DAX Black Cherry Wood-Tone Poster Frame"/>
    <n v="63.55"/>
    <n v="3"/>
    <x v="1891"/>
    <x v="4"/>
    <x v="1"/>
  </r>
  <r>
    <n v="44682"/>
    <x v="639"/>
    <x v="16"/>
    <x v="0"/>
    <x v="14"/>
    <s v="Fiskars 8&quot; Scissors, 2/Pack"/>
    <n v="41.38"/>
    <n v="3"/>
    <x v="633"/>
    <x v="4"/>
    <x v="1"/>
  </r>
  <r>
    <n v="44682"/>
    <x v="639"/>
    <x v="16"/>
    <x v="0"/>
    <x v="4"/>
    <s v="Panasonic KP-380BK Classic Electric Pencil Sharpener"/>
    <n v="172.7"/>
    <n v="6"/>
    <x v="777"/>
    <x v="4"/>
    <x v="1"/>
  </r>
  <r>
    <n v="44682"/>
    <x v="487"/>
    <x v="3"/>
    <x v="0"/>
    <x v="3"/>
    <s v="GBC Twin Loop Wire Binding Elements, 9/16&quot; Spine, Black"/>
    <n v="12.18"/>
    <n v="1"/>
    <x v="1892"/>
    <x v="4"/>
    <x v="1"/>
  </r>
  <r>
    <n v="44682"/>
    <x v="487"/>
    <x v="3"/>
    <x v="0"/>
    <x v="2"/>
    <s v="Eldon Simplefile Box Office"/>
    <n v="37.32"/>
    <n v="3"/>
    <x v="1889"/>
    <x v="4"/>
    <x v="1"/>
  </r>
  <r>
    <n v="44682"/>
    <x v="487"/>
    <x v="3"/>
    <x v="0"/>
    <x v="14"/>
    <s v="Acme 10&quot; Easy Grip Assistive Scissors"/>
    <n v="35.06"/>
    <n v="2"/>
    <x v="1893"/>
    <x v="4"/>
    <x v="1"/>
  </r>
  <r>
    <n v="44683"/>
    <x v="479"/>
    <x v="0"/>
    <x v="0"/>
    <x v="1"/>
    <s v="Avery 501"/>
    <n v="8.86"/>
    <n v="3"/>
    <x v="1894"/>
    <x v="4"/>
    <x v="1"/>
  </r>
  <r>
    <n v="44683"/>
    <x v="479"/>
    <x v="0"/>
    <x v="2"/>
    <x v="6"/>
    <s v="Samsung Rugby III"/>
    <n v="158.38"/>
    <n v="3"/>
    <x v="1895"/>
    <x v="4"/>
    <x v="1"/>
  </r>
  <r>
    <n v="44684"/>
    <x v="640"/>
    <x v="3"/>
    <x v="1"/>
    <x v="8"/>
    <s v="Rubbermaid ClusterMat Chairmats, Mat Size- 66&quot; x 60&quot;, Lip 20&quot; x 11&quot; -90 Degree Angle"/>
    <n v="665.88"/>
    <n v="6"/>
    <x v="1896"/>
    <x v="4"/>
    <x v="1"/>
  </r>
  <r>
    <n v="44684"/>
    <x v="149"/>
    <x v="2"/>
    <x v="0"/>
    <x v="4"/>
    <s v="Sanford Prismacolor Professional Thick Lead Art Pencils, 36-Color Set"/>
    <n v="59.9"/>
    <n v="2"/>
    <x v="1897"/>
    <x v="4"/>
    <x v="1"/>
  </r>
  <r>
    <n v="44684"/>
    <x v="149"/>
    <x v="2"/>
    <x v="0"/>
    <x v="12"/>
    <s v="Holmes Replacement Filter for HEPA Air Cleaner, Large Room"/>
    <n v="23.7"/>
    <n v="2"/>
    <x v="1898"/>
    <x v="4"/>
    <x v="1"/>
  </r>
  <r>
    <n v="44684"/>
    <x v="149"/>
    <x v="2"/>
    <x v="0"/>
    <x v="0"/>
    <s v="Xerox 1897"/>
    <n v="7.97"/>
    <n v="2"/>
    <x v="1131"/>
    <x v="4"/>
    <x v="1"/>
  </r>
  <r>
    <n v="44684"/>
    <x v="149"/>
    <x v="2"/>
    <x v="0"/>
    <x v="12"/>
    <s v="Bravo II Megaboss 12-Amp Hard Body Upright, Replacement Belts, 2 Belts per Pack"/>
    <n v="18.2"/>
    <n v="7"/>
    <x v="1899"/>
    <x v="4"/>
    <x v="1"/>
  </r>
  <r>
    <n v="44684"/>
    <x v="149"/>
    <x v="2"/>
    <x v="2"/>
    <x v="9"/>
    <s v="SanDisk Cruzer 16 GB USB Flash Drive"/>
    <n v="27.55"/>
    <n v="3"/>
    <x v="1900"/>
    <x v="4"/>
    <x v="1"/>
  </r>
  <r>
    <n v="44684"/>
    <x v="149"/>
    <x v="2"/>
    <x v="1"/>
    <x v="5"/>
    <s v="Global Leather Highback Executive Chair with Pneumatic Height Adjustment, Black"/>
    <n v="844.12"/>
    <n v="6"/>
    <x v="1901"/>
    <x v="4"/>
    <x v="1"/>
  </r>
  <r>
    <n v="44684"/>
    <x v="149"/>
    <x v="2"/>
    <x v="0"/>
    <x v="2"/>
    <s v="Fellowes Bankers Box Stor/Drawer Steel Plus"/>
    <n v="76.75"/>
    <n v="3"/>
    <x v="1160"/>
    <x v="4"/>
    <x v="1"/>
  </r>
  <r>
    <n v="44684"/>
    <x v="641"/>
    <x v="3"/>
    <x v="0"/>
    <x v="4"/>
    <s v="Newell 317"/>
    <n v="8.82"/>
    <n v="3"/>
    <x v="1393"/>
    <x v="4"/>
    <x v="1"/>
  </r>
  <r>
    <n v="44684"/>
    <x v="641"/>
    <x v="3"/>
    <x v="0"/>
    <x v="3"/>
    <s v="Ibico Recycled Linen-Style Covers"/>
    <n v="62.5"/>
    <n v="2"/>
    <x v="1902"/>
    <x v="4"/>
    <x v="1"/>
  </r>
  <r>
    <n v="44684"/>
    <x v="641"/>
    <x v="3"/>
    <x v="2"/>
    <x v="9"/>
    <s v="LogitechÂ Gaming G510s - Keyboard"/>
    <n v="339.96"/>
    <n v="4"/>
    <x v="802"/>
    <x v="4"/>
    <x v="1"/>
  </r>
  <r>
    <n v="44684"/>
    <x v="641"/>
    <x v="3"/>
    <x v="0"/>
    <x v="3"/>
    <s v="GBC Linen Binding Covers"/>
    <n v="49.57"/>
    <n v="2"/>
    <x v="816"/>
    <x v="4"/>
    <x v="1"/>
  </r>
  <r>
    <n v="44684"/>
    <x v="155"/>
    <x v="3"/>
    <x v="0"/>
    <x v="3"/>
    <s v="Avery Binding System Hidden Tab Executive Style Index Sets"/>
    <n v="13.85"/>
    <n v="3"/>
    <x v="376"/>
    <x v="4"/>
    <x v="1"/>
  </r>
  <r>
    <n v="44685"/>
    <x v="464"/>
    <x v="20"/>
    <x v="1"/>
    <x v="8"/>
    <s v="Electrix 20W Halogen Replacement Bulb for Zoom-In Desk Lamp"/>
    <n v="26.8"/>
    <n v="2"/>
    <x v="899"/>
    <x v="4"/>
    <x v="1"/>
  </r>
  <r>
    <n v="44685"/>
    <x v="174"/>
    <x v="1"/>
    <x v="1"/>
    <x v="8"/>
    <s v="Staple-based wall hangings"/>
    <n v="22.29"/>
    <n v="7"/>
    <x v="1903"/>
    <x v="4"/>
    <x v="1"/>
  </r>
  <r>
    <n v="44685"/>
    <x v="123"/>
    <x v="0"/>
    <x v="2"/>
    <x v="6"/>
    <s v="ShoreTel ShorePhone IP 230 VoIP phone"/>
    <n v="946.34"/>
    <n v="7"/>
    <x v="1904"/>
    <x v="4"/>
    <x v="1"/>
  </r>
  <r>
    <n v="44685"/>
    <x v="642"/>
    <x v="18"/>
    <x v="0"/>
    <x v="4"/>
    <s v="Model L Table or Wall-Mount Pencil Sharpener"/>
    <n v="125.93"/>
    <n v="7"/>
    <x v="1905"/>
    <x v="4"/>
    <x v="1"/>
  </r>
  <r>
    <n v="44688"/>
    <x v="643"/>
    <x v="0"/>
    <x v="1"/>
    <x v="13"/>
    <s v="Chromcraft Round Conference Tables"/>
    <n v="244.01"/>
    <n v="2"/>
    <x v="1906"/>
    <x v="4"/>
    <x v="1"/>
  </r>
  <r>
    <n v="44688"/>
    <x v="643"/>
    <x v="0"/>
    <x v="0"/>
    <x v="0"/>
    <s v="Xerox 198"/>
    <n v="15.94"/>
    <n v="4"/>
    <x v="1907"/>
    <x v="4"/>
    <x v="1"/>
  </r>
  <r>
    <n v="44688"/>
    <x v="393"/>
    <x v="5"/>
    <x v="0"/>
    <x v="0"/>
    <s v="Xerox 1902"/>
    <n v="45.68"/>
    <n v="2"/>
    <x v="1462"/>
    <x v="4"/>
    <x v="1"/>
  </r>
  <r>
    <n v="44689"/>
    <x v="595"/>
    <x v="10"/>
    <x v="1"/>
    <x v="8"/>
    <s v="Eldon Regeneration Recycled Desk Accessories, Smoke"/>
    <n v="8.35"/>
    <n v="6"/>
    <x v="164"/>
    <x v="4"/>
    <x v="1"/>
  </r>
  <r>
    <n v="44689"/>
    <x v="158"/>
    <x v="11"/>
    <x v="0"/>
    <x v="4"/>
    <s v="Newell 321"/>
    <n v="5.25"/>
    <n v="2"/>
    <x v="1908"/>
    <x v="4"/>
    <x v="1"/>
  </r>
  <r>
    <n v="44689"/>
    <x v="392"/>
    <x v="28"/>
    <x v="0"/>
    <x v="3"/>
    <s v="Wilson Jones Legal Size Ring Binders"/>
    <n v="43.98"/>
    <n v="2"/>
    <x v="1909"/>
    <x v="4"/>
    <x v="1"/>
  </r>
  <r>
    <n v="44689"/>
    <x v="392"/>
    <x v="28"/>
    <x v="2"/>
    <x v="6"/>
    <s v="VTech DS6151"/>
    <n v="377.97"/>
    <n v="3"/>
    <x v="1910"/>
    <x v="4"/>
    <x v="1"/>
  </r>
  <r>
    <n v="44689"/>
    <x v="392"/>
    <x v="28"/>
    <x v="1"/>
    <x v="8"/>
    <s v="Deflect-o EconoMat Studded, No Bevel Mat for Low Pile Carpeting"/>
    <n v="123.96"/>
    <n v="3"/>
    <x v="1911"/>
    <x v="4"/>
    <x v="1"/>
  </r>
  <r>
    <n v="44689"/>
    <x v="314"/>
    <x v="20"/>
    <x v="0"/>
    <x v="0"/>
    <s v="Xerox 1912"/>
    <n v="37.94"/>
    <n v="2"/>
    <x v="1912"/>
    <x v="4"/>
    <x v="1"/>
  </r>
  <r>
    <n v="44689"/>
    <x v="262"/>
    <x v="20"/>
    <x v="1"/>
    <x v="8"/>
    <s v="DAX Black Cherry Wood-Tone Poster Frame"/>
    <n v="79.44"/>
    <n v="3"/>
    <x v="1913"/>
    <x v="4"/>
    <x v="1"/>
  </r>
  <r>
    <n v="44689"/>
    <x v="262"/>
    <x v="20"/>
    <x v="0"/>
    <x v="14"/>
    <s v="Compact Automatic Electric Letter Opener"/>
    <n v="357.93"/>
    <n v="3"/>
    <x v="928"/>
    <x v="4"/>
    <x v="1"/>
  </r>
  <r>
    <n v="44689"/>
    <x v="262"/>
    <x v="20"/>
    <x v="1"/>
    <x v="5"/>
    <s v="Situations Contoured Folding Chairs, 4/Set"/>
    <n v="127.76"/>
    <n v="2"/>
    <x v="1914"/>
    <x v="4"/>
    <x v="1"/>
  </r>
  <r>
    <n v="44689"/>
    <x v="262"/>
    <x v="20"/>
    <x v="2"/>
    <x v="16"/>
    <s v="Sharp AL-1530CS Digital Copier"/>
    <n v="2799.94"/>
    <n v="7"/>
    <x v="1915"/>
    <x v="4"/>
    <x v="1"/>
  </r>
  <r>
    <n v="44689"/>
    <x v="262"/>
    <x v="20"/>
    <x v="0"/>
    <x v="0"/>
    <s v="Xerox 204"/>
    <n v="19.440000000000001"/>
    <n v="3"/>
    <x v="5"/>
    <x v="4"/>
    <x v="1"/>
  </r>
  <r>
    <n v="44690"/>
    <x v="297"/>
    <x v="5"/>
    <x v="0"/>
    <x v="3"/>
    <s v="Acco Flexible ACCOHIDE Square Ring Data Binder, Dark Blue, 11 1/2&quot; X 14&quot; 7/8&quot;"/>
    <n v="48.81"/>
    <n v="3"/>
    <x v="1916"/>
    <x v="4"/>
    <x v="1"/>
  </r>
  <r>
    <n v="44691"/>
    <x v="285"/>
    <x v="1"/>
    <x v="0"/>
    <x v="12"/>
    <s v="Tripp Lite Isotel 8 Ultra 8 Outlet Metal Surge"/>
    <n v="70.97"/>
    <n v="5"/>
    <x v="1917"/>
    <x v="4"/>
    <x v="1"/>
  </r>
  <r>
    <n v="44691"/>
    <x v="285"/>
    <x v="1"/>
    <x v="0"/>
    <x v="4"/>
    <s v="Boston KS Multi-Size Manual Pencil Sharpener"/>
    <n v="36.78"/>
    <n v="2"/>
    <x v="1918"/>
    <x v="4"/>
    <x v="1"/>
  </r>
  <r>
    <n v="44691"/>
    <x v="513"/>
    <x v="26"/>
    <x v="2"/>
    <x v="9"/>
    <s v="Belkin Standard 104 key USB Keyboard"/>
    <n v="46.69"/>
    <n v="4"/>
    <x v="881"/>
    <x v="4"/>
    <x v="1"/>
  </r>
  <r>
    <n v="44692"/>
    <x v="152"/>
    <x v="12"/>
    <x v="1"/>
    <x v="5"/>
    <s v="Global Chrome Stack Chair"/>
    <n v="191.97"/>
    <n v="7"/>
    <x v="1919"/>
    <x v="4"/>
    <x v="1"/>
  </r>
  <r>
    <n v="44693"/>
    <x v="106"/>
    <x v="3"/>
    <x v="0"/>
    <x v="0"/>
    <s v="Xerox 1962"/>
    <n v="12.84"/>
    <n v="3"/>
    <x v="436"/>
    <x v="4"/>
    <x v="1"/>
  </r>
  <r>
    <n v="44693"/>
    <x v="106"/>
    <x v="3"/>
    <x v="0"/>
    <x v="0"/>
    <s v="Xerox 1953"/>
    <n v="25.68"/>
    <n v="6"/>
    <x v="1920"/>
    <x v="4"/>
    <x v="1"/>
  </r>
  <r>
    <n v="44693"/>
    <x v="374"/>
    <x v="26"/>
    <x v="2"/>
    <x v="6"/>
    <s v="VTech DS6151"/>
    <n v="201.58"/>
    <n v="2"/>
    <x v="468"/>
    <x v="4"/>
    <x v="1"/>
  </r>
  <r>
    <n v="44693"/>
    <x v="86"/>
    <x v="20"/>
    <x v="0"/>
    <x v="2"/>
    <s v="Portable Personal File Box"/>
    <n v="36.630000000000003"/>
    <n v="3"/>
    <x v="385"/>
    <x v="4"/>
    <x v="1"/>
  </r>
  <r>
    <n v="44693"/>
    <x v="644"/>
    <x v="22"/>
    <x v="0"/>
    <x v="3"/>
    <s v="Prestige Round Ring Binders"/>
    <n v="14.59"/>
    <n v="3"/>
    <x v="1921"/>
    <x v="4"/>
    <x v="1"/>
  </r>
  <r>
    <n v="44693"/>
    <x v="229"/>
    <x v="0"/>
    <x v="1"/>
    <x v="8"/>
    <s v="DAX Wood Document Frame."/>
    <n v="21.97"/>
    <n v="4"/>
    <x v="1922"/>
    <x v="4"/>
    <x v="1"/>
  </r>
  <r>
    <n v="44693"/>
    <x v="229"/>
    <x v="0"/>
    <x v="2"/>
    <x v="6"/>
    <s v="Digium D40 VoIP phone"/>
    <n v="619.15"/>
    <n v="6"/>
    <x v="1923"/>
    <x v="4"/>
    <x v="1"/>
  </r>
  <r>
    <n v="44693"/>
    <x v="229"/>
    <x v="0"/>
    <x v="0"/>
    <x v="0"/>
    <s v="Xerox 1964"/>
    <n v="127.9"/>
    <n v="7"/>
    <x v="1924"/>
    <x v="4"/>
    <x v="1"/>
  </r>
  <r>
    <n v="44694"/>
    <x v="151"/>
    <x v="1"/>
    <x v="2"/>
    <x v="6"/>
    <s v="Toshiba IPT2010-SD IPÂ Telephone"/>
    <n v="222.38"/>
    <n v="2"/>
    <x v="1760"/>
    <x v="4"/>
    <x v="1"/>
  </r>
  <r>
    <n v="44694"/>
    <x v="151"/>
    <x v="1"/>
    <x v="0"/>
    <x v="7"/>
    <s v="Advantus Plastic Paper Clips"/>
    <n v="16"/>
    <n v="4"/>
    <x v="1925"/>
    <x v="4"/>
    <x v="1"/>
  </r>
  <r>
    <n v="44695"/>
    <x v="618"/>
    <x v="2"/>
    <x v="0"/>
    <x v="4"/>
    <s v="Boston School Pro Electric Pencil Sharpener, 1670"/>
    <n v="198.27"/>
    <n v="8"/>
    <x v="816"/>
    <x v="4"/>
    <x v="1"/>
  </r>
  <r>
    <n v="44695"/>
    <x v="618"/>
    <x v="2"/>
    <x v="0"/>
    <x v="1"/>
    <s v="Avery 490"/>
    <n v="47.36"/>
    <n v="4"/>
    <x v="1926"/>
    <x v="4"/>
    <x v="1"/>
  </r>
  <r>
    <n v="44695"/>
    <x v="618"/>
    <x v="2"/>
    <x v="0"/>
    <x v="10"/>
    <s v="Jet-Pak Recycled Peel 'N' Seal Padded Mailers"/>
    <n v="200.98"/>
    <n v="7"/>
    <x v="1927"/>
    <x v="4"/>
    <x v="1"/>
  </r>
  <r>
    <n v="44695"/>
    <x v="618"/>
    <x v="2"/>
    <x v="0"/>
    <x v="1"/>
    <s v="Avery 4027 File Folder Labels for Dot Matrix Printers, 5000 Labels per Box, White"/>
    <n v="97.7"/>
    <n v="4"/>
    <x v="1928"/>
    <x v="4"/>
    <x v="1"/>
  </r>
  <r>
    <n v="44695"/>
    <x v="618"/>
    <x v="2"/>
    <x v="0"/>
    <x v="4"/>
    <s v="Binney &amp; Smith Crayola Metallic Crayons, 16-Color Pack"/>
    <n v="2.7"/>
    <n v="1"/>
    <x v="1261"/>
    <x v="4"/>
    <x v="1"/>
  </r>
  <r>
    <n v="44695"/>
    <x v="618"/>
    <x v="2"/>
    <x v="0"/>
    <x v="3"/>
    <s v="GBC Linen Binding Covers"/>
    <n v="18.59"/>
    <n v="2"/>
    <x v="36"/>
    <x v="4"/>
    <x v="1"/>
  </r>
  <r>
    <n v="44695"/>
    <x v="618"/>
    <x v="2"/>
    <x v="0"/>
    <x v="3"/>
    <s v="Wilson Jones Custom Binder Spines &amp; Labels"/>
    <n v="4.9000000000000004"/>
    <n v="3"/>
    <x v="1929"/>
    <x v="4"/>
    <x v="1"/>
  </r>
  <r>
    <n v="44695"/>
    <x v="459"/>
    <x v="3"/>
    <x v="0"/>
    <x v="2"/>
    <s v="Tennsco Snap-Together Open Shelving Units, Starter Sets and Add-On Units"/>
    <n v="1117.92"/>
    <n v="4"/>
    <x v="1382"/>
    <x v="4"/>
    <x v="1"/>
  </r>
  <r>
    <n v="44695"/>
    <x v="595"/>
    <x v="3"/>
    <x v="1"/>
    <x v="11"/>
    <s v="Bush Andora Bookcase, Maple/Graphite Gray Finish"/>
    <n v="509.96"/>
    <n v="5"/>
    <x v="1930"/>
    <x v="4"/>
    <x v="1"/>
  </r>
  <r>
    <n v="44695"/>
    <x v="595"/>
    <x v="3"/>
    <x v="1"/>
    <x v="8"/>
    <s v="Dana Halogen Swing-Arm Architect Lamp"/>
    <n v="122.91"/>
    <n v="3"/>
    <x v="1931"/>
    <x v="4"/>
    <x v="1"/>
  </r>
  <r>
    <n v="44695"/>
    <x v="595"/>
    <x v="3"/>
    <x v="1"/>
    <x v="5"/>
    <s v="Novimex Fabric Task Chair"/>
    <n v="97.57"/>
    <n v="2"/>
    <x v="1932"/>
    <x v="4"/>
    <x v="1"/>
  </r>
  <r>
    <n v="44695"/>
    <x v="595"/>
    <x v="3"/>
    <x v="1"/>
    <x v="5"/>
    <s v="Global Leather and Oak Executive Chair, Black"/>
    <n v="722.35"/>
    <n v="3"/>
    <x v="1933"/>
    <x v="4"/>
    <x v="1"/>
  </r>
  <r>
    <n v="44696"/>
    <x v="123"/>
    <x v="4"/>
    <x v="0"/>
    <x v="10"/>
    <s v="Wausau Papers Astrobrights Colored Envelopes"/>
    <n v="17.940000000000001"/>
    <n v="3"/>
    <x v="450"/>
    <x v="4"/>
    <x v="1"/>
  </r>
  <r>
    <n v="44696"/>
    <x v="452"/>
    <x v="2"/>
    <x v="0"/>
    <x v="2"/>
    <s v="Fellowes Neat Ideas Storage Cubes"/>
    <n v="51.97"/>
    <n v="2"/>
    <x v="1934"/>
    <x v="4"/>
    <x v="1"/>
  </r>
  <r>
    <n v="44697"/>
    <x v="128"/>
    <x v="16"/>
    <x v="2"/>
    <x v="9"/>
    <s v="Razer Kraken PRO Over Ear PC and Music Headset"/>
    <n v="255.97"/>
    <n v="4"/>
    <x v="1935"/>
    <x v="4"/>
    <x v="1"/>
  </r>
  <r>
    <n v="44698"/>
    <x v="402"/>
    <x v="0"/>
    <x v="0"/>
    <x v="3"/>
    <s v="GBC Twin Loop Wire Binding Elements"/>
    <n v="33.28"/>
    <n v="5"/>
    <x v="1936"/>
    <x v="4"/>
    <x v="1"/>
  </r>
  <r>
    <n v="44698"/>
    <x v="402"/>
    <x v="0"/>
    <x v="0"/>
    <x v="0"/>
    <s v="Things To Do Today Pad"/>
    <n v="14.09"/>
    <n v="3"/>
    <x v="1937"/>
    <x v="4"/>
    <x v="1"/>
  </r>
  <r>
    <n v="44698"/>
    <x v="265"/>
    <x v="20"/>
    <x v="0"/>
    <x v="1"/>
    <s v="Self-Adhesive Removable Labels"/>
    <n v="31.5"/>
    <n v="10"/>
    <x v="1938"/>
    <x v="4"/>
    <x v="1"/>
  </r>
  <r>
    <n v="44698"/>
    <x v="265"/>
    <x v="20"/>
    <x v="0"/>
    <x v="14"/>
    <s v="Acme Hot Forged Carbon Steel Scissors with Nickel-Plated Handles, 3 7/8&quot; Cut, 8&quot;L"/>
    <n v="55.6"/>
    <n v="4"/>
    <x v="1939"/>
    <x v="4"/>
    <x v="1"/>
  </r>
  <r>
    <n v="44699"/>
    <x v="8"/>
    <x v="3"/>
    <x v="0"/>
    <x v="0"/>
    <s v="Wirebound Message Book, 4 per Page"/>
    <n v="10.86"/>
    <n v="2"/>
    <x v="1299"/>
    <x v="4"/>
    <x v="1"/>
  </r>
  <r>
    <n v="44701"/>
    <x v="320"/>
    <x v="25"/>
    <x v="1"/>
    <x v="8"/>
    <s v="Dana Fluorescent Magnifying Lamp, White, 36&quot;"/>
    <n v="163.13999999999999"/>
    <n v="4"/>
    <x v="1940"/>
    <x v="4"/>
    <x v="1"/>
  </r>
  <r>
    <n v="44701"/>
    <x v="320"/>
    <x v="25"/>
    <x v="0"/>
    <x v="3"/>
    <s v="Pressboard Data Binders by Wilson Jones"/>
    <n v="6.41"/>
    <n v="4"/>
    <x v="1941"/>
    <x v="4"/>
    <x v="1"/>
  </r>
  <r>
    <n v="44702"/>
    <x v="264"/>
    <x v="1"/>
    <x v="0"/>
    <x v="12"/>
    <s v="Fellowes Basic Home/Office Series Surge Protectors"/>
    <n v="20.77"/>
    <n v="8"/>
    <x v="1942"/>
    <x v="4"/>
    <x v="1"/>
  </r>
  <r>
    <n v="44702"/>
    <x v="311"/>
    <x v="22"/>
    <x v="0"/>
    <x v="3"/>
    <s v="Ibico Plastic and Wire Spiral Binding Combs"/>
    <n v="26.98"/>
    <n v="4"/>
    <x v="1943"/>
    <x v="4"/>
    <x v="1"/>
  </r>
  <r>
    <n v="44702"/>
    <x v="418"/>
    <x v="2"/>
    <x v="0"/>
    <x v="3"/>
    <s v="Wilson Jones Ledger-Size, Piano-Hinge Binder, 2&quot;, Blue"/>
    <n v="24.59"/>
    <n v="2"/>
    <x v="1944"/>
    <x v="4"/>
    <x v="1"/>
  </r>
  <r>
    <n v="44703"/>
    <x v="417"/>
    <x v="3"/>
    <x v="0"/>
    <x v="1"/>
    <s v="Avery 476"/>
    <n v="8.26"/>
    <n v="2"/>
    <x v="338"/>
    <x v="4"/>
    <x v="1"/>
  </r>
  <r>
    <n v="44703"/>
    <x v="417"/>
    <x v="3"/>
    <x v="2"/>
    <x v="15"/>
    <s v="Zebra GX420t Direct Thermal/Thermal Transfer Printer"/>
    <n v="2973.32"/>
    <n v="7"/>
    <x v="1945"/>
    <x v="4"/>
    <x v="1"/>
  </r>
  <r>
    <n v="44703"/>
    <x v="417"/>
    <x v="3"/>
    <x v="0"/>
    <x v="2"/>
    <s v="Pizazz Global Quick File"/>
    <n v="104.79"/>
    <n v="7"/>
    <x v="1946"/>
    <x v="4"/>
    <x v="1"/>
  </r>
  <r>
    <n v="44703"/>
    <x v="417"/>
    <x v="3"/>
    <x v="2"/>
    <x v="6"/>
    <s v="Aastra 57i VoIP phone"/>
    <n v="775.73"/>
    <n v="6"/>
    <x v="1947"/>
    <x v="4"/>
    <x v="1"/>
  </r>
  <r>
    <n v="44704"/>
    <x v="400"/>
    <x v="9"/>
    <x v="0"/>
    <x v="10"/>
    <s v="Cameo Buff Policy Envelopes"/>
    <n v="186.69"/>
    <n v="3"/>
    <x v="1948"/>
    <x v="4"/>
    <x v="1"/>
  </r>
  <r>
    <n v="44704"/>
    <x v="185"/>
    <x v="12"/>
    <x v="0"/>
    <x v="3"/>
    <s v="Cardinal EasyOpen D-Ring Binders"/>
    <n v="19.190000000000001"/>
    <n v="7"/>
    <x v="1949"/>
    <x v="4"/>
    <x v="1"/>
  </r>
  <r>
    <n v="44704"/>
    <x v="185"/>
    <x v="12"/>
    <x v="0"/>
    <x v="12"/>
    <s v="Fellowes Superior 10 Outlet Split Surge Protector"/>
    <n v="121.79"/>
    <n v="4"/>
    <x v="1151"/>
    <x v="4"/>
    <x v="1"/>
  </r>
  <r>
    <n v="44704"/>
    <x v="94"/>
    <x v="43"/>
    <x v="0"/>
    <x v="2"/>
    <s v="Advantus Rolling Storage Box"/>
    <n v="51.45"/>
    <n v="3"/>
    <x v="1562"/>
    <x v="4"/>
    <x v="1"/>
  </r>
  <r>
    <n v="44704"/>
    <x v="39"/>
    <x v="14"/>
    <x v="0"/>
    <x v="12"/>
    <s v="Harmony Air Purifier"/>
    <n v="850.5"/>
    <n v="5"/>
    <x v="1950"/>
    <x v="4"/>
    <x v="1"/>
  </r>
  <r>
    <n v="44704"/>
    <x v="39"/>
    <x v="14"/>
    <x v="1"/>
    <x v="8"/>
    <s v="Westinghouse Clip-On Gooseneck Lamps"/>
    <n v="75.33"/>
    <n v="9"/>
    <x v="1951"/>
    <x v="4"/>
    <x v="1"/>
  </r>
  <r>
    <n v="44705"/>
    <x v="6"/>
    <x v="1"/>
    <x v="1"/>
    <x v="5"/>
    <s v="Global High-Back Leather Tilter, Burgundy"/>
    <n v="602.65"/>
    <n v="7"/>
    <x v="1952"/>
    <x v="4"/>
    <x v="1"/>
  </r>
  <r>
    <n v="44705"/>
    <x v="6"/>
    <x v="1"/>
    <x v="0"/>
    <x v="3"/>
    <s v="Avery Heavy-Duty EZD View Binder with Locking Rings"/>
    <n v="7.66"/>
    <n v="6"/>
    <x v="1953"/>
    <x v="4"/>
    <x v="1"/>
  </r>
  <r>
    <n v="44706"/>
    <x v="645"/>
    <x v="26"/>
    <x v="0"/>
    <x v="12"/>
    <s v="Kensington 4 Outlet MasterPiece Compact Power Control Center"/>
    <n v="845.73"/>
    <n v="13"/>
    <x v="1954"/>
    <x v="4"/>
    <x v="1"/>
  </r>
  <r>
    <n v="44706"/>
    <x v="70"/>
    <x v="3"/>
    <x v="1"/>
    <x v="8"/>
    <s v="Ultra Door Push Plate"/>
    <n v="14.73"/>
    <n v="3"/>
    <x v="57"/>
    <x v="4"/>
    <x v="1"/>
  </r>
  <r>
    <n v="44706"/>
    <x v="39"/>
    <x v="42"/>
    <x v="0"/>
    <x v="4"/>
    <s v="SANFORD Major Accent Highlighters"/>
    <n v="21.24"/>
    <n v="3"/>
    <x v="858"/>
    <x v="4"/>
    <x v="1"/>
  </r>
  <r>
    <n v="44706"/>
    <x v="39"/>
    <x v="42"/>
    <x v="0"/>
    <x v="3"/>
    <s v="GBC DocuBind P50 Personal Binding Machine"/>
    <n v="127.96"/>
    <n v="2"/>
    <x v="442"/>
    <x v="4"/>
    <x v="1"/>
  </r>
  <r>
    <n v="44706"/>
    <x v="563"/>
    <x v="15"/>
    <x v="2"/>
    <x v="6"/>
    <s v="Wi-Ex zBoost YX540 Cellular Phone Signal Booster"/>
    <n v="467.04"/>
    <n v="4"/>
    <x v="1955"/>
    <x v="4"/>
    <x v="1"/>
  </r>
  <r>
    <n v="44706"/>
    <x v="22"/>
    <x v="0"/>
    <x v="0"/>
    <x v="14"/>
    <s v="Fiskars Spring-Action Scissors"/>
    <n v="22.37"/>
    <n v="2"/>
    <x v="967"/>
    <x v="4"/>
    <x v="1"/>
  </r>
  <r>
    <n v="44706"/>
    <x v="22"/>
    <x v="0"/>
    <x v="0"/>
    <x v="0"/>
    <s v="Xerox 1978"/>
    <n v="32.369999999999997"/>
    <n v="7"/>
    <x v="1956"/>
    <x v="4"/>
    <x v="1"/>
  </r>
  <r>
    <n v="44706"/>
    <x v="22"/>
    <x v="0"/>
    <x v="2"/>
    <x v="9"/>
    <s v="Logitech G35 7.1-Channel Surround Sound Headset"/>
    <n v="207.98"/>
    <n v="2"/>
    <x v="543"/>
    <x v="4"/>
    <x v="1"/>
  </r>
  <r>
    <n v="44707"/>
    <x v="151"/>
    <x v="25"/>
    <x v="0"/>
    <x v="0"/>
    <s v="Xerox 1991"/>
    <n v="18.27"/>
    <n v="1"/>
    <x v="371"/>
    <x v="4"/>
    <x v="1"/>
  </r>
  <r>
    <n v="44707"/>
    <x v="151"/>
    <x v="25"/>
    <x v="0"/>
    <x v="0"/>
    <s v="Xerox 1937"/>
    <n v="153.72999999999999"/>
    <n v="4"/>
    <x v="1957"/>
    <x v="4"/>
    <x v="1"/>
  </r>
  <r>
    <n v="44707"/>
    <x v="151"/>
    <x v="25"/>
    <x v="0"/>
    <x v="10"/>
    <s v="Security-Tint Envelopes"/>
    <n v="12.22"/>
    <n v="2"/>
    <x v="97"/>
    <x v="4"/>
    <x v="1"/>
  </r>
  <r>
    <n v="44707"/>
    <x v="151"/>
    <x v="25"/>
    <x v="2"/>
    <x v="9"/>
    <s v="Logitech 910-002974 M325 Wireless Mouse for Web Scrolling"/>
    <n v="167.94"/>
    <n v="7"/>
    <x v="1958"/>
    <x v="4"/>
    <x v="1"/>
  </r>
  <r>
    <n v="44707"/>
    <x v="131"/>
    <x v="22"/>
    <x v="1"/>
    <x v="8"/>
    <s v="DAX Metal Frame, Desktop, Stepped-Edge"/>
    <n v="20.239999999999998"/>
    <n v="1"/>
    <x v="1959"/>
    <x v="4"/>
    <x v="1"/>
  </r>
  <r>
    <n v="44707"/>
    <x v="255"/>
    <x v="0"/>
    <x v="1"/>
    <x v="5"/>
    <s v="Novimex Swivel Fabric Task Chair"/>
    <n v="105.69"/>
    <n v="1"/>
    <x v="1960"/>
    <x v="4"/>
    <x v="1"/>
  </r>
  <r>
    <n v="44707"/>
    <x v="255"/>
    <x v="0"/>
    <x v="2"/>
    <x v="15"/>
    <s v="StarTech.com 10/100 VDSL2 Ethernet Extender Kit"/>
    <n v="399.54"/>
    <n v="2"/>
    <x v="1961"/>
    <x v="4"/>
    <x v="1"/>
  </r>
  <r>
    <n v="44707"/>
    <x v="255"/>
    <x v="0"/>
    <x v="1"/>
    <x v="5"/>
    <s v="Global Stack Chair with Arms, Black"/>
    <n v="104.93"/>
    <n v="5"/>
    <x v="1962"/>
    <x v="4"/>
    <x v="1"/>
  </r>
  <r>
    <n v="44709"/>
    <x v="646"/>
    <x v="22"/>
    <x v="0"/>
    <x v="4"/>
    <s v="Newell 311"/>
    <n v="6.63"/>
    <n v="3"/>
    <x v="46"/>
    <x v="4"/>
    <x v="1"/>
  </r>
  <r>
    <n v="44709"/>
    <x v="366"/>
    <x v="20"/>
    <x v="0"/>
    <x v="4"/>
    <s v="Boston 16701 Slimline Battery Pencil Sharpener"/>
    <n v="47.82"/>
    <n v="3"/>
    <x v="1963"/>
    <x v="4"/>
    <x v="1"/>
  </r>
  <r>
    <n v="44709"/>
    <x v="366"/>
    <x v="20"/>
    <x v="0"/>
    <x v="1"/>
    <s v="Avery 494"/>
    <n v="13.05"/>
    <n v="5"/>
    <x v="1964"/>
    <x v="4"/>
    <x v="1"/>
  </r>
  <r>
    <n v="44709"/>
    <x v="282"/>
    <x v="20"/>
    <x v="2"/>
    <x v="6"/>
    <s v="Panasonic Kx-TS550"/>
    <n v="45.99"/>
    <n v="1"/>
    <x v="1965"/>
    <x v="4"/>
    <x v="1"/>
  </r>
  <r>
    <n v="44709"/>
    <x v="282"/>
    <x v="20"/>
    <x v="0"/>
    <x v="2"/>
    <s v="Hot File 7-Pocket, Floor Stand"/>
    <n v="535.41"/>
    <n v="3"/>
    <x v="680"/>
    <x v="4"/>
    <x v="1"/>
  </r>
  <r>
    <n v="44709"/>
    <x v="282"/>
    <x v="20"/>
    <x v="0"/>
    <x v="3"/>
    <s v="Acco Pressboard Covers with Storage Hooks, 9 1/2&quot; x 11&quot;, Executive Red"/>
    <n v="6.1"/>
    <n v="2"/>
    <x v="1966"/>
    <x v="4"/>
    <x v="1"/>
  </r>
  <r>
    <n v="44709"/>
    <x v="282"/>
    <x v="20"/>
    <x v="0"/>
    <x v="0"/>
    <s v="Xerox 219"/>
    <n v="45.36"/>
    <n v="7"/>
    <x v="407"/>
    <x v="4"/>
    <x v="1"/>
  </r>
  <r>
    <n v="44709"/>
    <x v="335"/>
    <x v="37"/>
    <x v="0"/>
    <x v="2"/>
    <s v="Acco Perma 4000 Stacking Storage Drawers"/>
    <n v="16.239999999999998"/>
    <n v="1"/>
    <x v="1967"/>
    <x v="4"/>
    <x v="1"/>
  </r>
  <r>
    <n v="44709"/>
    <x v="335"/>
    <x v="37"/>
    <x v="0"/>
    <x v="2"/>
    <s v="Personal Filing Tote with Lid, Black/Gray"/>
    <n v="77.55"/>
    <n v="5"/>
    <x v="1968"/>
    <x v="4"/>
    <x v="1"/>
  </r>
  <r>
    <n v="44710"/>
    <x v="315"/>
    <x v="22"/>
    <x v="0"/>
    <x v="0"/>
    <s v="Xerox 1894"/>
    <n v="32.4"/>
    <n v="5"/>
    <x v="327"/>
    <x v="4"/>
    <x v="1"/>
  </r>
  <r>
    <n v="44710"/>
    <x v="315"/>
    <x v="22"/>
    <x v="0"/>
    <x v="2"/>
    <s v="Standard Rollaway File with Lock"/>
    <n v="540.57000000000005"/>
    <n v="3"/>
    <x v="1969"/>
    <x v="4"/>
    <x v="1"/>
  </r>
  <r>
    <n v="44710"/>
    <x v="315"/>
    <x v="22"/>
    <x v="0"/>
    <x v="3"/>
    <s v="Avery Trapezoid Extra Heavy Duty 4&quot; Binders"/>
    <n v="167.76"/>
    <n v="5"/>
    <x v="1970"/>
    <x v="4"/>
    <x v="1"/>
  </r>
  <r>
    <n v="44710"/>
    <x v="379"/>
    <x v="10"/>
    <x v="1"/>
    <x v="8"/>
    <s v="Tensor &quot;Hersey Kiss&quot; Styled Floor Lamp"/>
    <n v="41.57"/>
    <n v="4"/>
    <x v="1971"/>
    <x v="4"/>
    <x v="1"/>
  </r>
  <r>
    <n v="44710"/>
    <x v="379"/>
    <x v="10"/>
    <x v="1"/>
    <x v="5"/>
    <s v="Novimex Swivel Fabric Task Chair"/>
    <n v="317.06"/>
    <n v="3"/>
    <x v="1972"/>
    <x v="4"/>
    <x v="1"/>
  </r>
  <r>
    <n v="44710"/>
    <x v="379"/>
    <x v="10"/>
    <x v="0"/>
    <x v="7"/>
    <s v="Ideal Clamps"/>
    <n v="8.0399999999999991"/>
    <n v="5"/>
    <x v="1973"/>
    <x v="4"/>
    <x v="1"/>
  </r>
  <r>
    <n v="44710"/>
    <x v="366"/>
    <x v="18"/>
    <x v="0"/>
    <x v="1"/>
    <s v="Avery 476"/>
    <n v="12.39"/>
    <n v="3"/>
    <x v="1974"/>
    <x v="4"/>
    <x v="1"/>
  </r>
  <r>
    <n v="44710"/>
    <x v="570"/>
    <x v="10"/>
    <x v="0"/>
    <x v="0"/>
    <s v="Easy-staple paper"/>
    <n v="85.06"/>
    <n v="3"/>
    <x v="1975"/>
    <x v="4"/>
    <x v="1"/>
  </r>
  <r>
    <n v="44711"/>
    <x v="647"/>
    <x v="20"/>
    <x v="2"/>
    <x v="6"/>
    <s v="RCA H5401RE1 DECT 6.0 4-Line Cordless Handset With Caller ID/Call Waiting"/>
    <n v="239.97"/>
    <n v="3"/>
    <x v="426"/>
    <x v="4"/>
    <x v="1"/>
  </r>
  <r>
    <n v="44711"/>
    <x v="647"/>
    <x v="20"/>
    <x v="0"/>
    <x v="12"/>
    <s v="Eureka The Boss Lite 10-Amp Upright Vacuum, Blue"/>
    <n v="160.32"/>
    <n v="2"/>
    <x v="1976"/>
    <x v="4"/>
    <x v="1"/>
  </r>
  <r>
    <n v="44711"/>
    <x v="647"/>
    <x v="20"/>
    <x v="2"/>
    <x v="6"/>
    <s v="Plantronics MX500i Earset"/>
    <n v="128.85"/>
    <n v="3"/>
    <x v="1977"/>
    <x v="4"/>
    <x v="1"/>
  </r>
  <r>
    <n v="44711"/>
    <x v="648"/>
    <x v="6"/>
    <x v="2"/>
    <x v="9"/>
    <s v="ImationÂ SecureÂ DriveÂ + Hardware Encrypted USBÂ flash driveÂ - 16 GB"/>
    <n v="151.96"/>
    <n v="4"/>
    <x v="1978"/>
    <x v="4"/>
    <x v="1"/>
  </r>
  <r>
    <n v="44712"/>
    <x v="153"/>
    <x v="3"/>
    <x v="0"/>
    <x v="0"/>
    <s v="Southworth 25% Cotton Antique Laid Paper &amp; Envelopes"/>
    <n v="58.38"/>
    <n v="7"/>
    <x v="1979"/>
    <x v="4"/>
    <x v="1"/>
  </r>
  <r>
    <n v="44712"/>
    <x v="153"/>
    <x v="3"/>
    <x v="0"/>
    <x v="0"/>
    <s v="Xerox 1883"/>
    <n v="105.52"/>
    <n v="4"/>
    <x v="1453"/>
    <x v="4"/>
    <x v="1"/>
  </r>
  <r>
    <n v="44712"/>
    <x v="153"/>
    <x v="3"/>
    <x v="0"/>
    <x v="2"/>
    <s v="Tenex Personal Project File with Scoop Front Design, Black"/>
    <n v="80.88"/>
    <n v="6"/>
    <x v="1980"/>
    <x v="4"/>
    <x v="1"/>
  </r>
  <r>
    <n v="44712"/>
    <x v="90"/>
    <x v="37"/>
    <x v="1"/>
    <x v="8"/>
    <s v="3M Hangers With Command Adhesive"/>
    <n v="22.2"/>
    <n v="6"/>
    <x v="499"/>
    <x v="4"/>
    <x v="1"/>
  </r>
  <r>
    <n v="44712"/>
    <x v="51"/>
    <x v="27"/>
    <x v="1"/>
    <x v="11"/>
    <s v="O'Sullivan Living Dimensions 3-Shelf Bookcases"/>
    <n v="1406.86"/>
    <n v="7"/>
    <x v="1981"/>
    <x v="4"/>
    <x v="1"/>
  </r>
  <r>
    <n v="44712"/>
    <x v="51"/>
    <x v="27"/>
    <x v="0"/>
    <x v="1"/>
    <s v="Self-Adhesive Removable Labels"/>
    <n v="15.75"/>
    <n v="5"/>
    <x v="1982"/>
    <x v="4"/>
    <x v="1"/>
  </r>
  <r>
    <n v="44712"/>
    <x v="51"/>
    <x v="27"/>
    <x v="0"/>
    <x v="2"/>
    <s v="Fellowes Super Stor/Drawer Files"/>
    <n v="323.10000000000002"/>
    <n v="2"/>
    <x v="1983"/>
    <x v="4"/>
    <x v="1"/>
  </r>
  <r>
    <n v="44712"/>
    <x v="649"/>
    <x v="28"/>
    <x v="1"/>
    <x v="5"/>
    <s v="Hon Pagoda Stacking Chairs"/>
    <n v="2567.84"/>
    <n v="8"/>
    <x v="1984"/>
    <x v="4"/>
    <x v="1"/>
  </r>
  <r>
    <n v="44712"/>
    <x v="650"/>
    <x v="25"/>
    <x v="0"/>
    <x v="4"/>
    <s v="Newell 347"/>
    <n v="10.27"/>
    <n v="3"/>
    <x v="1513"/>
    <x v="4"/>
    <x v="1"/>
  </r>
  <r>
    <n v="44712"/>
    <x v="249"/>
    <x v="20"/>
    <x v="0"/>
    <x v="7"/>
    <s v="Bagged Rubber Bands"/>
    <n v="7.56"/>
    <n v="6"/>
    <x v="1481"/>
    <x v="4"/>
    <x v="1"/>
  </r>
  <r>
    <n v="44712"/>
    <x v="362"/>
    <x v="1"/>
    <x v="0"/>
    <x v="1"/>
    <s v="Avery 501"/>
    <n v="5.9"/>
    <n v="2"/>
    <x v="1380"/>
    <x v="4"/>
    <x v="1"/>
  </r>
  <r>
    <n v="44712"/>
    <x v="362"/>
    <x v="1"/>
    <x v="0"/>
    <x v="0"/>
    <s v="Xerox 1988"/>
    <n v="173.49"/>
    <n v="7"/>
    <x v="1985"/>
    <x v="4"/>
    <x v="1"/>
  </r>
  <r>
    <n v="44712"/>
    <x v="362"/>
    <x v="1"/>
    <x v="1"/>
    <x v="8"/>
    <s v="Tenex Traditional Chairmats for Hard Floors, Average Lip, 36&quot; x 48&quot;"/>
    <n v="51.56"/>
    <n v="2"/>
    <x v="1986"/>
    <x v="4"/>
    <x v="1"/>
  </r>
  <r>
    <n v="44712"/>
    <x v="362"/>
    <x v="1"/>
    <x v="0"/>
    <x v="3"/>
    <s v="Storex Dura Pro Binders"/>
    <n v="3.56"/>
    <n v="3"/>
    <x v="1987"/>
    <x v="4"/>
    <x v="1"/>
  </r>
  <r>
    <n v="44712"/>
    <x v="551"/>
    <x v="23"/>
    <x v="0"/>
    <x v="0"/>
    <s v="Xerox 1889"/>
    <n v="274.8"/>
    <n v="5"/>
    <x v="1988"/>
    <x v="4"/>
    <x v="1"/>
  </r>
  <r>
    <n v="44712"/>
    <x v="551"/>
    <x v="23"/>
    <x v="0"/>
    <x v="2"/>
    <s v="Fellowes Mobile File Cart, Black"/>
    <n v="62.18"/>
    <n v="1"/>
    <x v="1051"/>
    <x v="4"/>
    <x v="1"/>
  </r>
  <r>
    <n v="44712"/>
    <x v="551"/>
    <x v="23"/>
    <x v="1"/>
    <x v="8"/>
    <s v="Eldon Image Series Black Desk Accessories"/>
    <n v="8.2799999999999994"/>
    <n v="2"/>
    <x v="1989"/>
    <x v="4"/>
    <x v="1"/>
  </r>
  <r>
    <n v="44713"/>
    <x v="124"/>
    <x v="0"/>
    <x v="0"/>
    <x v="3"/>
    <s v="Avery Poly Binder Pockets"/>
    <n v="5.73"/>
    <n v="8"/>
    <x v="1990"/>
    <x v="5"/>
    <x v="1"/>
  </r>
  <r>
    <n v="44713"/>
    <x v="124"/>
    <x v="0"/>
    <x v="0"/>
    <x v="0"/>
    <s v="Xerox 1928"/>
    <n v="42.24"/>
    <n v="10"/>
    <x v="966"/>
    <x v="5"/>
    <x v="1"/>
  </r>
  <r>
    <n v="44713"/>
    <x v="63"/>
    <x v="14"/>
    <x v="2"/>
    <x v="6"/>
    <s v="Polycom CX300 Desktop Phone USB VoIP phone"/>
    <n v="299.98"/>
    <n v="2"/>
    <x v="756"/>
    <x v="5"/>
    <x v="1"/>
  </r>
  <r>
    <n v="44713"/>
    <x v="63"/>
    <x v="14"/>
    <x v="0"/>
    <x v="3"/>
    <s v="Catalog Binders with Expanding Posts"/>
    <n v="403.68"/>
    <n v="6"/>
    <x v="1991"/>
    <x v="5"/>
    <x v="1"/>
  </r>
  <r>
    <n v="44713"/>
    <x v="63"/>
    <x v="14"/>
    <x v="2"/>
    <x v="6"/>
    <s v="iKross Bluetooth Portable Keyboard + Cell Phone Stand Holder + Brush for Apple iPhone 5S 5C 5, 4S 4"/>
    <n v="41.9"/>
    <n v="2"/>
    <x v="1956"/>
    <x v="5"/>
    <x v="1"/>
  </r>
  <r>
    <n v="44713"/>
    <x v="63"/>
    <x v="14"/>
    <x v="0"/>
    <x v="1"/>
    <s v="Avery 491"/>
    <n v="28.91"/>
    <n v="7"/>
    <x v="1574"/>
    <x v="5"/>
    <x v="1"/>
  </r>
  <r>
    <n v="44713"/>
    <x v="651"/>
    <x v="3"/>
    <x v="0"/>
    <x v="0"/>
    <s v="Adams Telephone Message Book W/Dividers/Space For Phone Numbers, 5 1/4&quot;X8 1/2&quot;, 300/Messages"/>
    <n v="11.76"/>
    <n v="2"/>
    <x v="885"/>
    <x v="5"/>
    <x v="1"/>
  </r>
  <r>
    <n v="44716"/>
    <x v="172"/>
    <x v="22"/>
    <x v="0"/>
    <x v="1"/>
    <s v="Avery 501"/>
    <n v="7.38"/>
    <n v="2"/>
    <x v="1540"/>
    <x v="5"/>
    <x v="1"/>
  </r>
  <r>
    <n v="44716"/>
    <x v="172"/>
    <x v="22"/>
    <x v="0"/>
    <x v="4"/>
    <s v="Binney &amp; Smith Crayola Metallic Colored Pencils, 8-Color Set"/>
    <n v="9.26"/>
    <n v="2"/>
    <x v="269"/>
    <x v="5"/>
    <x v="1"/>
  </r>
  <r>
    <n v="44716"/>
    <x v="492"/>
    <x v="20"/>
    <x v="0"/>
    <x v="0"/>
    <s v="Wirebound Message Books, Two 4 1/4&quot; x 5&quot; Forms per Page"/>
    <n v="30.44"/>
    <n v="4"/>
    <x v="69"/>
    <x v="5"/>
    <x v="1"/>
  </r>
  <r>
    <n v="44716"/>
    <x v="492"/>
    <x v="20"/>
    <x v="1"/>
    <x v="8"/>
    <s v="Executive Impressions 10&quot; Spectator Wall Clock"/>
    <n v="35.28"/>
    <n v="3"/>
    <x v="1471"/>
    <x v="5"/>
    <x v="1"/>
  </r>
  <r>
    <n v="44716"/>
    <x v="652"/>
    <x v="3"/>
    <x v="2"/>
    <x v="9"/>
    <s v="Logitech Wireless Anywhere Mouse MX for PC and Mac"/>
    <n v="119.98"/>
    <n v="2"/>
    <x v="1992"/>
    <x v="5"/>
    <x v="1"/>
  </r>
  <r>
    <n v="44716"/>
    <x v="652"/>
    <x v="3"/>
    <x v="2"/>
    <x v="9"/>
    <s v="LogitechÂ Z-906 Speaker sys - home theater - 5.1-CH"/>
    <n v="989.97"/>
    <n v="3"/>
    <x v="1993"/>
    <x v="5"/>
    <x v="1"/>
  </r>
  <r>
    <n v="44717"/>
    <x v="615"/>
    <x v="20"/>
    <x v="1"/>
    <x v="5"/>
    <s v="Hon Every-Day Series Multi-Task Chairs"/>
    <n v="1522.64"/>
    <n v="9"/>
    <x v="1994"/>
    <x v="5"/>
    <x v="1"/>
  </r>
  <r>
    <n v="44717"/>
    <x v="653"/>
    <x v="24"/>
    <x v="0"/>
    <x v="0"/>
    <s v="Xerox 1981"/>
    <n v="10.56"/>
    <n v="2"/>
    <x v="73"/>
    <x v="5"/>
    <x v="1"/>
  </r>
  <r>
    <n v="44719"/>
    <x v="654"/>
    <x v="3"/>
    <x v="0"/>
    <x v="3"/>
    <s v="3-ring staple pack"/>
    <n v="7.52"/>
    <n v="5"/>
    <x v="1791"/>
    <x v="5"/>
    <x v="1"/>
  </r>
  <r>
    <n v="44719"/>
    <x v="198"/>
    <x v="2"/>
    <x v="0"/>
    <x v="3"/>
    <s v="Aluminum Screw Posts"/>
    <n v="18.309999999999999"/>
    <n v="4"/>
    <x v="1995"/>
    <x v="5"/>
    <x v="1"/>
  </r>
  <r>
    <n v="44719"/>
    <x v="198"/>
    <x v="2"/>
    <x v="0"/>
    <x v="0"/>
    <s v="Xerox 200"/>
    <n v="25.92"/>
    <n v="5"/>
    <x v="278"/>
    <x v="5"/>
    <x v="1"/>
  </r>
  <r>
    <n v="44719"/>
    <x v="198"/>
    <x v="2"/>
    <x v="0"/>
    <x v="4"/>
    <s v="Avery Fluorescent Highlighter Four-Color Set"/>
    <n v="8.02"/>
    <n v="3"/>
    <x v="202"/>
    <x v="5"/>
    <x v="1"/>
  </r>
  <r>
    <n v="44720"/>
    <x v="585"/>
    <x v="1"/>
    <x v="2"/>
    <x v="9"/>
    <s v="Maxell 4.7GB DVD+R 5/Pack"/>
    <n v="2.38"/>
    <n v="3"/>
    <x v="1732"/>
    <x v="5"/>
    <x v="1"/>
  </r>
  <r>
    <n v="44720"/>
    <x v="585"/>
    <x v="1"/>
    <x v="0"/>
    <x v="12"/>
    <s v="Hoover Shoulder Vac Commercial Portable Vacuum"/>
    <n v="143.13"/>
    <n v="2"/>
    <x v="1996"/>
    <x v="5"/>
    <x v="1"/>
  </r>
  <r>
    <n v="44720"/>
    <x v="597"/>
    <x v="16"/>
    <x v="0"/>
    <x v="0"/>
    <s v="Xerox 1951"/>
    <n v="173.49"/>
    <n v="7"/>
    <x v="1985"/>
    <x v="5"/>
    <x v="1"/>
  </r>
  <r>
    <n v="44720"/>
    <x v="597"/>
    <x v="16"/>
    <x v="0"/>
    <x v="2"/>
    <s v="Fellowes Super Stor/Drawer Files"/>
    <n v="516.96"/>
    <n v="4"/>
    <x v="1997"/>
    <x v="5"/>
    <x v="1"/>
  </r>
  <r>
    <n v="44720"/>
    <x v="597"/>
    <x v="16"/>
    <x v="1"/>
    <x v="8"/>
    <s v="Advantus Employee of the Month Certificate Frame, 11 x 13-1/2"/>
    <n v="173.21"/>
    <n v="7"/>
    <x v="1998"/>
    <x v="5"/>
    <x v="1"/>
  </r>
  <r>
    <n v="44720"/>
    <x v="597"/>
    <x v="16"/>
    <x v="0"/>
    <x v="4"/>
    <s v="Newell 344"/>
    <n v="4.45"/>
    <n v="2"/>
    <x v="190"/>
    <x v="5"/>
    <x v="1"/>
  </r>
  <r>
    <n v="44720"/>
    <x v="597"/>
    <x v="16"/>
    <x v="0"/>
    <x v="1"/>
    <s v="Smead Alpha-Z Color-Coded Name Labels First Letter Starter Set"/>
    <n v="9"/>
    <n v="3"/>
    <x v="1999"/>
    <x v="5"/>
    <x v="1"/>
  </r>
  <r>
    <n v="44720"/>
    <x v="597"/>
    <x v="16"/>
    <x v="0"/>
    <x v="0"/>
    <s v="Xerox 1963"/>
    <n v="42.24"/>
    <n v="10"/>
    <x v="966"/>
    <x v="5"/>
    <x v="1"/>
  </r>
  <r>
    <n v="44720"/>
    <x v="597"/>
    <x v="16"/>
    <x v="0"/>
    <x v="3"/>
    <s v="Premier Elliptical Ring Binder, Black"/>
    <n v="18.260000000000002"/>
    <n v="2"/>
    <x v="445"/>
    <x v="5"/>
    <x v="1"/>
  </r>
  <r>
    <n v="44721"/>
    <x v="408"/>
    <x v="6"/>
    <x v="0"/>
    <x v="3"/>
    <s v="Vinyl Sectional Post Binders"/>
    <n v="113.1"/>
    <n v="3"/>
    <x v="2000"/>
    <x v="5"/>
    <x v="1"/>
  </r>
  <r>
    <n v="44721"/>
    <x v="180"/>
    <x v="14"/>
    <x v="0"/>
    <x v="0"/>
    <s v="Xerox 1995"/>
    <n v="12.96"/>
    <n v="2"/>
    <x v="113"/>
    <x v="5"/>
    <x v="1"/>
  </r>
  <r>
    <n v="44721"/>
    <x v="120"/>
    <x v="34"/>
    <x v="1"/>
    <x v="8"/>
    <s v="Luxo Adjustable Task Clamp Lamp"/>
    <n v="355.36"/>
    <n v="4"/>
    <x v="2001"/>
    <x v="5"/>
    <x v="1"/>
  </r>
  <r>
    <n v="44721"/>
    <x v="120"/>
    <x v="34"/>
    <x v="2"/>
    <x v="6"/>
    <s v="Dexim XPower Skin Super-Thin Power Case for iPhone 5 - Black"/>
    <n v="140.38"/>
    <n v="3"/>
    <x v="1943"/>
    <x v="5"/>
    <x v="1"/>
  </r>
  <r>
    <n v="44721"/>
    <x v="655"/>
    <x v="16"/>
    <x v="0"/>
    <x v="3"/>
    <s v="Green Canvas Binder for 8-1/2&quot; x 14&quot; Sheets"/>
    <n v="64.2"/>
    <n v="5"/>
    <x v="2002"/>
    <x v="5"/>
    <x v="1"/>
  </r>
  <r>
    <n v="44721"/>
    <x v="655"/>
    <x v="16"/>
    <x v="0"/>
    <x v="3"/>
    <s v="Wilson Jones Elliptical Ring 3 1/2&quot; Capacity Binders, 800 sheets"/>
    <n v="38.520000000000003"/>
    <n v="3"/>
    <x v="2003"/>
    <x v="5"/>
    <x v="1"/>
  </r>
  <r>
    <n v="44721"/>
    <x v="655"/>
    <x v="16"/>
    <x v="2"/>
    <x v="9"/>
    <s v="Logitech Keyboard K120"/>
    <n v="72.599999999999994"/>
    <n v="5"/>
    <x v="2004"/>
    <x v="5"/>
    <x v="1"/>
  </r>
  <r>
    <n v="44723"/>
    <x v="12"/>
    <x v="8"/>
    <x v="2"/>
    <x v="9"/>
    <s v="Kingston Digital DataTraveler 16GB USB 2.0"/>
    <n v="53.7"/>
    <n v="6"/>
    <x v="2005"/>
    <x v="5"/>
    <x v="1"/>
  </r>
  <r>
    <n v="44723"/>
    <x v="12"/>
    <x v="8"/>
    <x v="0"/>
    <x v="3"/>
    <s v="SlimView Poly Binder, 3/8&quot;"/>
    <n v="36.26"/>
    <n v="7"/>
    <x v="1760"/>
    <x v="5"/>
    <x v="1"/>
  </r>
  <r>
    <n v="44723"/>
    <x v="12"/>
    <x v="8"/>
    <x v="0"/>
    <x v="4"/>
    <s v="Boston Electric Pencil Sharpener, Model 1818, Charcoal Black"/>
    <n v="56.3"/>
    <n v="2"/>
    <x v="2006"/>
    <x v="5"/>
    <x v="1"/>
  </r>
  <r>
    <n v="44723"/>
    <x v="12"/>
    <x v="8"/>
    <x v="0"/>
    <x v="0"/>
    <s v="Xerox 222"/>
    <n v="32.4"/>
    <n v="5"/>
    <x v="327"/>
    <x v="5"/>
    <x v="1"/>
  </r>
  <r>
    <n v="44723"/>
    <x v="12"/>
    <x v="8"/>
    <x v="1"/>
    <x v="8"/>
    <s v="DAX Clear Channel Poster Frame"/>
    <n v="29.16"/>
    <n v="2"/>
    <x v="777"/>
    <x v="5"/>
    <x v="1"/>
  </r>
  <r>
    <n v="44723"/>
    <x v="458"/>
    <x v="16"/>
    <x v="1"/>
    <x v="5"/>
    <s v="Hon 2090 Â“Pillow SoftÂ” Series Mid Back Swivel/Tilt Chairs"/>
    <n v="1123.92"/>
    <n v="5"/>
    <x v="2007"/>
    <x v="5"/>
    <x v="1"/>
  </r>
  <r>
    <n v="44723"/>
    <x v="458"/>
    <x v="16"/>
    <x v="2"/>
    <x v="6"/>
    <s v="Cisco SPA301"/>
    <n v="249.58"/>
    <n v="2"/>
    <x v="2008"/>
    <x v="5"/>
    <x v="1"/>
  </r>
  <r>
    <n v="44723"/>
    <x v="458"/>
    <x v="16"/>
    <x v="1"/>
    <x v="8"/>
    <s v="Seth Thomas 8 1/2&quot; Cubicle Clock"/>
    <n v="48.67"/>
    <n v="3"/>
    <x v="2009"/>
    <x v="5"/>
    <x v="1"/>
  </r>
  <r>
    <n v="44723"/>
    <x v="458"/>
    <x v="16"/>
    <x v="0"/>
    <x v="4"/>
    <s v="Hunt PowerHouse Electric Pencil Sharpener, Blue"/>
    <n v="60.77"/>
    <n v="2"/>
    <x v="920"/>
    <x v="5"/>
    <x v="1"/>
  </r>
  <r>
    <n v="44723"/>
    <x v="458"/>
    <x v="16"/>
    <x v="0"/>
    <x v="3"/>
    <s v="Ibico Laser Imprintable Binding System Covers"/>
    <n v="78.599999999999994"/>
    <n v="5"/>
    <x v="1551"/>
    <x v="5"/>
    <x v="1"/>
  </r>
  <r>
    <n v="44723"/>
    <x v="458"/>
    <x v="16"/>
    <x v="0"/>
    <x v="3"/>
    <s v="GBC Standard Plastic Binding Systems' Combs"/>
    <n v="3.77"/>
    <n v="2"/>
    <x v="2010"/>
    <x v="5"/>
    <x v="1"/>
  </r>
  <r>
    <n v="44723"/>
    <x v="458"/>
    <x v="16"/>
    <x v="0"/>
    <x v="2"/>
    <s v="Tennsco 16-Compartment Lockers with Coat Rack"/>
    <n v="1036.6199999999999"/>
    <n v="2"/>
    <x v="1860"/>
    <x v="5"/>
    <x v="1"/>
  </r>
  <r>
    <n v="44723"/>
    <x v="458"/>
    <x v="16"/>
    <x v="0"/>
    <x v="2"/>
    <s v="Fellowes High-Stak Drawer Files"/>
    <n v="563.80999999999995"/>
    <n v="4"/>
    <x v="1795"/>
    <x v="5"/>
    <x v="1"/>
  </r>
  <r>
    <n v="44724"/>
    <x v="656"/>
    <x v="2"/>
    <x v="0"/>
    <x v="0"/>
    <s v="Xerox 1997"/>
    <n v="20.74"/>
    <n v="4"/>
    <x v="416"/>
    <x v="5"/>
    <x v="1"/>
  </r>
  <r>
    <n v="44724"/>
    <x v="656"/>
    <x v="2"/>
    <x v="1"/>
    <x v="8"/>
    <s v="DataProducts Ampli Magnifier Task Lamp, Black,"/>
    <n v="43.3"/>
    <n v="2"/>
    <x v="1398"/>
    <x v="5"/>
    <x v="1"/>
  </r>
  <r>
    <n v="44724"/>
    <x v="224"/>
    <x v="7"/>
    <x v="0"/>
    <x v="2"/>
    <s v="Perma STOR-ALL Hanging File Box, 13 1/8&quot;W x 12 1/4&quot;D x 10 1/2&quot;H"/>
    <n v="29.9"/>
    <n v="5"/>
    <x v="2011"/>
    <x v="5"/>
    <x v="1"/>
  </r>
  <r>
    <n v="44724"/>
    <x v="657"/>
    <x v="16"/>
    <x v="2"/>
    <x v="6"/>
    <s v="Speck Products Candyshell Flip Case"/>
    <n v="55.98"/>
    <n v="2"/>
    <x v="783"/>
    <x v="5"/>
    <x v="1"/>
  </r>
  <r>
    <n v="44724"/>
    <x v="381"/>
    <x v="18"/>
    <x v="0"/>
    <x v="2"/>
    <s v="Recycled Eldon Regeneration Jumbo File"/>
    <n v="24.56"/>
    <n v="2"/>
    <x v="1435"/>
    <x v="5"/>
    <x v="1"/>
  </r>
  <r>
    <n v="44725"/>
    <x v="612"/>
    <x v="3"/>
    <x v="0"/>
    <x v="3"/>
    <s v="Aluminum Screw Posts"/>
    <n v="36.619999999999997"/>
    <n v="3"/>
    <x v="2012"/>
    <x v="5"/>
    <x v="1"/>
  </r>
  <r>
    <n v="44725"/>
    <x v="526"/>
    <x v="33"/>
    <x v="0"/>
    <x v="4"/>
    <s v="Newell 31"/>
    <n v="24.78"/>
    <n v="6"/>
    <x v="1126"/>
    <x v="5"/>
    <x v="1"/>
  </r>
  <r>
    <n v="44725"/>
    <x v="526"/>
    <x v="33"/>
    <x v="0"/>
    <x v="3"/>
    <s v="Avery Heavy-Duty EZD View Binder with Locking Rings"/>
    <n v="19.14"/>
    <n v="3"/>
    <x v="1357"/>
    <x v="5"/>
    <x v="1"/>
  </r>
  <r>
    <n v="44725"/>
    <x v="526"/>
    <x v="33"/>
    <x v="2"/>
    <x v="16"/>
    <s v="Brother DCP1000 Digital 3 in 1 Multifunction Machine"/>
    <n v="899.97"/>
    <n v="3"/>
    <x v="2013"/>
    <x v="5"/>
    <x v="1"/>
  </r>
  <r>
    <n v="44725"/>
    <x v="526"/>
    <x v="33"/>
    <x v="0"/>
    <x v="0"/>
    <s v="Xerox 204"/>
    <n v="32.4"/>
    <n v="5"/>
    <x v="327"/>
    <x v="5"/>
    <x v="1"/>
  </r>
  <r>
    <n v="44725"/>
    <x v="577"/>
    <x v="41"/>
    <x v="0"/>
    <x v="3"/>
    <s v="ACCOHIDE 3-Ring Binder, Blue, 1&quot;"/>
    <n v="8.26"/>
    <n v="2"/>
    <x v="2014"/>
    <x v="5"/>
    <x v="1"/>
  </r>
  <r>
    <n v="44725"/>
    <x v="577"/>
    <x v="41"/>
    <x v="0"/>
    <x v="3"/>
    <s v="Recycled Easel Ring Binders"/>
    <n v="29.84"/>
    <n v="2"/>
    <x v="970"/>
    <x v="5"/>
    <x v="1"/>
  </r>
  <r>
    <n v="44725"/>
    <x v="577"/>
    <x v="41"/>
    <x v="2"/>
    <x v="9"/>
    <s v="Lenovo 17-Key USB Numeric Keypad"/>
    <n v="67.98"/>
    <n v="2"/>
    <x v="2015"/>
    <x v="5"/>
    <x v="1"/>
  </r>
  <r>
    <n v="44725"/>
    <x v="302"/>
    <x v="4"/>
    <x v="0"/>
    <x v="0"/>
    <s v="Xerox 202"/>
    <n v="6.48"/>
    <n v="1"/>
    <x v="1006"/>
    <x v="5"/>
    <x v="1"/>
  </r>
  <r>
    <n v="44725"/>
    <x v="658"/>
    <x v="10"/>
    <x v="0"/>
    <x v="4"/>
    <s v="Newell 320"/>
    <n v="3.42"/>
    <n v="1"/>
    <x v="1481"/>
    <x v="5"/>
    <x v="1"/>
  </r>
  <r>
    <n v="44726"/>
    <x v="525"/>
    <x v="2"/>
    <x v="1"/>
    <x v="8"/>
    <s v="Eldon Expressions Punched Metal &amp; Wood Desk Accessories, Pewter &amp; Cherry"/>
    <n v="51.07"/>
    <n v="6"/>
    <x v="2016"/>
    <x v="5"/>
    <x v="1"/>
  </r>
  <r>
    <n v="44727"/>
    <x v="184"/>
    <x v="12"/>
    <x v="0"/>
    <x v="0"/>
    <s v="Xerox 1895"/>
    <n v="9.57"/>
    <n v="2"/>
    <x v="1894"/>
    <x v="5"/>
    <x v="1"/>
  </r>
  <r>
    <n v="44727"/>
    <x v="184"/>
    <x v="12"/>
    <x v="0"/>
    <x v="2"/>
    <s v="Belkin 19&quot; Vented Equipment Shelf, Black"/>
    <n v="82.37"/>
    <n v="2"/>
    <x v="2017"/>
    <x v="5"/>
    <x v="1"/>
  </r>
  <r>
    <n v="44727"/>
    <x v="184"/>
    <x v="12"/>
    <x v="1"/>
    <x v="8"/>
    <s v="Eldon &quot;L&quot; Workstation Diamond Chairmat"/>
    <n v="364.7"/>
    <n v="6"/>
    <x v="2018"/>
    <x v="5"/>
    <x v="1"/>
  </r>
  <r>
    <n v="44727"/>
    <x v="184"/>
    <x v="12"/>
    <x v="1"/>
    <x v="8"/>
    <s v="DAX Copper Panel Document Frame, 5 x 7 Size"/>
    <n v="40.26"/>
    <n v="4"/>
    <x v="2019"/>
    <x v="5"/>
    <x v="1"/>
  </r>
  <r>
    <n v="44727"/>
    <x v="482"/>
    <x v="16"/>
    <x v="2"/>
    <x v="9"/>
    <s v="Belkin Standard 104 key USB Keyboard"/>
    <n v="11.67"/>
    <n v="1"/>
    <x v="2020"/>
    <x v="5"/>
    <x v="1"/>
  </r>
  <r>
    <n v="44727"/>
    <x v="271"/>
    <x v="3"/>
    <x v="2"/>
    <x v="6"/>
    <s v="Jabra SPEAK 410"/>
    <n v="225.58"/>
    <n v="3"/>
    <x v="2021"/>
    <x v="5"/>
    <x v="1"/>
  </r>
  <r>
    <n v="44728"/>
    <x v="300"/>
    <x v="2"/>
    <x v="0"/>
    <x v="10"/>
    <s v="Peel &amp; Seel Envelopes"/>
    <n v="6.21"/>
    <n v="2"/>
    <x v="1733"/>
    <x v="5"/>
    <x v="1"/>
  </r>
  <r>
    <n v="44728"/>
    <x v="3"/>
    <x v="0"/>
    <x v="0"/>
    <x v="10"/>
    <s v="Staple envelope"/>
    <n v="28.75"/>
    <n v="3"/>
    <x v="2022"/>
    <x v="5"/>
    <x v="1"/>
  </r>
  <r>
    <n v="44728"/>
    <x v="3"/>
    <x v="0"/>
    <x v="0"/>
    <x v="0"/>
    <s v="Xerox 188"/>
    <n v="27.22"/>
    <n v="3"/>
    <x v="2023"/>
    <x v="5"/>
    <x v="1"/>
  </r>
  <r>
    <n v="44728"/>
    <x v="3"/>
    <x v="0"/>
    <x v="1"/>
    <x v="5"/>
    <s v="Office Star - Contemporary Swivel Chair with Padded Adjustable Arms and Flex Back"/>
    <n v="197.37"/>
    <n v="2"/>
    <x v="2024"/>
    <x v="5"/>
    <x v="1"/>
  </r>
  <r>
    <n v="44728"/>
    <x v="164"/>
    <x v="20"/>
    <x v="0"/>
    <x v="3"/>
    <s v="Fellowes PB500 Electric Punch Plastic Comb Binding Machine with Manual Bind"/>
    <n v="3050.38"/>
    <n v="3"/>
    <x v="2025"/>
    <x v="5"/>
    <x v="1"/>
  </r>
  <r>
    <n v="44728"/>
    <x v="164"/>
    <x v="20"/>
    <x v="2"/>
    <x v="6"/>
    <s v="RCA Visys Integrated PBX 8-Line Router"/>
    <n v="133.97999999999999"/>
    <n v="2"/>
    <x v="2026"/>
    <x v="5"/>
    <x v="1"/>
  </r>
  <r>
    <n v="44730"/>
    <x v="659"/>
    <x v="12"/>
    <x v="0"/>
    <x v="0"/>
    <s v="Xerox 1922"/>
    <n v="11.95"/>
    <n v="3"/>
    <x v="1398"/>
    <x v="5"/>
    <x v="1"/>
  </r>
  <r>
    <n v="44730"/>
    <x v="659"/>
    <x v="12"/>
    <x v="0"/>
    <x v="3"/>
    <s v="Peel &amp; Stick Add-On Corner Pockets"/>
    <n v="4.54"/>
    <n v="7"/>
    <x v="2027"/>
    <x v="5"/>
    <x v="1"/>
  </r>
  <r>
    <n v="44730"/>
    <x v="659"/>
    <x v="12"/>
    <x v="0"/>
    <x v="3"/>
    <s v="Aluminum Screw Posts"/>
    <n v="9.16"/>
    <n v="2"/>
    <x v="1932"/>
    <x v="5"/>
    <x v="1"/>
  </r>
  <r>
    <n v="44730"/>
    <x v="659"/>
    <x v="12"/>
    <x v="1"/>
    <x v="8"/>
    <s v="Flat Face Poster Frame"/>
    <n v="75.36"/>
    <n v="5"/>
    <x v="2028"/>
    <x v="5"/>
    <x v="1"/>
  </r>
  <r>
    <n v="44730"/>
    <x v="100"/>
    <x v="3"/>
    <x v="0"/>
    <x v="4"/>
    <s v="BOSTON Ranger #55 Pencil Sharpener, Black"/>
    <n v="51.98"/>
    <n v="2"/>
    <x v="1270"/>
    <x v="5"/>
    <x v="1"/>
  </r>
  <r>
    <n v="44730"/>
    <x v="535"/>
    <x v="16"/>
    <x v="0"/>
    <x v="4"/>
    <s v="Dixon Prang Watercolor Pencils, 10-Color Set with Brush"/>
    <n v="13.63"/>
    <n v="4"/>
    <x v="980"/>
    <x v="5"/>
    <x v="1"/>
  </r>
  <r>
    <n v="44730"/>
    <x v="625"/>
    <x v="15"/>
    <x v="0"/>
    <x v="3"/>
    <s v="Avery Self-Adhesive Photo Pockets for Polaroid Photos"/>
    <n v="6.13"/>
    <n v="3"/>
    <x v="2029"/>
    <x v="5"/>
    <x v="1"/>
  </r>
  <r>
    <n v="44730"/>
    <x v="625"/>
    <x v="15"/>
    <x v="1"/>
    <x v="5"/>
    <s v="Global Leather Highback Executive Chair with Pneumatic Height Adjustment, Black"/>
    <n v="643.14"/>
    <n v="4"/>
    <x v="2030"/>
    <x v="5"/>
    <x v="1"/>
  </r>
  <r>
    <n v="44730"/>
    <x v="625"/>
    <x v="15"/>
    <x v="0"/>
    <x v="0"/>
    <s v="Xerox 21"/>
    <n v="20.74"/>
    <n v="4"/>
    <x v="416"/>
    <x v="5"/>
    <x v="1"/>
  </r>
  <r>
    <n v="44730"/>
    <x v="348"/>
    <x v="6"/>
    <x v="1"/>
    <x v="8"/>
    <s v="Seth Thomas 8 1/2&quot; Cubicle Clock"/>
    <n v="60.84"/>
    <n v="3"/>
    <x v="1195"/>
    <x v="5"/>
    <x v="1"/>
  </r>
  <r>
    <n v="44730"/>
    <x v="348"/>
    <x v="6"/>
    <x v="0"/>
    <x v="2"/>
    <s v="Tennsco Double-Tier Lockers"/>
    <n v="450.04"/>
    <n v="2"/>
    <x v="2031"/>
    <x v="5"/>
    <x v="1"/>
  </r>
  <r>
    <n v="44730"/>
    <x v="348"/>
    <x v="6"/>
    <x v="0"/>
    <x v="3"/>
    <s v="Wilson Jones International Size A4 Ring Binders"/>
    <n v="34.6"/>
    <n v="2"/>
    <x v="2032"/>
    <x v="5"/>
    <x v="1"/>
  </r>
  <r>
    <n v="44730"/>
    <x v="348"/>
    <x v="6"/>
    <x v="2"/>
    <x v="6"/>
    <s v="Cisco SPA301"/>
    <n v="467.97"/>
    <n v="3"/>
    <x v="2033"/>
    <x v="5"/>
    <x v="1"/>
  </r>
  <r>
    <n v="44730"/>
    <x v="348"/>
    <x v="6"/>
    <x v="0"/>
    <x v="3"/>
    <s v="JM Magazine Binder"/>
    <n v="33.020000000000003"/>
    <n v="2"/>
    <x v="2034"/>
    <x v="5"/>
    <x v="1"/>
  </r>
  <r>
    <n v="44731"/>
    <x v="564"/>
    <x v="3"/>
    <x v="1"/>
    <x v="8"/>
    <s v="Eldon 200 Class Desk Accessories"/>
    <n v="12.56"/>
    <n v="2"/>
    <x v="2035"/>
    <x v="5"/>
    <x v="1"/>
  </r>
  <r>
    <n v="44731"/>
    <x v="564"/>
    <x v="3"/>
    <x v="0"/>
    <x v="0"/>
    <s v="Xerox 231"/>
    <n v="6.48"/>
    <n v="1"/>
    <x v="1006"/>
    <x v="5"/>
    <x v="1"/>
  </r>
  <r>
    <n v="44731"/>
    <x v="564"/>
    <x v="3"/>
    <x v="0"/>
    <x v="10"/>
    <s v="Cameo Buff Policy Envelopes"/>
    <n v="186.69"/>
    <n v="3"/>
    <x v="1948"/>
    <x v="5"/>
    <x v="1"/>
  </r>
  <r>
    <n v="44731"/>
    <x v="5"/>
    <x v="0"/>
    <x v="0"/>
    <x v="3"/>
    <s v="GBC White Gloss Covers, Plain Front"/>
    <n v="5.79"/>
    <n v="2"/>
    <x v="2036"/>
    <x v="5"/>
    <x v="1"/>
  </r>
  <r>
    <n v="44731"/>
    <x v="307"/>
    <x v="0"/>
    <x v="0"/>
    <x v="2"/>
    <s v="Recycled Steel Personal File for Hanging File Folders"/>
    <n v="228.92"/>
    <n v="5"/>
    <x v="69"/>
    <x v="5"/>
    <x v="1"/>
  </r>
  <r>
    <n v="44731"/>
    <x v="367"/>
    <x v="2"/>
    <x v="0"/>
    <x v="1"/>
    <s v="Self-Adhesive Address Labels for Typewriters with Dispenser Box"/>
    <n v="5.9"/>
    <n v="2"/>
    <x v="1380"/>
    <x v="5"/>
    <x v="1"/>
  </r>
  <r>
    <n v="44732"/>
    <x v="660"/>
    <x v="3"/>
    <x v="1"/>
    <x v="8"/>
    <s v="Howard Miller 13&quot; Diameter Pewter Finish Round Wall Clock"/>
    <n v="257.64"/>
    <n v="6"/>
    <x v="2037"/>
    <x v="5"/>
    <x v="1"/>
  </r>
  <r>
    <n v="44732"/>
    <x v="660"/>
    <x v="3"/>
    <x v="2"/>
    <x v="6"/>
    <s v="netTALK DUO VoIP Telephone Service"/>
    <n v="125.98"/>
    <n v="3"/>
    <x v="1385"/>
    <x v="5"/>
    <x v="1"/>
  </r>
  <r>
    <n v="44732"/>
    <x v="176"/>
    <x v="26"/>
    <x v="2"/>
    <x v="6"/>
    <s v="Griffin GC36547 PowerJolt SE Lightning Charger"/>
    <n v="125.94"/>
    <n v="7"/>
    <x v="2038"/>
    <x v="5"/>
    <x v="1"/>
  </r>
  <r>
    <n v="44732"/>
    <x v="288"/>
    <x v="2"/>
    <x v="2"/>
    <x v="9"/>
    <s v="Razer Tiamat Over Ear 7.1 Surround Sound PC Gaming Headset"/>
    <n v="319.98"/>
    <n v="2"/>
    <x v="2039"/>
    <x v="5"/>
    <x v="1"/>
  </r>
  <r>
    <n v="44733"/>
    <x v="287"/>
    <x v="16"/>
    <x v="2"/>
    <x v="6"/>
    <s v="Innergie mMini Combo Duo USB Travel Charging Kit"/>
    <n v="107.98"/>
    <n v="3"/>
    <x v="2040"/>
    <x v="5"/>
    <x v="1"/>
  </r>
  <r>
    <n v="44734"/>
    <x v="318"/>
    <x v="27"/>
    <x v="0"/>
    <x v="7"/>
    <s v="OIC Binder Clips, Mini, 1/4&quot; Capacity, Black"/>
    <n v="4.96"/>
    <n v="4"/>
    <x v="141"/>
    <x v="5"/>
    <x v="1"/>
  </r>
  <r>
    <n v="44734"/>
    <x v="53"/>
    <x v="1"/>
    <x v="1"/>
    <x v="13"/>
    <s v="Hon Rectangular Conference Tables"/>
    <n v="796.43"/>
    <n v="7"/>
    <x v="2041"/>
    <x v="5"/>
    <x v="1"/>
  </r>
  <r>
    <n v="44734"/>
    <x v="661"/>
    <x v="20"/>
    <x v="0"/>
    <x v="3"/>
    <s v="GBC Ibimaster 500 Manual ProClick Binding System"/>
    <n v="1217.57"/>
    <n v="2"/>
    <x v="2042"/>
    <x v="5"/>
    <x v="1"/>
  </r>
  <r>
    <n v="44735"/>
    <x v="247"/>
    <x v="22"/>
    <x v="2"/>
    <x v="6"/>
    <s v="Pyle PRT45 Retro HomeÂ Telephone"/>
    <n v="201.57"/>
    <n v="4"/>
    <x v="248"/>
    <x v="5"/>
    <x v="1"/>
  </r>
  <r>
    <n v="44735"/>
    <x v="349"/>
    <x v="3"/>
    <x v="2"/>
    <x v="6"/>
    <s v="Plantronics CS 50-USB -Â headsetÂ - Convertible, Monaural"/>
    <n v="217.58"/>
    <n v="2"/>
    <x v="1107"/>
    <x v="5"/>
    <x v="1"/>
  </r>
  <r>
    <n v="44735"/>
    <x v="349"/>
    <x v="3"/>
    <x v="0"/>
    <x v="7"/>
    <s v="Assorted Color Push Pins"/>
    <n v="5.43"/>
    <n v="3"/>
    <x v="46"/>
    <x v="5"/>
    <x v="1"/>
  </r>
  <r>
    <n v="44735"/>
    <x v="349"/>
    <x v="3"/>
    <x v="2"/>
    <x v="6"/>
    <s v="JBL Micro Wireless Portable Bluetooth Speaker"/>
    <n v="143.97999999999999"/>
    <n v="3"/>
    <x v="246"/>
    <x v="5"/>
    <x v="1"/>
  </r>
  <r>
    <n v="44735"/>
    <x v="211"/>
    <x v="4"/>
    <x v="1"/>
    <x v="8"/>
    <s v="Eldon Stackable Tray, Side-Load, Legal, Smoke"/>
    <n v="27.42"/>
    <n v="3"/>
    <x v="440"/>
    <x v="5"/>
    <x v="1"/>
  </r>
  <r>
    <n v="44735"/>
    <x v="211"/>
    <x v="4"/>
    <x v="0"/>
    <x v="3"/>
    <s v="GBC DocuBind P100 Manual Binding Machine"/>
    <n v="165.98"/>
    <n v="1"/>
    <x v="2043"/>
    <x v="5"/>
    <x v="1"/>
  </r>
  <r>
    <n v="44735"/>
    <x v="211"/>
    <x v="4"/>
    <x v="2"/>
    <x v="9"/>
    <s v="Dell Slim USB Multimedia Keyboard"/>
    <n v="75"/>
    <n v="3"/>
    <x v="1829"/>
    <x v="5"/>
    <x v="1"/>
  </r>
  <r>
    <n v="44737"/>
    <x v="662"/>
    <x v="2"/>
    <x v="0"/>
    <x v="0"/>
    <s v="Xerox 211"/>
    <n v="31.1"/>
    <n v="6"/>
    <x v="782"/>
    <x v="5"/>
    <x v="1"/>
  </r>
  <r>
    <n v="44737"/>
    <x v="662"/>
    <x v="2"/>
    <x v="0"/>
    <x v="2"/>
    <s v="Tennsco Industrial Shelving"/>
    <n v="78.260000000000005"/>
    <n v="2"/>
    <x v="2044"/>
    <x v="5"/>
    <x v="1"/>
  </r>
  <r>
    <n v="44737"/>
    <x v="453"/>
    <x v="3"/>
    <x v="1"/>
    <x v="8"/>
    <s v="Dana Halogen Swing-Arm Architect Lamp"/>
    <n v="204.85"/>
    <n v="5"/>
    <x v="2045"/>
    <x v="5"/>
    <x v="1"/>
  </r>
  <r>
    <n v="44737"/>
    <x v="513"/>
    <x v="3"/>
    <x v="0"/>
    <x v="4"/>
    <s v="Staples in misc. colors"/>
    <n v="20.96"/>
    <n v="2"/>
    <x v="6"/>
    <x v="5"/>
    <x v="1"/>
  </r>
  <r>
    <n v="44737"/>
    <x v="513"/>
    <x v="3"/>
    <x v="0"/>
    <x v="3"/>
    <s v="GBC Velobind Prepunched Cover Sets, Regency Series"/>
    <n v="88.75"/>
    <n v="3"/>
    <x v="2046"/>
    <x v="5"/>
    <x v="1"/>
  </r>
  <r>
    <n v="44737"/>
    <x v="513"/>
    <x v="3"/>
    <x v="0"/>
    <x v="2"/>
    <s v="Tennsco Regal Shelving Units"/>
    <n v="304.23"/>
    <n v="3"/>
    <x v="1739"/>
    <x v="5"/>
    <x v="1"/>
  </r>
  <r>
    <n v="44737"/>
    <x v="20"/>
    <x v="0"/>
    <x v="0"/>
    <x v="0"/>
    <s v="Xerox 1884"/>
    <n v="47.95"/>
    <n v="3"/>
    <x v="1806"/>
    <x v="5"/>
    <x v="1"/>
  </r>
  <r>
    <n v="44737"/>
    <x v="20"/>
    <x v="0"/>
    <x v="0"/>
    <x v="3"/>
    <s v="Avery Triangle Shaped Sheet Lifters, Black, 2/Pack"/>
    <n v="0.98"/>
    <n v="2"/>
    <x v="2047"/>
    <x v="5"/>
    <x v="1"/>
  </r>
  <r>
    <n v="44737"/>
    <x v="20"/>
    <x v="0"/>
    <x v="1"/>
    <x v="8"/>
    <s v="GE General Use Halogen Bulbs, 100 Watts, 1 Bulb per Pack"/>
    <n v="75.38"/>
    <n v="9"/>
    <x v="2048"/>
    <x v="5"/>
    <x v="1"/>
  </r>
  <r>
    <n v="44737"/>
    <x v="20"/>
    <x v="0"/>
    <x v="0"/>
    <x v="1"/>
    <s v="Avery File Folder Labels"/>
    <n v="4.6100000000000003"/>
    <n v="2"/>
    <x v="688"/>
    <x v="5"/>
    <x v="1"/>
  </r>
  <r>
    <n v="44738"/>
    <x v="174"/>
    <x v="14"/>
    <x v="2"/>
    <x v="9"/>
    <s v="Sony 32GB Class 10 Micro SDHC R40 Memory Card"/>
    <n v="41.9"/>
    <n v="2"/>
    <x v="1357"/>
    <x v="5"/>
    <x v="1"/>
  </r>
  <r>
    <n v="44738"/>
    <x v="52"/>
    <x v="6"/>
    <x v="0"/>
    <x v="3"/>
    <s v="GBC VeloBinder Manual Binding System"/>
    <n v="143.96"/>
    <n v="4"/>
    <x v="2049"/>
    <x v="5"/>
    <x v="1"/>
  </r>
  <r>
    <n v="44738"/>
    <x v="52"/>
    <x v="6"/>
    <x v="0"/>
    <x v="2"/>
    <s v="Decoflex Hanging Personal Folder File, Blue"/>
    <n v="15.42"/>
    <n v="1"/>
    <x v="2050"/>
    <x v="5"/>
    <x v="1"/>
  </r>
  <r>
    <n v="44738"/>
    <x v="52"/>
    <x v="6"/>
    <x v="0"/>
    <x v="3"/>
    <s v="Acco PRESSTEX Data Binder with Storage Hooks, Dark Blue, 9 1/2&quot; X 11&quot;"/>
    <n v="43.04"/>
    <n v="8"/>
    <x v="2051"/>
    <x v="5"/>
    <x v="1"/>
  </r>
  <r>
    <n v="44738"/>
    <x v="52"/>
    <x v="6"/>
    <x v="1"/>
    <x v="5"/>
    <s v="Office Star - Contemporary Task Swivel Chair"/>
    <n v="332.94"/>
    <n v="3"/>
    <x v="2052"/>
    <x v="5"/>
    <x v="1"/>
  </r>
  <r>
    <n v="44738"/>
    <x v="329"/>
    <x v="0"/>
    <x v="2"/>
    <x v="6"/>
    <s v="Polycom SoundStation2 EX ConferenceÂ phone"/>
    <n v="971.88"/>
    <n v="3"/>
    <x v="2053"/>
    <x v="5"/>
    <x v="1"/>
  </r>
  <r>
    <n v="44738"/>
    <x v="524"/>
    <x v="10"/>
    <x v="0"/>
    <x v="0"/>
    <s v="Universal Premium White Copier/Laser Paper (20Lb. and 87 Bright)"/>
    <n v="43.06"/>
    <n v="9"/>
    <x v="2054"/>
    <x v="5"/>
    <x v="1"/>
  </r>
  <r>
    <n v="44740"/>
    <x v="563"/>
    <x v="12"/>
    <x v="0"/>
    <x v="1"/>
    <s v="Avery 501"/>
    <n v="5.9"/>
    <n v="2"/>
    <x v="1380"/>
    <x v="5"/>
    <x v="1"/>
  </r>
  <r>
    <n v="44740"/>
    <x v="563"/>
    <x v="12"/>
    <x v="1"/>
    <x v="8"/>
    <s v="Electrix Halogen Magnifier Lamp"/>
    <n v="621.76"/>
    <n v="4"/>
    <x v="2055"/>
    <x v="5"/>
    <x v="1"/>
  </r>
  <r>
    <n v="44740"/>
    <x v="360"/>
    <x v="10"/>
    <x v="0"/>
    <x v="0"/>
    <s v="Xerox 1999"/>
    <n v="15.55"/>
    <n v="3"/>
    <x v="192"/>
    <x v="5"/>
    <x v="1"/>
  </r>
  <r>
    <n v="44740"/>
    <x v="360"/>
    <x v="10"/>
    <x v="1"/>
    <x v="11"/>
    <s v="Sauder Forest Hills Library with Doors, Woodland Oak Finish"/>
    <n v="482.94"/>
    <n v="6"/>
    <x v="2056"/>
    <x v="5"/>
    <x v="1"/>
  </r>
  <r>
    <n v="44740"/>
    <x v="114"/>
    <x v="4"/>
    <x v="0"/>
    <x v="3"/>
    <s v="GBC Recycled Regency Composition Covers"/>
    <n v="119.56"/>
    <n v="2"/>
    <x v="2057"/>
    <x v="5"/>
    <x v="1"/>
  </r>
  <r>
    <n v="44740"/>
    <x v="114"/>
    <x v="4"/>
    <x v="0"/>
    <x v="4"/>
    <s v="Boston Model 1800 Electric Pencil Sharpener, Gray"/>
    <n v="140.75"/>
    <n v="5"/>
    <x v="2058"/>
    <x v="5"/>
    <x v="1"/>
  </r>
  <r>
    <n v="44741"/>
    <x v="236"/>
    <x v="2"/>
    <x v="1"/>
    <x v="8"/>
    <s v="Eldon Executive Woodline II Desk Accessories, Mahogany"/>
    <n v="20.100000000000001"/>
    <n v="1"/>
    <x v="1406"/>
    <x v="5"/>
    <x v="1"/>
  </r>
  <r>
    <n v="44741"/>
    <x v="147"/>
    <x v="20"/>
    <x v="0"/>
    <x v="0"/>
    <s v="Ampad Phone Message Book, Recycled, 400 Message Capacity, 5 Â¾Â” x 11Â”"/>
    <n v="24.96"/>
    <n v="4"/>
    <x v="1771"/>
    <x v="5"/>
    <x v="1"/>
  </r>
  <r>
    <n v="44741"/>
    <x v="320"/>
    <x v="20"/>
    <x v="1"/>
    <x v="5"/>
    <s v="Office Star - Mesh Screen back chair with Vinyl seat"/>
    <n v="117.88"/>
    <n v="1"/>
    <x v="660"/>
    <x v="5"/>
    <x v="1"/>
  </r>
  <r>
    <n v="44741"/>
    <x v="82"/>
    <x v="40"/>
    <x v="2"/>
    <x v="6"/>
    <s v="Cisco 8x8 Inc. 6753i IP Business Phone System"/>
    <n v="269.98"/>
    <n v="2"/>
    <x v="2059"/>
    <x v="5"/>
    <x v="1"/>
  </r>
  <r>
    <n v="44744"/>
    <x v="77"/>
    <x v="0"/>
    <x v="0"/>
    <x v="12"/>
    <s v="Belkin 8 Outlet Surge Protector"/>
    <n v="32.78"/>
    <n v="4"/>
    <x v="2060"/>
    <x v="6"/>
    <x v="1"/>
  </r>
  <r>
    <n v="44744"/>
    <x v="663"/>
    <x v="1"/>
    <x v="1"/>
    <x v="5"/>
    <s v="Hon 4070 Series Pagoda Armless Upholstered Stacking Chairs"/>
    <n v="408.42"/>
    <n v="2"/>
    <x v="1872"/>
    <x v="6"/>
    <x v="1"/>
  </r>
  <r>
    <n v="44744"/>
    <x v="663"/>
    <x v="1"/>
    <x v="1"/>
    <x v="5"/>
    <s v="Global Wood Trimmed Manager's Task Chair, Khaki"/>
    <n v="382.12"/>
    <n v="6"/>
    <x v="2061"/>
    <x v="6"/>
    <x v="1"/>
  </r>
  <r>
    <n v="44744"/>
    <x v="663"/>
    <x v="1"/>
    <x v="0"/>
    <x v="2"/>
    <s v="Advantus Rolling Storage Box"/>
    <n v="68.599999999999994"/>
    <n v="5"/>
    <x v="1964"/>
    <x v="6"/>
    <x v="1"/>
  </r>
  <r>
    <n v="44744"/>
    <x v="663"/>
    <x v="1"/>
    <x v="0"/>
    <x v="2"/>
    <s v="Adjustable Depth Letter/Legal Cart"/>
    <n v="435.5"/>
    <n v="3"/>
    <x v="2062"/>
    <x v="6"/>
    <x v="1"/>
  </r>
  <r>
    <n v="44744"/>
    <x v="663"/>
    <x v="1"/>
    <x v="0"/>
    <x v="0"/>
    <s v="Adams Phone Message Book, Professional, 400 Message Capacity, 5 3/6Â” x 11Â”"/>
    <n v="11.17"/>
    <n v="2"/>
    <x v="949"/>
    <x v="6"/>
    <x v="1"/>
  </r>
  <r>
    <n v="44744"/>
    <x v="366"/>
    <x v="16"/>
    <x v="0"/>
    <x v="0"/>
    <s v="Easy-staple paper"/>
    <n v="11.95"/>
    <n v="3"/>
    <x v="1163"/>
    <x v="6"/>
    <x v="1"/>
  </r>
  <r>
    <n v="44744"/>
    <x v="366"/>
    <x v="16"/>
    <x v="0"/>
    <x v="0"/>
    <s v="Xerox 1957"/>
    <n v="15.55"/>
    <n v="3"/>
    <x v="1291"/>
    <x v="6"/>
    <x v="1"/>
  </r>
  <r>
    <n v="44744"/>
    <x v="50"/>
    <x v="20"/>
    <x v="0"/>
    <x v="0"/>
    <s v="Xerox 209"/>
    <n v="19.440000000000001"/>
    <n v="3"/>
    <x v="5"/>
    <x v="6"/>
    <x v="1"/>
  </r>
  <r>
    <n v="44744"/>
    <x v="410"/>
    <x v="25"/>
    <x v="2"/>
    <x v="6"/>
    <s v="Geemarc AmpliPOWER60"/>
    <n v="74.239999999999995"/>
    <n v="1"/>
    <x v="2063"/>
    <x v="6"/>
    <x v="1"/>
  </r>
  <r>
    <n v="44744"/>
    <x v="410"/>
    <x v="25"/>
    <x v="1"/>
    <x v="8"/>
    <s v="24-Hour Round Wall Clock"/>
    <n v="159.84"/>
    <n v="10"/>
    <x v="2064"/>
    <x v="6"/>
    <x v="1"/>
  </r>
  <r>
    <n v="44744"/>
    <x v="410"/>
    <x v="25"/>
    <x v="0"/>
    <x v="3"/>
    <s v="Wilson Jones Turn Tabs Binder Tool for Ring Binders"/>
    <n v="2.89"/>
    <n v="2"/>
    <x v="2065"/>
    <x v="6"/>
    <x v="1"/>
  </r>
  <r>
    <n v="44744"/>
    <x v="410"/>
    <x v="25"/>
    <x v="0"/>
    <x v="0"/>
    <s v="Things To Do Today Pad"/>
    <n v="9.39"/>
    <n v="2"/>
    <x v="1300"/>
    <x v="6"/>
    <x v="1"/>
  </r>
  <r>
    <n v="44745"/>
    <x v="664"/>
    <x v="5"/>
    <x v="1"/>
    <x v="5"/>
    <s v="Novimex High-Tech Fabric Mesh Task Chair"/>
    <n v="70.98"/>
    <n v="1"/>
    <x v="2066"/>
    <x v="6"/>
    <x v="1"/>
  </r>
  <r>
    <n v="44745"/>
    <x v="664"/>
    <x v="5"/>
    <x v="0"/>
    <x v="1"/>
    <s v="Dot Matrix Printer Tape Reel Labels, White, 5000/Box"/>
    <n v="294.93"/>
    <n v="3"/>
    <x v="2067"/>
    <x v="6"/>
    <x v="1"/>
  </r>
  <r>
    <n v="44745"/>
    <x v="486"/>
    <x v="2"/>
    <x v="1"/>
    <x v="8"/>
    <s v="Eldon Antistatic Chair Mats for Low to Medium Pile Carpets"/>
    <n v="168.46"/>
    <n v="2"/>
    <x v="2068"/>
    <x v="6"/>
    <x v="1"/>
  </r>
  <r>
    <n v="44745"/>
    <x v="486"/>
    <x v="2"/>
    <x v="0"/>
    <x v="0"/>
    <s v="Important Message Pads, 50 4-1/4 x 5-1/2 Forms per Pad"/>
    <n v="6.72"/>
    <n v="2"/>
    <x v="1967"/>
    <x v="6"/>
    <x v="1"/>
  </r>
  <r>
    <n v="44745"/>
    <x v="486"/>
    <x v="2"/>
    <x v="1"/>
    <x v="8"/>
    <s v="Howard Miller 12&quot; Round Wall Clock"/>
    <n v="282.89"/>
    <n v="9"/>
    <x v="2069"/>
    <x v="6"/>
    <x v="1"/>
  </r>
  <r>
    <n v="44746"/>
    <x v="576"/>
    <x v="21"/>
    <x v="2"/>
    <x v="6"/>
    <s v="Mitel MiVoice 5330e IP Phone"/>
    <n v="1099.96"/>
    <n v="4"/>
    <x v="2070"/>
    <x v="6"/>
    <x v="1"/>
  </r>
  <r>
    <n v="44746"/>
    <x v="525"/>
    <x v="20"/>
    <x v="0"/>
    <x v="4"/>
    <s v="Colorific Watercolor Pencils"/>
    <n v="15.48"/>
    <n v="3"/>
    <x v="630"/>
    <x v="6"/>
    <x v="1"/>
  </r>
  <r>
    <n v="44746"/>
    <x v="425"/>
    <x v="3"/>
    <x v="0"/>
    <x v="3"/>
    <s v="Avery Premier Heavy-Duty Binder with Round Locking Rings"/>
    <n v="22.85"/>
    <n v="2"/>
    <x v="2071"/>
    <x v="6"/>
    <x v="1"/>
  </r>
  <r>
    <n v="44747"/>
    <x v="302"/>
    <x v="25"/>
    <x v="1"/>
    <x v="8"/>
    <s v="Stackable Trays"/>
    <n v="4.93"/>
    <n v="2"/>
    <x v="1732"/>
    <x v="6"/>
    <x v="1"/>
  </r>
  <r>
    <n v="44747"/>
    <x v="302"/>
    <x v="25"/>
    <x v="0"/>
    <x v="3"/>
    <s v="Wilson Jones Turn Tabs Binder Tool for Ring Binders"/>
    <n v="7.23"/>
    <n v="5"/>
    <x v="2072"/>
    <x v="6"/>
    <x v="1"/>
  </r>
  <r>
    <n v="44747"/>
    <x v="665"/>
    <x v="14"/>
    <x v="0"/>
    <x v="3"/>
    <s v="Durable Pressboard Binders"/>
    <n v="19"/>
    <n v="5"/>
    <x v="2073"/>
    <x v="6"/>
    <x v="1"/>
  </r>
  <r>
    <n v="44747"/>
    <x v="363"/>
    <x v="2"/>
    <x v="2"/>
    <x v="9"/>
    <s v="HP Standard 104 key PS/2 Keyboard"/>
    <n v="34.799999999999997"/>
    <n v="3"/>
    <x v="614"/>
    <x v="6"/>
    <x v="1"/>
  </r>
  <r>
    <n v="44747"/>
    <x v="363"/>
    <x v="2"/>
    <x v="0"/>
    <x v="2"/>
    <s v="Acco Perma 4000 Stacking Storage Drawers"/>
    <n v="38.979999999999997"/>
    <n v="3"/>
    <x v="2074"/>
    <x v="6"/>
    <x v="1"/>
  </r>
  <r>
    <n v="44747"/>
    <x v="138"/>
    <x v="25"/>
    <x v="1"/>
    <x v="8"/>
    <s v="Stackable Trays"/>
    <n v="4.93"/>
    <n v="2"/>
    <x v="1732"/>
    <x v="6"/>
    <x v="1"/>
  </r>
  <r>
    <n v="44747"/>
    <x v="138"/>
    <x v="25"/>
    <x v="0"/>
    <x v="1"/>
    <s v="Avery 508"/>
    <n v="11.78"/>
    <n v="3"/>
    <x v="1"/>
    <x v="6"/>
    <x v="1"/>
  </r>
  <r>
    <n v="44748"/>
    <x v="666"/>
    <x v="20"/>
    <x v="1"/>
    <x v="8"/>
    <s v="G.E. Halogen Desk Lamp Bulbs"/>
    <n v="13.96"/>
    <n v="2"/>
    <x v="516"/>
    <x v="6"/>
    <x v="1"/>
  </r>
  <r>
    <n v="44748"/>
    <x v="666"/>
    <x v="20"/>
    <x v="1"/>
    <x v="8"/>
    <s v="Howard Miller 11-1/2&quot; Diameter Ridgewood Wall Clock"/>
    <n v="155.82"/>
    <n v="3"/>
    <x v="2075"/>
    <x v="6"/>
    <x v="1"/>
  </r>
  <r>
    <n v="44748"/>
    <x v="666"/>
    <x v="20"/>
    <x v="2"/>
    <x v="6"/>
    <s v="OtterBox Commuter Series Case - Samsung Galaxy S4"/>
    <n v="124.95"/>
    <n v="5"/>
    <x v="1114"/>
    <x v="6"/>
    <x v="1"/>
  </r>
  <r>
    <n v="44748"/>
    <x v="666"/>
    <x v="20"/>
    <x v="0"/>
    <x v="2"/>
    <s v="Iceberg Mobile Mega Data/Printer Cart"/>
    <n v="601.65"/>
    <n v="5"/>
    <x v="2076"/>
    <x v="6"/>
    <x v="1"/>
  </r>
  <r>
    <n v="44748"/>
    <x v="367"/>
    <x v="32"/>
    <x v="1"/>
    <x v="11"/>
    <s v="Bush Mission Pointe Library"/>
    <n v="301.95999999999998"/>
    <n v="2"/>
    <x v="2077"/>
    <x v="6"/>
    <x v="1"/>
  </r>
  <r>
    <n v="44748"/>
    <x v="605"/>
    <x v="3"/>
    <x v="1"/>
    <x v="5"/>
    <s v="Novimex Turbo Task Chair"/>
    <n v="170.35"/>
    <n v="3"/>
    <x v="2078"/>
    <x v="6"/>
    <x v="1"/>
  </r>
  <r>
    <n v="44748"/>
    <x v="302"/>
    <x v="23"/>
    <x v="0"/>
    <x v="4"/>
    <s v="Newell 333"/>
    <n v="11.12"/>
    <n v="4"/>
    <x v="1131"/>
    <x v="6"/>
    <x v="1"/>
  </r>
  <r>
    <n v="44750"/>
    <x v="406"/>
    <x v="0"/>
    <x v="0"/>
    <x v="0"/>
    <s v="Xerox 1990"/>
    <n v="21.12"/>
    <n v="5"/>
    <x v="2079"/>
    <x v="6"/>
    <x v="1"/>
  </r>
  <r>
    <n v="44751"/>
    <x v="595"/>
    <x v="32"/>
    <x v="0"/>
    <x v="0"/>
    <s v="Tops Wirebound Message Log Books"/>
    <n v="6.58"/>
    <n v="2"/>
    <x v="1344"/>
    <x v="6"/>
    <x v="1"/>
  </r>
  <r>
    <n v="44751"/>
    <x v="595"/>
    <x v="32"/>
    <x v="0"/>
    <x v="3"/>
    <s v="Wilson Jones Ledger-Size, Piano-Hinge Binder, 2&quot;, Blue"/>
    <n v="122.94"/>
    <n v="3"/>
    <x v="223"/>
    <x v="6"/>
    <x v="1"/>
  </r>
  <r>
    <n v="44751"/>
    <x v="185"/>
    <x v="15"/>
    <x v="0"/>
    <x v="4"/>
    <s v="Binney &amp; Smith inkTank Desk Highlighter, Chisel Tip, Yellow, 12/Box"/>
    <n v="5.16"/>
    <n v="3"/>
    <x v="243"/>
    <x v="6"/>
    <x v="1"/>
  </r>
  <r>
    <n v="44751"/>
    <x v="542"/>
    <x v="36"/>
    <x v="0"/>
    <x v="7"/>
    <s v="Advantus Map Pennant Flags and Round Head Tacks"/>
    <n v="15.8"/>
    <n v="4"/>
    <x v="2080"/>
    <x v="6"/>
    <x v="1"/>
  </r>
  <r>
    <n v="44751"/>
    <x v="542"/>
    <x v="36"/>
    <x v="2"/>
    <x v="15"/>
    <s v="Fellowes Powershred HS-440 4-Sheet High Security Shredder"/>
    <n v="464.97"/>
    <n v="3"/>
    <x v="2081"/>
    <x v="6"/>
    <x v="1"/>
  </r>
  <r>
    <n v="44751"/>
    <x v="542"/>
    <x v="36"/>
    <x v="1"/>
    <x v="8"/>
    <s v="Eldon ClusterMat Chair Mat with Cordless Antistatic Protection"/>
    <n v="181.96"/>
    <n v="2"/>
    <x v="2082"/>
    <x v="6"/>
    <x v="1"/>
  </r>
  <r>
    <n v="44751"/>
    <x v="542"/>
    <x v="36"/>
    <x v="0"/>
    <x v="1"/>
    <s v="Avery 05222 Permanent Self-Adhesive File Folder Labels for Typewriters, on Rolls, White, 250/Roll"/>
    <n v="12.39"/>
    <n v="3"/>
    <x v="1974"/>
    <x v="6"/>
    <x v="1"/>
  </r>
  <r>
    <n v="44751"/>
    <x v="542"/>
    <x v="36"/>
    <x v="0"/>
    <x v="3"/>
    <s v="Performers Binder/Pad Holder, Black"/>
    <n v="84.09"/>
    <n v="3"/>
    <x v="2083"/>
    <x v="6"/>
    <x v="1"/>
  </r>
  <r>
    <n v="44751"/>
    <x v="542"/>
    <x v="36"/>
    <x v="0"/>
    <x v="4"/>
    <s v="Prismacolor Color Pencil Set"/>
    <n v="79.36"/>
    <n v="4"/>
    <x v="2084"/>
    <x v="6"/>
    <x v="1"/>
  </r>
  <r>
    <n v="44751"/>
    <x v="542"/>
    <x v="36"/>
    <x v="0"/>
    <x v="3"/>
    <s v="GBC Recycled VeloBinder Covers"/>
    <n v="153.36000000000001"/>
    <n v="9"/>
    <x v="2085"/>
    <x v="6"/>
    <x v="1"/>
  </r>
  <r>
    <n v="44751"/>
    <x v="542"/>
    <x v="36"/>
    <x v="0"/>
    <x v="3"/>
    <s v="Wilson Jones Active Use Binders"/>
    <n v="43.68"/>
    <n v="6"/>
    <x v="2086"/>
    <x v="6"/>
    <x v="1"/>
  </r>
  <r>
    <n v="44751"/>
    <x v="542"/>
    <x v="36"/>
    <x v="0"/>
    <x v="2"/>
    <s v="Project Tote Personal File"/>
    <n v="98.21"/>
    <n v="7"/>
    <x v="2087"/>
    <x v="6"/>
    <x v="1"/>
  </r>
  <r>
    <n v="44751"/>
    <x v="550"/>
    <x v="2"/>
    <x v="2"/>
    <x v="6"/>
    <s v="Panasonic KX-TG9541B DECT 6.0 Digital 2-Line Expandable Cordless Phone With Digital Answering System"/>
    <n v="269.98"/>
    <n v="3"/>
    <x v="2088"/>
    <x v="6"/>
    <x v="1"/>
  </r>
  <r>
    <n v="44751"/>
    <x v="148"/>
    <x v="0"/>
    <x v="0"/>
    <x v="12"/>
    <s v="Acco 7-Outlet Masterpiece Power Center, Wihtout Fax/Phone Line Protection"/>
    <n v="48.63"/>
    <n v="2"/>
    <x v="2089"/>
    <x v="6"/>
    <x v="1"/>
  </r>
  <r>
    <n v="44752"/>
    <x v="281"/>
    <x v="12"/>
    <x v="0"/>
    <x v="3"/>
    <s v="Accohide Poly Flexible Ring Binders"/>
    <n v="3.37"/>
    <n v="3"/>
    <x v="2090"/>
    <x v="6"/>
    <x v="1"/>
  </r>
  <r>
    <n v="44752"/>
    <x v="30"/>
    <x v="3"/>
    <x v="0"/>
    <x v="3"/>
    <s v="Large Capacity Hanging Post Binders"/>
    <n v="39.92"/>
    <n v="2"/>
    <x v="2091"/>
    <x v="6"/>
    <x v="1"/>
  </r>
  <r>
    <n v="44753"/>
    <x v="584"/>
    <x v="2"/>
    <x v="1"/>
    <x v="8"/>
    <s v="Howard Miller 13-3/4&quot; Diameter Brushed Chrome Round Wall Clock"/>
    <n v="289.8"/>
    <n v="7"/>
    <x v="2092"/>
    <x v="6"/>
    <x v="1"/>
  </r>
  <r>
    <n v="44753"/>
    <x v="584"/>
    <x v="2"/>
    <x v="0"/>
    <x v="3"/>
    <s v="Acco Suede Grain Vinyl Round Ring Binder"/>
    <n v="2.5"/>
    <n v="3"/>
    <x v="938"/>
    <x v="6"/>
    <x v="1"/>
  </r>
  <r>
    <n v="44753"/>
    <x v="584"/>
    <x v="2"/>
    <x v="0"/>
    <x v="3"/>
    <s v="3M Organizer Strips"/>
    <n v="6.48"/>
    <n v="4"/>
    <x v="2093"/>
    <x v="6"/>
    <x v="1"/>
  </r>
  <r>
    <n v="44753"/>
    <x v="584"/>
    <x v="2"/>
    <x v="1"/>
    <x v="5"/>
    <s v="Novimex Fabric Task Chair"/>
    <n v="341.49"/>
    <n v="8"/>
    <x v="2094"/>
    <x v="6"/>
    <x v="1"/>
  </r>
  <r>
    <n v="44753"/>
    <x v="584"/>
    <x v="2"/>
    <x v="0"/>
    <x v="4"/>
    <s v="Newell 333"/>
    <n v="11.12"/>
    <n v="5"/>
    <x v="308"/>
    <x v="6"/>
    <x v="1"/>
  </r>
  <r>
    <n v="44753"/>
    <x v="584"/>
    <x v="2"/>
    <x v="1"/>
    <x v="8"/>
    <s v="Master Big Foot Doorstop, Beige"/>
    <n v="25.34"/>
    <n v="6"/>
    <x v="994"/>
    <x v="6"/>
    <x v="1"/>
  </r>
  <r>
    <n v="44753"/>
    <x v="59"/>
    <x v="22"/>
    <x v="0"/>
    <x v="0"/>
    <s v="Xerox 1896"/>
    <n v="29.97"/>
    <n v="3"/>
    <x v="1066"/>
    <x v="6"/>
    <x v="1"/>
  </r>
  <r>
    <n v="44753"/>
    <x v="59"/>
    <x v="22"/>
    <x v="0"/>
    <x v="3"/>
    <s v="Wilson Jones Ledger-Size, Piano-Hinge Binder, 2&quot;, Blue"/>
    <n v="98.35"/>
    <n v="3"/>
    <x v="2095"/>
    <x v="6"/>
    <x v="1"/>
  </r>
  <r>
    <n v="44753"/>
    <x v="477"/>
    <x v="7"/>
    <x v="1"/>
    <x v="13"/>
    <s v="Lesro Sheffield Collection Coffee Table, End Table, Center Table, Corner Table"/>
    <n v="199.84"/>
    <n v="4"/>
    <x v="2096"/>
    <x v="6"/>
    <x v="1"/>
  </r>
  <r>
    <n v="44753"/>
    <x v="477"/>
    <x v="7"/>
    <x v="2"/>
    <x v="6"/>
    <s v="Wilson Electronics DB Pro Signal Booster"/>
    <n v="716"/>
    <n v="2"/>
    <x v="2097"/>
    <x v="6"/>
    <x v="1"/>
  </r>
  <r>
    <n v="44753"/>
    <x v="477"/>
    <x v="7"/>
    <x v="0"/>
    <x v="3"/>
    <s v="Tuf-Vin Binders"/>
    <n v="221.06"/>
    <n v="7"/>
    <x v="2098"/>
    <x v="6"/>
    <x v="1"/>
  </r>
  <r>
    <n v="44754"/>
    <x v="556"/>
    <x v="1"/>
    <x v="1"/>
    <x v="5"/>
    <s v="Global Push Button Manager's Chair, Indigo"/>
    <n v="383.61"/>
    <n v="9"/>
    <x v="2099"/>
    <x v="6"/>
    <x v="1"/>
  </r>
  <r>
    <n v="44754"/>
    <x v="556"/>
    <x v="1"/>
    <x v="2"/>
    <x v="6"/>
    <s v="Geemarc AmpliPOWER60"/>
    <n v="148.47999999999999"/>
    <n v="2"/>
    <x v="1269"/>
    <x v="6"/>
    <x v="1"/>
  </r>
  <r>
    <n v="44754"/>
    <x v="556"/>
    <x v="1"/>
    <x v="2"/>
    <x v="6"/>
    <s v="Vtech CS6719"/>
    <n v="537.54"/>
    <n v="7"/>
    <x v="597"/>
    <x v="6"/>
    <x v="1"/>
  </r>
  <r>
    <n v="44754"/>
    <x v="556"/>
    <x v="1"/>
    <x v="0"/>
    <x v="3"/>
    <s v="Tuff Stuff Recycled Round Ring Binders"/>
    <n v="1.93"/>
    <n v="2"/>
    <x v="2100"/>
    <x v="6"/>
    <x v="1"/>
  </r>
  <r>
    <n v="44754"/>
    <x v="556"/>
    <x v="1"/>
    <x v="0"/>
    <x v="4"/>
    <s v="Newell 32"/>
    <n v="6.91"/>
    <n v="3"/>
    <x v="2101"/>
    <x v="6"/>
    <x v="1"/>
  </r>
  <r>
    <n v="44754"/>
    <x v="556"/>
    <x v="1"/>
    <x v="1"/>
    <x v="8"/>
    <s v="Floodlight Indoor Halogen Bulbs, 1 Bulb per Pack, 60 Watts"/>
    <n v="7.76"/>
    <n v="1"/>
    <x v="2102"/>
    <x v="6"/>
    <x v="1"/>
  </r>
  <r>
    <n v="44754"/>
    <x v="556"/>
    <x v="1"/>
    <x v="2"/>
    <x v="6"/>
    <s v="GE 2-Jack Phone Line Splitter"/>
    <n v="659.17"/>
    <n v="4"/>
    <x v="2103"/>
    <x v="6"/>
    <x v="1"/>
  </r>
  <r>
    <n v="44754"/>
    <x v="667"/>
    <x v="0"/>
    <x v="2"/>
    <x v="6"/>
    <s v="Vtech CS6719"/>
    <n v="307.17"/>
    <n v="4"/>
    <x v="2104"/>
    <x v="6"/>
    <x v="1"/>
  </r>
  <r>
    <n v="44755"/>
    <x v="11"/>
    <x v="20"/>
    <x v="0"/>
    <x v="3"/>
    <s v="GBC Plastic Binding Combs"/>
    <n v="11.81"/>
    <n v="2"/>
    <x v="1180"/>
    <x v="6"/>
    <x v="1"/>
  </r>
  <r>
    <n v="44755"/>
    <x v="11"/>
    <x v="20"/>
    <x v="1"/>
    <x v="5"/>
    <s v="Safco Contoured Stacking Chairs"/>
    <n v="1931.04"/>
    <n v="9"/>
    <x v="2105"/>
    <x v="6"/>
    <x v="1"/>
  </r>
  <r>
    <n v="44755"/>
    <x v="11"/>
    <x v="20"/>
    <x v="0"/>
    <x v="0"/>
    <s v="Easy-staple paper"/>
    <n v="9.9600000000000009"/>
    <n v="2"/>
    <x v="658"/>
    <x v="6"/>
    <x v="1"/>
  </r>
  <r>
    <n v="44755"/>
    <x v="421"/>
    <x v="0"/>
    <x v="0"/>
    <x v="3"/>
    <s v="Wilson Jones Heavy-Duty Casebound Ring Binders with Metal Hinges"/>
    <n v="41.57"/>
    <n v="6"/>
    <x v="2106"/>
    <x v="6"/>
    <x v="1"/>
  </r>
  <r>
    <n v="44755"/>
    <x v="37"/>
    <x v="4"/>
    <x v="0"/>
    <x v="0"/>
    <s v="Xerox 1931"/>
    <n v="38.880000000000003"/>
    <n v="6"/>
    <x v="2107"/>
    <x v="6"/>
    <x v="1"/>
  </r>
  <r>
    <n v="44756"/>
    <x v="614"/>
    <x v="12"/>
    <x v="0"/>
    <x v="2"/>
    <s v="SAFCO Boltless Steel Shelving"/>
    <n v="272.74"/>
    <n v="3"/>
    <x v="2"/>
    <x v="6"/>
    <x v="1"/>
  </r>
  <r>
    <n v="44756"/>
    <x v="614"/>
    <x v="12"/>
    <x v="0"/>
    <x v="0"/>
    <s v="Xerox 1899"/>
    <n v="18.5"/>
    <n v="4"/>
    <x v="516"/>
    <x v="6"/>
    <x v="1"/>
  </r>
  <r>
    <n v="44756"/>
    <x v="614"/>
    <x v="12"/>
    <x v="1"/>
    <x v="5"/>
    <s v="SAFCO Arco Folding Chair"/>
    <n v="441.92"/>
    <n v="2"/>
    <x v="2108"/>
    <x v="6"/>
    <x v="1"/>
  </r>
  <r>
    <n v="44756"/>
    <x v="614"/>
    <x v="12"/>
    <x v="1"/>
    <x v="11"/>
    <s v="Hon Metal Bookcases, Black"/>
    <n v="127.76"/>
    <n v="6"/>
    <x v="2109"/>
    <x v="6"/>
    <x v="1"/>
  </r>
  <r>
    <n v="44758"/>
    <x v="654"/>
    <x v="3"/>
    <x v="1"/>
    <x v="5"/>
    <s v="Hon 2090 Â“Pillow SoftÂ” Series Mid Back Swivel/Tilt Chairs"/>
    <n v="1348.7"/>
    <n v="6"/>
    <x v="2110"/>
    <x v="6"/>
    <x v="1"/>
  </r>
  <r>
    <n v="44758"/>
    <x v="654"/>
    <x v="3"/>
    <x v="1"/>
    <x v="5"/>
    <s v="Hon 4070 Series Pagoda Armless Upholstered Stacking Chairs"/>
    <n v="700.15"/>
    <n v="3"/>
    <x v="2111"/>
    <x v="6"/>
    <x v="1"/>
  </r>
  <r>
    <n v="44758"/>
    <x v="124"/>
    <x v="20"/>
    <x v="0"/>
    <x v="0"/>
    <s v="Petty Cash Envelope"/>
    <n v="80.88"/>
    <n v="3"/>
    <x v="2112"/>
    <x v="6"/>
    <x v="1"/>
  </r>
  <r>
    <n v="44758"/>
    <x v="124"/>
    <x v="20"/>
    <x v="2"/>
    <x v="9"/>
    <s v="Kensington Orbit Wireless Mobile Trackball for PC and Mac"/>
    <n v="599.9"/>
    <n v="10"/>
    <x v="2113"/>
    <x v="6"/>
    <x v="1"/>
  </r>
  <r>
    <n v="44758"/>
    <x v="588"/>
    <x v="36"/>
    <x v="1"/>
    <x v="5"/>
    <s v="Global Manager's Adjustable Task Chair, Storm"/>
    <n v="150.97999999999999"/>
    <n v="1"/>
    <x v="2114"/>
    <x v="6"/>
    <x v="1"/>
  </r>
  <r>
    <n v="44758"/>
    <x v="588"/>
    <x v="36"/>
    <x v="0"/>
    <x v="10"/>
    <s v="White Envelopes, White Envelopes with Clear Poly Window"/>
    <n v="137.25"/>
    <n v="9"/>
    <x v="2115"/>
    <x v="6"/>
    <x v="1"/>
  </r>
  <r>
    <n v="44758"/>
    <x v="588"/>
    <x v="36"/>
    <x v="0"/>
    <x v="7"/>
    <s v="Acco Banker's Clasps, 5 3/4&quot;-Long"/>
    <n v="11.52"/>
    <n v="4"/>
    <x v="2116"/>
    <x v="6"/>
    <x v="1"/>
  </r>
  <r>
    <n v="44759"/>
    <x v="401"/>
    <x v="3"/>
    <x v="1"/>
    <x v="11"/>
    <s v="Sauder Camden County Collection Libraries, Planked Cherry Finish"/>
    <n v="195.47"/>
    <n v="2"/>
    <x v="2117"/>
    <x v="6"/>
    <x v="1"/>
  </r>
  <r>
    <n v="44759"/>
    <x v="634"/>
    <x v="16"/>
    <x v="1"/>
    <x v="11"/>
    <s v="Bush Westfield Collection Bookcases, Medium Cherry Finish"/>
    <n v="231.92"/>
    <n v="5"/>
    <x v="77"/>
    <x v="6"/>
    <x v="1"/>
  </r>
  <r>
    <n v="44759"/>
    <x v="668"/>
    <x v="0"/>
    <x v="0"/>
    <x v="1"/>
    <s v="Avery 479"/>
    <n v="6.26"/>
    <n v="3"/>
    <x v="2118"/>
    <x v="6"/>
    <x v="1"/>
  </r>
  <r>
    <n v="44759"/>
    <x v="668"/>
    <x v="0"/>
    <x v="0"/>
    <x v="7"/>
    <s v="Advantus T-Pin Paper Clips"/>
    <n v="14.43"/>
    <n v="4"/>
    <x v="2119"/>
    <x v="6"/>
    <x v="1"/>
  </r>
  <r>
    <n v="44760"/>
    <x v="334"/>
    <x v="3"/>
    <x v="2"/>
    <x v="9"/>
    <s v="Logitech G35 7.1-Channel Surround Sound Headset"/>
    <n v="519.96"/>
    <n v="4"/>
    <x v="2120"/>
    <x v="6"/>
    <x v="1"/>
  </r>
  <r>
    <n v="44760"/>
    <x v="385"/>
    <x v="20"/>
    <x v="0"/>
    <x v="4"/>
    <s v="Newell 32"/>
    <n v="5.76"/>
    <n v="2"/>
    <x v="2121"/>
    <x v="6"/>
    <x v="1"/>
  </r>
  <r>
    <n v="44760"/>
    <x v="137"/>
    <x v="20"/>
    <x v="0"/>
    <x v="3"/>
    <s v="Economy Binders"/>
    <n v="3.33"/>
    <n v="2"/>
    <x v="968"/>
    <x v="6"/>
    <x v="1"/>
  </r>
  <r>
    <n v="44760"/>
    <x v="137"/>
    <x v="20"/>
    <x v="2"/>
    <x v="6"/>
    <s v="Plantronics CS 50-USB -Â headsetÂ - Convertible, Monaural"/>
    <n v="135.99"/>
    <n v="1"/>
    <x v="753"/>
    <x v="6"/>
    <x v="1"/>
  </r>
  <r>
    <n v="44760"/>
    <x v="137"/>
    <x v="20"/>
    <x v="1"/>
    <x v="8"/>
    <s v="Eldon Expressions Wood Desk Accessories, Oak"/>
    <n v="7.38"/>
    <n v="1"/>
    <x v="959"/>
    <x v="6"/>
    <x v="1"/>
  </r>
  <r>
    <n v="44761"/>
    <x v="669"/>
    <x v="12"/>
    <x v="0"/>
    <x v="3"/>
    <s v="Wilson Jones DublLock D-Ring Binders"/>
    <n v="2.0299999999999998"/>
    <n v="1"/>
    <x v="2122"/>
    <x v="6"/>
    <x v="1"/>
  </r>
  <r>
    <n v="44762"/>
    <x v="670"/>
    <x v="18"/>
    <x v="0"/>
    <x v="2"/>
    <s v="Multi-Use Personal File Cart and Caster Set, Three Stacking Bins"/>
    <n v="34.76"/>
    <n v="1"/>
    <x v="2123"/>
    <x v="6"/>
    <x v="1"/>
  </r>
  <r>
    <n v="44762"/>
    <x v="670"/>
    <x v="18"/>
    <x v="2"/>
    <x v="9"/>
    <s v="Imation Bio 8GB USBÂ Flash Drive ImationÂ Corp"/>
    <n v="831.2"/>
    <n v="5"/>
    <x v="743"/>
    <x v="6"/>
    <x v="1"/>
  </r>
  <r>
    <n v="44762"/>
    <x v="670"/>
    <x v="18"/>
    <x v="0"/>
    <x v="0"/>
    <s v="Xerox 1981"/>
    <n v="26.4"/>
    <n v="5"/>
    <x v="551"/>
    <x v="6"/>
    <x v="1"/>
  </r>
  <r>
    <n v="44762"/>
    <x v="670"/>
    <x v="18"/>
    <x v="0"/>
    <x v="10"/>
    <s v="White Envelopes, White Envelopes with Clear Poly Window"/>
    <n v="106.75"/>
    <n v="7"/>
    <x v="2124"/>
    <x v="6"/>
    <x v="1"/>
  </r>
  <r>
    <n v="44762"/>
    <x v="670"/>
    <x v="18"/>
    <x v="0"/>
    <x v="0"/>
    <s v="Tops White Computer Printout Paper"/>
    <n v="97.82"/>
    <n v="2"/>
    <x v="146"/>
    <x v="6"/>
    <x v="1"/>
  </r>
  <r>
    <n v="44762"/>
    <x v="670"/>
    <x v="18"/>
    <x v="0"/>
    <x v="2"/>
    <s v="Eldon Portable Mobile Manager"/>
    <n v="141.4"/>
    <n v="5"/>
    <x v="1167"/>
    <x v="6"/>
    <x v="1"/>
  </r>
  <r>
    <n v="44762"/>
    <x v="277"/>
    <x v="1"/>
    <x v="0"/>
    <x v="3"/>
    <s v="Avery Durable Binders"/>
    <n v="2.88"/>
    <n v="5"/>
    <x v="2125"/>
    <x v="6"/>
    <x v="1"/>
  </r>
  <r>
    <n v="44762"/>
    <x v="277"/>
    <x v="1"/>
    <x v="1"/>
    <x v="11"/>
    <s v="O'Sullivan Cherrywood Estates Traditional Barrister Bookcase"/>
    <n v="384.94"/>
    <n v="4"/>
    <x v="2126"/>
    <x v="6"/>
    <x v="1"/>
  </r>
  <r>
    <n v="44762"/>
    <x v="277"/>
    <x v="1"/>
    <x v="2"/>
    <x v="6"/>
    <s v="Pyle PMP37LED"/>
    <n v="153.58000000000001"/>
    <n v="2"/>
    <x v="910"/>
    <x v="6"/>
    <x v="1"/>
  </r>
  <r>
    <n v="44762"/>
    <x v="277"/>
    <x v="1"/>
    <x v="1"/>
    <x v="11"/>
    <s v="Atlantic Metals Mobile 3-Shelf Bookcases, Custom Colors"/>
    <n v="913.43"/>
    <n v="5"/>
    <x v="2127"/>
    <x v="6"/>
    <x v="1"/>
  </r>
  <r>
    <n v="44765"/>
    <x v="128"/>
    <x v="20"/>
    <x v="0"/>
    <x v="12"/>
    <s v="Belkin F5C206VTEL 6 Outlet Surge"/>
    <n v="68.94"/>
    <n v="3"/>
    <x v="2128"/>
    <x v="6"/>
    <x v="1"/>
  </r>
  <r>
    <n v="44765"/>
    <x v="128"/>
    <x v="20"/>
    <x v="1"/>
    <x v="8"/>
    <s v="Howard Miller 13&quot; Diameter Pewter Finish Round Wall Clock"/>
    <n v="128.82"/>
    <n v="3"/>
    <x v="307"/>
    <x v="6"/>
    <x v="1"/>
  </r>
  <r>
    <n v="44765"/>
    <x v="7"/>
    <x v="20"/>
    <x v="0"/>
    <x v="3"/>
    <s v="Acco 3-Hole Punch"/>
    <n v="10.51"/>
    <n v="3"/>
    <x v="1918"/>
    <x v="6"/>
    <x v="1"/>
  </r>
  <r>
    <n v="44766"/>
    <x v="301"/>
    <x v="5"/>
    <x v="1"/>
    <x v="8"/>
    <s v="Eldon Expressions Wood and Plastic Desk Accessories, Cherry Wood"/>
    <n v="20.94"/>
    <n v="3"/>
    <x v="102"/>
    <x v="6"/>
    <x v="1"/>
  </r>
  <r>
    <n v="44766"/>
    <x v="301"/>
    <x v="5"/>
    <x v="0"/>
    <x v="3"/>
    <s v="GBC Prepunched Paper, 19-Hole, for Binding Systems, 24-lb"/>
    <n v="135.09"/>
    <n v="9"/>
    <x v="615"/>
    <x v="6"/>
    <x v="1"/>
  </r>
  <r>
    <n v="44766"/>
    <x v="301"/>
    <x v="5"/>
    <x v="2"/>
    <x v="9"/>
    <s v="Anker Ultra-Slim Mini Bluetooth 3.0 Wireless Keyboard"/>
    <n v="279.86"/>
    <n v="14"/>
    <x v="2129"/>
    <x v="6"/>
    <x v="1"/>
  </r>
  <r>
    <n v="44766"/>
    <x v="301"/>
    <x v="5"/>
    <x v="0"/>
    <x v="3"/>
    <s v="GBC Prepunched Paper, 19-Hole, for Binding Systems, 24-lb"/>
    <n v="90.06"/>
    <n v="6"/>
    <x v="1542"/>
    <x v="6"/>
    <x v="1"/>
  </r>
  <r>
    <n v="44767"/>
    <x v="237"/>
    <x v="2"/>
    <x v="0"/>
    <x v="3"/>
    <s v="GBC Premium Transparent Covers with Diagonal Lined Pattern"/>
    <n v="25.18"/>
    <n v="4"/>
    <x v="2130"/>
    <x v="6"/>
    <x v="1"/>
  </r>
  <r>
    <n v="44767"/>
    <x v="289"/>
    <x v="22"/>
    <x v="0"/>
    <x v="7"/>
    <s v="Plymouth Boxed Rubber Bands by Plymouth"/>
    <n v="9.42"/>
    <n v="2"/>
    <x v="1041"/>
    <x v="6"/>
    <x v="1"/>
  </r>
  <r>
    <n v="44767"/>
    <x v="289"/>
    <x v="22"/>
    <x v="0"/>
    <x v="0"/>
    <s v="Xerox 228"/>
    <n v="12.96"/>
    <n v="2"/>
    <x v="113"/>
    <x v="6"/>
    <x v="1"/>
  </r>
  <r>
    <n v="44767"/>
    <x v="289"/>
    <x v="22"/>
    <x v="1"/>
    <x v="11"/>
    <s v="Sauder Forest Hills Library, Woodland Oak Finish"/>
    <n v="704.9"/>
    <n v="5"/>
    <x v="2131"/>
    <x v="6"/>
    <x v="1"/>
  </r>
  <r>
    <n v="44767"/>
    <x v="289"/>
    <x v="22"/>
    <x v="1"/>
    <x v="5"/>
    <s v="Office Star - Professional Matrix Back Chair with 2-to-1 Synchro Tilt and Mesh Fabric Seat"/>
    <n v="561.57000000000005"/>
    <n v="2"/>
    <x v="2132"/>
    <x v="6"/>
    <x v="1"/>
  </r>
  <r>
    <n v="44767"/>
    <x v="598"/>
    <x v="33"/>
    <x v="0"/>
    <x v="10"/>
    <s v="White Business Envelopes with Contemporary Seam, Recycled White Business Envelopes"/>
    <n v="98.46"/>
    <n v="9"/>
    <x v="2133"/>
    <x v="6"/>
    <x v="1"/>
  </r>
  <r>
    <n v="44767"/>
    <x v="598"/>
    <x v="33"/>
    <x v="1"/>
    <x v="13"/>
    <s v="Bevis Round Conference Table Top, X-Base"/>
    <n v="358.58"/>
    <n v="2"/>
    <x v="2134"/>
    <x v="6"/>
    <x v="1"/>
  </r>
  <r>
    <n v="44767"/>
    <x v="446"/>
    <x v="3"/>
    <x v="2"/>
    <x v="6"/>
    <s v="Motorola L703CM"/>
    <n v="623.96"/>
    <n v="5"/>
    <x v="1874"/>
    <x v="6"/>
    <x v="1"/>
  </r>
  <r>
    <n v="44768"/>
    <x v="273"/>
    <x v="12"/>
    <x v="1"/>
    <x v="13"/>
    <s v="Bevis Boat-Shaped Conference Table"/>
    <n v="393.17"/>
    <n v="3"/>
    <x v="2135"/>
    <x v="6"/>
    <x v="1"/>
  </r>
  <r>
    <n v="44768"/>
    <x v="454"/>
    <x v="3"/>
    <x v="0"/>
    <x v="10"/>
    <s v="Airmail Envelopes"/>
    <n v="167.86"/>
    <n v="2"/>
    <x v="2136"/>
    <x v="6"/>
    <x v="1"/>
  </r>
  <r>
    <n v="44768"/>
    <x v="244"/>
    <x v="3"/>
    <x v="0"/>
    <x v="3"/>
    <s v="Acco Pressboard Covers with Storage Hooks, 9 1/2&quot; x 11&quot;, Executive Red"/>
    <n v="9.14"/>
    <n v="3"/>
    <x v="2137"/>
    <x v="6"/>
    <x v="1"/>
  </r>
  <r>
    <n v="44768"/>
    <x v="244"/>
    <x v="3"/>
    <x v="0"/>
    <x v="3"/>
    <s v="Tuff Stuff Recycled Round Ring Binders"/>
    <n v="23.14"/>
    <n v="6"/>
    <x v="332"/>
    <x v="6"/>
    <x v="1"/>
  </r>
  <r>
    <n v="44768"/>
    <x v="244"/>
    <x v="3"/>
    <x v="0"/>
    <x v="4"/>
    <s v="Newell 334"/>
    <n v="99.2"/>
    <n v="5"/>
    <x v="681"/>
    <x v="6"/>
    <x v="1"/>
  </r>
  <r>
    <n v="44768"/>
    <x v="38"/>
    <x v="12"/>
    <x v="1"/>
    <x v="5"/>
    <s v="Office Star - Contemporary Task Swivel Chair"/>
    <n v="266.35000000000002"/>
    <n v="3"/>
    <x v="1260"/>
    <x v="6"/>
    <x v="1"/>
  </r>
  <r>
    <n v="44768"/>
    <x v="83"/>
    <x v="2"/>
    <x v="0"/>
    <x v="0"/>
    <s v="Eureka Recycled Copy Paper 8 1/2&quot; x 11&quot;, Ream"/>
    <n v="10.37"/>
    <n v="2"/>
    <x v="316"/>
    <x v="6"/>
    <x v="1"/>
  </r>
  <r>
    <n v="44769"/>
    <x v="190"/>
    <x v="5"/>
    <x v="2"/>
    <x v="6"/>
    <s v="Mediabridge Sport Armband iPhone 5s"/>
    <n v="29.97"/>
    <n v="3"/>
    <x v="1481"/>
    <x v="6"/>
    <x v="1"/>
  </r>
  <r>
    <n v="44772"/>
    <x v="454"/>
    <x v="3"/>
    <x v="2"/>
    <x v="9"/>
    <s v="Logitech 910-002974 M325 Wireless Mouse for Web Scrolling"/>
    <n v="209.93"/>
    <n v="7"/>
    <x v="2138"/>
    <x v="6"/>
    <x v="1"/>
  </r>
  <r>
    <n v="44772"/>
    <x v="454"/>
    <x v="3"/>
    <x v="1"/>
    <x v="8"/>
    <s v="Regeneration Desk Collection"/>
    <n v="5.28"/>
    <n v="3"/>
    <x v="2139"/>
    <x v="6"/>
    <x v="1"/>
  </r>
  <r>
    <n v="44772"/>
    <x v="454"/>
    <x v="3"/>
    <x v="0"/>
    <x v="3"/>
    <s v="Presstex Flexible Ring Binders"/>
    <n v="10.92"/>
    <n v="3"/>
    <x v="60"/>
    <x v="6"/>
    <x v="1"/>
  </r>
  <r>
    <n v="44772"/>
    <x v="369"/>
    <x v="0"/>
    <x v="0"/>
    <x v="2"/>
    <s v="Eldon ProFile File 'N Store Portable File Tub Letter/Legal Size Black"/>
    <n v="61.79"/>
    <n v="4"/>
    <x v="2140"/>
    <x v="6"/>
    <x v="1"/>
  </r>
  <r>
    <n v="44772"/>
    <x v="292"/>
    <x v="28"/>
    <x v="1"/>
    <x v="5"/>
    <s v="Global Stack Chair without Arms, Black"/>
    <n v="155.88"/>
    <n v="6"/>
    <x v="2141"/>
    <x v="6"/>
    <x v="1"/>
  </r>
  <r>
    <n v="44773"/>
    <x v="356"/>
    <x v="20"/>
    <x v="2"/>
    <x v="9"/>
    <s v="Plantronics CS510 - Over-the-Head monaural Wireless Headset System"/>
    <n v="2309.65"/>
    <n v="7"/>
    <x v="2142"/>
    <x v="6"/>
    <x v="1"/>
  </r>
  <r>
    <n v="44773"/>
    <x v="356"/>
    <x v="20"/>
    <x v="1"/>
    <x v="13"/>
    <s v="Bevis Round Bullnose 29&quot; High Table Top"/>
    <n v="1090.78"/>
    <n v="7"/>
    <x v="2143"/>
    <x v="6"/>
    <x v="1"/>
  </r>
  <r>
    <n v="44773"/>
    <x v="356"/>
    <x v="20"/>
    <x v="0"/>
    <x v="0"/>
    <s v="Xerox 212"/>
    <n v="19.440000000000001"/>
    <n v="3"/>
    <x v="5"/>
    <x v="6"/>
    <x v="1"/>
  </r>
  <r>
    <n v="44773"/>
    <x v="444"/>
    <x v="29"/>
    <x v="2"/>
    <x v="9"/>
    <s v="Microsoft Sculpt Comfort Mouse"/>
    <n v="239.7"/>
    <n v="6"/>
    <x v="2144"/>
    <x v="6"/>
    <x v="1"/>
  </r>
  <r>
    <n v="44773"/>
    <x v="571"/>
    <x v="24"/>
    <x v="0"/>
    <x v="14"/>
    <s v="Acme 10&quot; Easy Grip Assistive Scissors"/>
    <n v="52.59"/>
    <n v="3"/>
    <x v="2145"/>
    <x v="6"/>
    <x v="1"/>
  </r>
  <r>
    <n v="44774"/>
    <x v="142"/>
    <x v="3"/>
    <x v="0"/>
    <x v="4"/>
    <s v="Prang Dustless Chalk Sticks"/>
    <n v="6.72"/>
    <n v="4"/>
    <x v="1220"/>
    <x v="7"/>
    <x v="1"/>
  </r>
  <r>
    <n v="44774"/>
    <x v="142"/>
    <x v="3"/>
    <x v="1"/>
    <x v="13"/>
    <s v="Hon 2111 Invitation Series Corner Table"/>
    <n v="1004.98"/>
    <n v="6"/>
    <x v="2146"/>
    <x v="7"/>
    <x v="1"/>
  </r>
  <r>
    <n v="44775"/>
    <x v="261"/>
    <x v="22"/>
    <x v="0"/>
    <x v="3"/>
    <s v="Ibico Presentation Index for Binding Systems"/>
    <n v="6.37"/>
    <n v="2"/>
    <x v="2147"/>
    <x v="7"/>
    <x v="1"/>
  </r>
  <r>
    <n v="44775"/>
    <x v="261"/>
    <x v="22"/>
    <x v="2"/>
    <x v="15"/>
    <s v="Okidata C331dn Printer"/>
    <n v="558.4"/>
    <n v="2"/>
    <x v="2148"/>
    <x v="7"/>
    <x v="1"/>
  </r>
  <r>
    <n v="44775"/>
    <x v="671"/>
    <x v="43"/>
    <x v="2"/>
    <x v="6"/>
    <s v="Plantronics MX500i Earset"/>
    <n v="128.85"/>
    <n v="3"/>
    <x v="1977"/>
    <x v="7"/>
    <x v="1"/>
  </r>
  <r>
    <n v="44775"/>
    <x v="671"/>
    <x v="43"/>
    <x v="0"/>
    <x v="0"/>
    <s v="Important Message Pads, 50 4-1/4 x 5-1/2 Forms per Pad"/>
    <n v="8.4"/>
    <n v="2"/>
    <x v="1012"/>
    <x v="7"/>
    <x v="1"/>
  </r>
  <r>
    <n v="44775"/>
    <x v="671"/>
    <x v="43"/>
    <x v="2"/>
    <x v="9"/>
    <s v="Logitech G700s Rechargeable Gaming Mouse"/>
    <n v="199.98"/>
    <n v="2"/>
    <x v="756"/>
    <x v="7"/>
    <x v="1"/>
  </r>
  <r>
    <n v="44775"/>
    <x v="671"/>
    <x v="43"/>
    <x v="1"/>
    <x v="5"/>
    <s v="Office Star Flex Back Scooter Chair with White Frame"/>
    <n v="110.98"/>
    <n v="1"/>
    <x v="1192"/>
    <x v="7"/>
    <x v="1"/>
  </r>
  <r>
    <n v="44775"/>
    <x v="536"/>
    <x v="11"/>
    <x v="1"/>
    <x v="13"/>
    <s v="Balt Split Level Computer Training Table"/>
    <n v="277.5"/>
    <n v="4"/>
    <x v="2149"/>
    <x v="7"/>
    <x v="1"/>
  </r>
  <r>
    <n v="44778"/>
    <x v="123"/>
    <x v="0"/>
    <x v="0"/>
    <x v="2"/>
    <s v="Perma STOR-ALL Hanging File Box, 13 1/8&quot;W x 12 1/4&quot;D x 10 1/2&quot;H"/>
    <n v="33.49"/>
    <n v="7"/>
    <x v="1464"/>
    <x v="7"/>
    <x v="1"/>
  </r>
  <r>
    <n v="44778"/>
    <x v="123"/>
    <x v="0"/>
    <x v="0"/>
    <x v="14"/>
    <s v="Stiletto Hand Letter Openers"/>
    <n v="23.04"/>
    <n v="3"/>
    <x v="1836"/>
    <x v="7"/>
    <x v="1"/>
  </r>
  <r>
    <n v="44778"/>
    <x v="123"/>
    <x v="0"/>
    <x v="0"/>
    <x v="3"/>
    <s v="Avery Self-Adhesive Photo Pockets for Polaroid Photos"/>
    <n v="1.36"/>
    <n v="1"/>
    <x v="2150"/>
    <x v="7"/>
    <x v="1"/>
  </r>
  <r>
    <n v="44778"/>
    <x v="123"/>
    <x v="0"/>
    <x v="1"/>
    <x v="8"/>
    <s v="Eldon Expressions Wood Desk Accessories, Oak"/>
    <n v="14.76"/>
    <n v="5"/>
    <x v="2151"/>
    <x v="7"/>
    <x v="1"/>
  </r>
  <r>
    <n v="44779"/>
    <x v="279"/>
    <x v="0"/>
    <x v="0"/>
    <x v="0"/>
    <s v="Xerox 188"/>
    <n v="27.22"/>
    <n v="3"/>
    <x v="2023"/>
    <x v="7"/>
    <x v="1"/>
  </r>
  <r>
    <n v="44779"/>
    <x v="468"/>
    <x v="0"/>
    <x v="0"/>
    <x v="1"/>
    <s v="Avery 505"/>
    <n v="35.520000000000003"/>
    <n v="3"/>
    <x v="1260"/>
    <x v="7"/>
    <x v="1"/>
  </r>
  <r>
    <n v="44779"/>
    <x v="468"/>
    <x v="0"/>
    <x v="0"/>
    <x v="3"/>
    <s v="Avery Hole Reinforcements"/>
    <n v="6.23"/>
    <n v="5"/>
    <x v="2152"/>
    <x v="7"/>
    <x v="1"/>
  </r>
  <r>
    <n v="44779"/>
    <x v="468"/>
    <x v="0"/>
    <x v="0"/>
    <x v="0"/>
    <s v="Xerox 1906"/>
    <n v="56.7"/>
    <n v="2"/>
    <x v="2153"/>
    <x v="7"/>
    <x v="1"/>
  </r>
  <r>
    <n v="44779"/>
    <x v="468"/>
    <x v="0"/>
    <x v="1"/>
    <x v="11"/>
    <s v="O'Sullivan Manor Hill 2-Door Library in Brianna Oak"/>
    <n v="369.2"/>
    <n v="3"/>
    <x v="2154"/>
    <x v="7"/>
    <x v="1"/>
  </r>
  <r>
    <n v="44780"/>
    <x v="270"/>
    <x v="34"/>
    <x v="0"/>
    <x v="3"/>
    <s v="ACCOHIDE 3-Ring Binder, Blue, 1&quot;"/>
    <n v="3.3"/>
    <n v="1"/>
    <x v="329"/>
    <x v="7"/>
    <x v="1"/>
  </r>
  <r>
    <n v="44780"/>
    <x v="672"/>
    <x v="3"/>
    <x v="0"/>
    <x v="3"/>
    <s v="Cardinal Hold-It CD Pocket"/>
    <n v="19.149999999999999"/>
    <n v="3"/>
    <x v="2155"/>
    <x v="7"/>
    <x v="1"/>
  </r>
  <r>
    <n v="44780"/>
    <x v="439"/>
    <x v="24"/>
    <x v="0"/>
    <x v="3"/>
    <s v="Wilson Jones Hanging View Binder, White, 1&quot;"/>
    <n v="28.4"/>
    <n v="4"/>
    <x v="2156"/>
    <x v="7"/>
    <x v="1"/>
  </r>
  <r>
    <n v="44780"/>
    <x v="439"/>
    <x v="24"/>
    <x v="1"/>
    <x v="8"/>
    <s v="Tenex V2T-RE Standard Weight Series Chair Mat, 45&quot; x 53&quot;, Lip 25&quot; x 12&quot;"/>
    <n v="212.94"/>
    <n v="3"/>
    <x v="2157"/>
    <x v="7"/>
    <x v="1"/>
  </r>
  <r>
    <n v="44780"/>
    <x v="232"/>
    <x v="2"/>
    <x v="0"/>
    <x v="4"/>
    <s v="Stanley Contemporary Battery Pencil Sharpeners"/>
    <n v="106.8"/>
    <n v="10"/>
    <x v="2158"/>
    <x v="7"/>
    <x v="1"/>
  </r>
  <r>
    <n v="44780"/>
    <x v="270"/>
    <x v="36"/>
    <x v="0"/>
    <x v="12"/>
    <s v="Acco Six-Outlet Power Strip, 4' Cord Length"/>
    <n v="77.58"/>
    <n v="9"/>
    <x v="170"/>
    <x v="7"/>
    <x v="1"/>
  </r>
  <r>
    <n v="44780"/>
    <x v="673"/>
    <x v="6"/>
    <x v="2"/>
    <x v="6"/>
    <s v="Ativa D5772 2-Line 5.8GHz Digital Expandable Corded/Cordless Phone System with Answering &amp; Caller ID/Call Waiting, Black/Silver"/>
    <n v="494.97"/>
    <n v="3"/>
    <x v="2159"/>
    <x v="7"/>
    <x v="1"/>
  </r>
  <r>
    <n v="44780"/>
    <x v="673"/>
    <x v="6"/>
    <x v="0"/>
    <x v="1"/>
    <s v="Avery 50"/>
    <n v="25.06"/>
    <n v="2"/>
    <x v="1408"/>
    <x v="7"/>
    <x v="1"/>
  </r>
  <r>
    <n v="44781"/>
    <x v="426"/>
    <x v="3"/>
    <x v="0"/>
    <x v="3"/>
    <s v="ACCOHIDE 3-Ring Binder, Blue, 1&quot;"/>
    <n v="6.61"/>
    <n v="2"/>
    <x v="2160"/>
    <x v="7"/>
    <x v="1"/>
  </r>
  <r>
    <n v="44781"/>
    <x v="426"/>
    <x v="3"/>
    <x v="0"/>
    <x v="3"/>
    <s v="Presstex Flexible Ring Binders"/>
    <n v="7.28"/>
    <n v="2"/>
    <x v="892"/>
    <x v="7"/>
    <x v="1"/>
  </r>
  <r>
    <n v="44781"/>
    <x v="426"/>
    <x v="3"/>
    <x v="1"/>
    <x v="5"/>
    <s v="Global Ergonomic Managers Chair"/>
    <n v="144.78"/>
    <n v="1"/>
    <x v="2161"/>
    <x v="7"/>
    <x v="1"/>
  </r>
  <r>
    <n v="44781"/>
    <x v="674"/>
    <x v="32"/>
    <x v="0"/>
    <x v="4"/>
    <s v="Boston 1827 Commercial Additional Cutter, Drive Gear &amp; Gear Rack for 1606"/>
    <n v="39.659999999999997"/>
    <n v="2"/>
    <x v="2162"/>
    <x v="7"/>
    <x v="1"/>
  </r>
  <r>
    <n v="44781"/>
    <x v="674"/>
    <x v="32"/>
    <x v="0"/>
    <x v="12"/>
    <s v="Conquest 14 Commercial Heavy-Duty Upright Vacuum, Collection System, Accessory Kit"/>
    <n v="113.92"/>
    <n v="2"/>
    <x v="2163"/>
    <x v="7"/>
    <x v="1"/>
  </r>
  <r>
    <n v="44781"/>
    <x v="674"/>
    <x v="32"/>
    <x v="0"/>
    <x v="3"/>
    <s v="GBC DocuBind P50 Personal Binding Machine"/>
    <n v="447.86"/>
    <n v="7"/>
    <x v="2164"/>
    <x v="7"/>
    <x v="1"/>
  </r>
  <r>
    <n v="44781"/>
    <x v="122"/>
    <x v="20"/>
    <x v="2"/>
    <x v="9"/>
    <s v="Logitech G600 MMO Gaming Mouse"/>
    <n v="79.989999999999995"/>
    <n v="1"/>
    <x v="2165"/>
    <x v="7"/>
    <x v="1"/>
  </r>
  <r>
    <n v="44782"/>
    <x v="171"/>
    <x v="14"/>
    <x v="0"/>
    <x v="4"/>
    <s v="Sanford Uni-Blazer View Highlighters, Chisel Tip, Yellow"/>
    <n v="2.2000000000000002"/>
    <n v="1"/>
    <x v="2166"/>
    <x v="7"/>
    <x v="1"/>
  </r>
  <r>
    <n v="44782"/>
    <x v="171"/>
    <x v="14"/>
    <x v="1"/>
    <x v="13"/>
    <s v="Bevis 36 x 72 Conference Tables"/>
    <n v="622.45000000000005"/>
    <n v="5"/>
    <x v="2167"/>
    <x v="7"/>
    <x v="1"/>
  </r>
  <r>
    <n v="44782"/>
    <x v="171"/>
    <x v="14"/>
    <x v="0"/>
    <x v="2"/>
    <s v="Rogers Deluxe File Chest"/>
    <n v="21.98"/>
    <n v="1"/>
    <x v="2168"/>
    <x v="7"/>
    <x v="1"/>
  </r>
  <r>
    <n v="44782"/>
    <x v="201"/>
    <x v="20"/>
    <x v="2"/>
    <x v="6"/>
    <s v="Nortel Meridian M3904 Professional Digital phone"/>
    <n v="307.98"/>
    <n v="2"/>
    <x v="2169"/>
    <x v="7"/>
    <x v="1"/>
  </r>
  <r>
    <n v="44782"/>
    <x v="201"/>
    <x v="20"/>
    <x v="1"/>
    <x v="13"/>
    <s v="KI Conference Tables"/>
    <n v="382.81"/>
    <n v="9"/>
    <x v="2170"/>
    <x v="7"/>
    <x v="1"/>
  </r>
  <r>
    <n v="44782"/>
    <x v="201"/>
    <x v="20"/>
    <x v="0"/>
    <x v="2"/>
    <s v="Tennsco Lockers, Gray"/>
    <n v="41.96"/>
    <n v="2"/>
    <x v="252"/>
    <x v="7"/>
    <x v="1"/>
  </r>
  <r>
    <n v="44782"/>
    <x v="201"/>
    <x v="20"/>
    <x v="0"/>
    <x v="3"/>
    <s v="GBC Ibimaster 500 Manual ProClick Binding System"/>
    <n v="1217.57"/>
    <n v="2"/>
    <x v="2042"/>
    <x v="7"/>
    <x v="1"/>
  </r>
  <r>
    <n v="44782"/>
    <x v="201"/>
    <x v="20"/>
    <x v="1"/>
    <x v="8"/>
    <s v="Artistic Insta-Plaque"/>
    <n v="47.04"/>
    <n v="3"/>
    <x v="2171"/>
    <x v="7"/>
    <x v="1"/>
  </r>
  <r>
    <n v="44782"/>
    <x v="201"/>
    <x v="20"/>
    <x v="1"/>
    <x v="8"/>
    <s v="Longer-Life Soft White Bulbs"/>
    <n v="6.16"/>
    <n v="2"/>
    <x v="1057"/>
    <x v="7"/>
    <x v="1"/>
  </r>
  <r>
    <n v="44782"/>
    <x v="201"/>
    <x v="20"/>
    <x v="2"/>
    <x v="6"/>
    <s v="Panasonic KX-TG9471B"/>
    <n v="979.95"/>
    <n v="5"/>
    <x v="2172"/>
    <x v="7"/>
    <x v="1"/>
  </r>
  <r>
    <n v="44782"/>
    <x v="201"/>
    <x v="20"/>
    <x v="0"/>
    <x v="0"/>
    <s v="Xerox 1886"/>
    <n v="143.69999999999999"/>
    <n v="3"/>
    <x v="2173"/>
    <x v="7"/>
    <x v="1"/>
  </r>
  <r>
    <n v="44782"/>
    <x v="201"/>
    <x v="20"/>
    <x v="0"/>
    <x v="7"/>
    <s v="Acco Clips to Go Binder Clips, 24 Clips in Two Sizes"/>
    <n v="10.65"/>
    <n v="3"/>
    <x v="1648"/>
    <x v="7"/>
    <x v="1"/>
  </r>
  <r>
    <n v="44782"/>
    <x v="201"/>
    <x v="20"/>
    <x v="2"/>
    <x v="9"/>
    <s v="Belkin QODE FastFit Bluetooth Keyboard"/>
    <n v="247.8"/>
    <n v="4"/>
    <x v="2174"/>
    <x v="7"/>
    <x v="1"/>
  </r>
  <r>
    <n v="44782"/>
    <x v="141"/>
    <x v="16"/>
    <x v="0"/>
    <x v="1"/>
    <s v="Avery File Folder Labels"/>
    <n v="4.6100000000000003"/>
    <n v="2"/>
    <x v="688"/>
    <x v="7"/>
    <x v="1"/>
  </r>
  <r>
    <n v="44782"/>
    <x v="57"/>
    <x v="21"/>
    <x v="1"/>
    <x v="11"/>
    <s v="O'Sullivan Cherrywood Estates Traditional Barrister Bookcase"/>
    <n v="687.4"/>
    <n v="5"/>
    <x v="2175"/>
    <x v="7"/>
    <x v="1"/>
  </r>
  <r>
    <n v="44782"/>
    <x v="407"/>
    <x v="20"/>
    <x v="1"/>
    <x v="8"/>
    <s v="OIC Stacking Trays"/>
    <n v="10.02"/>
    <n v="3"/>
    <x v="1892"/>
    <x v="7"/>
    <x v="1"/>
  </r>
  <r>
    <n v="44782"/>
    <x v="407"/>
    <x v="20"/>
    <x v="0"/>
    <x v="0"/>
    <s v="Xerox 1885"/>
    <n v="144.12"/>
    <n v="3"/>
    <x v="1373"/>
    <x v="7"/>
    <x v="1"/>
  </r>
  <r>
    <n v="44783"/>
    <x v="488"/>
    <x v="28"/>
    <x v="0"/>
    <x v="1"/>
    <s v="Avery 480"/>
    <n v="3.75"/>
    <n v="1"/>
    <x v="1666"/>
    <x v="7"/>
    <x v="1"/>
  </r>
  <r>
    <n v="44783"/>
    <x v="488"/>
    <x v="28"/>
    <x v="0"/>
    <x v="1"/>
    <s v="Avery 489"/>
    <n v="41.4"/>
    <n v="4"/>
    <x v="1400"/>
    <x v="7"/>
    <x v="1"/>
  </r>
  <r>
    <n v="44783"/>
    <x v="488"/>
    <x v="28"/>
    <x v="0"/>
    <x v="4"/>
    <s v="Peel-Off China Markers"/>
    <n v="29.79"/>
    <n v="3"/>
    <x v="1765"/>
    <x v="7"/>
    <x v="1"/>
  </r>
  <r>
    <n v="44783"/>
    <x v="494"/>
    <x v="11"/>
    <x v="2"/>
    <x v="6"/>
    <s v="AT&amp;T 1080 Corded phone"/>
    <n v="438.37"/>
    <n v="4"/>
    <x v="324"/>
    <x v="7"/>
    <x v="1"/>
  </r>
  <r>
    <n v="44783"/>
    <x v="494"/>
    <x v="11"/>
    <x v="2"/>
    <x v="6"/>
    <s v="OtterBox Commuter Series Case - Samsung Galaxy S4"/>
    <n v="139.94"/>
    <n v="7"/>
    <x v="2176"/>
    <x v="7"/>
    <x v="1"/>
  </r>
  <r>
    <n v="44783"/>
    <x v="494"/>
    <x v="11"/>
    <x v="0"/>
    <x v="12"/>
    <s v="Fellowes 8 Outlet Superior Workstation Surge Protector"/>
    <n v="133.47"/>
    <n v="4"/>
    <x v="2177"/>
    <x v="7"/>
    <x v="1"/>
  </r>
  <r>
    <n v="44783"/>
    <x v="649"/>
    <x v="14"/>
    <x v="0"/>
    <x v="3"/>
    <s v="GBC Binding covers"/>
    <n v="64.75"/>
    <n v="5"/>
    <x v="1295"/>
    <x v="7"/>
    <x v="1"/>
  </r>
  <r>
    <n v="44784"/>
    <x v="220"/>
    <x v="25"/>
    <x v="1"/>
    <x v="8"/>
    <s v="Executive Impressions 13&quot; Clairmont Wall Clock"/>
    <n v="46.15"/>
    <n v="3"/>
    <x v="2178"/>
    <x v="7"/>
    <x v="1"/>
  </r>
  <r>
    <n v="44784"/>
    <x v="675"/>
    <x v="20"/>
    <x v="0"/>
    <x v="4"/>
    <s v="Newell 330"/>
    <n v="11.96"/>
    <n v="2"/>
    <x v="1006"/>
    <x v="7"/>
    <x v="1"/>
  </r>
  <r>
    <n v="44784"/>
    <x v="675"/>
    <x v="20"/>
    <x v="2"/>
    <x v="6"/>
    <s v="AT&amp;T 841000 Phone"/>
    <n v="138"/>
    <n v="2"/>
    <x v="2179"/>
    <x v="7"/>
    <x v="1"/>
  </r>
  <r>
    <n v="44786"/>
    <x v="402"/>
    <x v="3"/>
    <x v="0"/>
    <x v="4"/>
    <s v="50 Colored Long Pencils"/>
    <n v="50.8"/>
    <n v="5"/>
    <x v="2180"/>
    <x v="7"/>
    <x v="1"/>
  </r>
  <r>
    <n v="44786"/>
    <x v="584"/>
    <x v="4"/>
    <x v="0"/>
    <x v="3"/>
    <s v="3-ring staple pack"/>
    <n v="5.64"/>
    <n v="3"/>
    <x v="24"/>
    <x v="7"/>
    <x v="1"/>
  </r>
  <r>
    <n v="44786"/>
    <x v="565"/>
    <x v="18"/>
    <x v="0"/>
    <x v="3"/>
    <s v="Avery Round Ring Poly Binders"/>
    <n v="11.36"/>
    <n v="4"/>
    <x v="2181"/>
    <x v="7"/>
    <x v="1"/>
  </r>
  <r>
    <n v="44786"/>
    <x v="28"/>
    <x v="2"/>
    <x v="0"/>
    <x v="2"/>
    <s v="Fellowes High-Stak Drawer Files"/>
    <n v="422.86"/>
    <n v="3"/>
    <x v="2182"/>
    <x v="7"/>
    <x v="1"/>
  </r>
  <r>
    <n v="44786"/>
    <x v="394"/>
    <x v="3"/>
    <x v="1"/>
    <x v="8"/>
    <s v="Ultra Door Pull Handle"/>
    <n v="31.56"/>
    <n v="3"/>
    <x v="2183"/>
    <x v="7"/>
    <x v="1"/>
  </r>
  <r>
    <n v="44786"/>
    <x v="271"/>
    <x v="25"/>
    <x v="0"/>
    <x v="4"/>
    <s v="Newell 309"/>
    <n v="64.680000000000007"/>
    <n v="7"/>
    <x v="2184"/>
    <x v="7"/>
    <x v="1"/>
  </r>
  <r>
    <n v="44788"/>
    <x v="676"/>
    <x v="3"/>
    <x v="0"/>
    <x v="2"/>
    <s v="Fellowes Super Stor/Drawer Files"/>
    <n v="323.10000000000002"/>
    <n v="2"/>
    <x v="1983"/>
    <x v="7"/>
    <x v="1"/>
  </r>
  <r>
    <n v="44788"/>
    <x v="238"/>
    <x v="3"/>
    <x v="1"/>
    <x v="8"/>
    <s v="Tensor Computer Mounted Lamp"/>
    <n v="104.23"/>
    <n v="7"/>
    <x v="2185"/>
    <x v="7"/>
    <x v="1"/>
  </r>
  <r>
    <n v="44788"/>
    <x v="238"/>
    <x v="3"/>
    <x v="0"/>
    <x v="2"/>
    <s v="Mobile Personal File Cube"/>
    <n v="70.260000000000005"/>
    <n v="3"/>
    <x v="2186"/>
    <x v="7"/>
    <x v="1"/>
  </r>
  <r>
    <n v="44789"/>
    <x v="522"/>
    <x v="12"/>
    <x v="0"/>
    <x v="4"/>
    <s v="Newell 346"/>
    <n v="2.2999999999999998"/>
    <n v="1"/>
    <x v="2187"/>
    <x v="7"/>
    <x v="1"/>
  </r>
  <r>
    <n v="44789"/>
    <x v="522"/>
    <x v="12"/>
    <x v="2"/>
    <x v="6"/>
    <s v="Samsung Galaxy S4 Mini"/>
    <n v="1879.96"/>
    <n v="5"/>
    <x v="2188"/>
    <x v="7"/>
    <x v="1"/>
  </r>
  <r>
    <n v="44789"/>
    <x v="522"/>
    <x v="12"/>
    <x v="0"/>
    <x v="0"/>
    <s v="Xerox 1891"/>
    <n v="313.02"/>
    <n v="8"/>
    <x v="2189"/>
    <x v="7"/>
    <x v="1"/>
  </r>
  <r>
    <n v="44789"/>
    <x v="522"/>
    <x v="12"/>
    <x v="0"/>
    <x v="1"/>
    <s v="Avery 488"/>
    <n v="5.04"/>
    <n v="2"/>
    <x v="1406"/>
    <x v="7"/>
    <x v="1"/>
  </r>
  <r>
    <n v="44789"/>
    <x v="569"/>
    <x v="2"/>
    <x v="2"/>
    <x v="6"/>
    <s v="Cisco IP Phone 7961G-GE VoIP phone"/>
    <n v="519.79"/>
    <n v="4"/>
    <x v="2190"/>
    <x v="7"/>
    <x v="1"/>
  </r>
  <r>
    <n v="44789"/>
    <x v="569"/>
    <x v="2"/>
    <x v="2"/>
    <x v="9"/>
    <s v="SanDisk Ultra 16 GB MicroSDHC Class 10 Memory Card"/>
    <n v="31.18"/>
    <n v="3"/>
    <x v="2191"/>
    <x v="7"/>
    <x v="1"/>
  </r>
  <r>
    <n v="44789"/>
    <x v="569"/>
    <x v="2"/>
    <x v="0"/>
    <x v="0"/>
    <s v="Xerox 227"/>
    <n v="10.37"/>
    <n v="2"/>
    <x v="316"/>
    <x v="7"/>
    <x v="1"/>
  </r>
  <r>
    <n v="44789"/>
    <x v="569"/>
    <x v="2"/>
    <x v="0"/>
    <x v="3"/>
    <s v="Avery Durable Plastic 1&quot; Binders"/>
    <n v="2.72"/>
    <n v="2"/>
    <x v="2192"/>
    <x v="7"/>
    <x v="1"/>
  </r>
  <r>
    <n v="44789"/>
    <x v="569"/>
    <x v="2"/>
    <x v="1"/>
    <x v="8"/>
    <s v="Tenex 46&quot; x 60&quot; Computer Anti-Static Chairmat, Rectangular Shaped"/>
    <n v="254.35"/>
    <n v="3"/>
    <x v="62"/>
    <x v="7"/>
    <x v="1"/>
  </r>
  <r>
    <n v="44789"/>
    <x v="569"/>
    <x v="2"/>
    <x v="0"/>
    <x v="3"/>
    <s v="Avery Durable Slant Ring Binders With Label Holder"/>
    <n v="3.76"/>
    <n v="3"/>
    <x v="2193"/>
    <x v="7"/>
    <x v="1"/>
  </r>
  <r>
    <n v="44789"/>
    <x v="569"/>
    <x v="2"/>
    <x v="0"/>
    <x v="0"/>
    <s v="Xerox 199"/>
    <n v="10.27"/>
    <n v="3"/>
    <x v="2194"/>
    <x v="7"/>
    <x v="1"/>
  </r>
  <r>
    <n v="44789"/>
    <x v="677"/>
    <x v="2"/>
    <x v="0"/>
    <x v="2"/>
    <s v="Iris Project Case"/>
    <n v="44.69"/>
    <n v="7"/>
    <x v="318"/>
    <x v="7"/>
    <x v="1"/>
  </r>
  <r>
    <n v="44789"/>
    <x v="677"/>
    <x v="2"/>
    <x v="1"/>
    <x v="11"/>
    <s v="O'Sullivan Plantations 2-Door Library in Landvery Oak"/>
    <n v="301.47000000000003"/>
    <n v="3"/>
    <x v="2195"/>
    <x v="7"/>
    <x v="1"/>
  </r>
  <r>
    <n v="44790"/>
    <x v="678"/>
    <x v="32"/>
    <x v="0"/>
    <x v="3"/>
    <s v="Wilson Jones Â“SnapÂ” Scratch Pad Binder Tool for Ring Binders"/>
    <n v="52.2"/>
    <n v="9"/>
    <x v="2196"/>
    <x v="7"/>
    <x v="1"/>
  </r>
  <r>
    <n v="44790"/>
    <x v="236"/>
    <x v="12"/>
    <x v="2"/>
    <x v="9"/>
    <s v="ImationÂ Clip USBÂ flash driveÂ - 8 GB"/>
    <n v="30.08"/>
    <n v="2"/>
    <x v="2197"/>
    <x v="7"/>
    <x v="1"/>
  </r>
  <r>
    <n v="44790"/>
    <x v="236"/>
    <x v="12"/>
    <x v="0"/>
    <x v="0"/>
    <s v="Xerox 21"/>
    <n v="36.29"/>
    <n v="7"/>
    <x v="1285"/>
    <x v="7"/>
    <x v="1"/>
  </r>
  <r>
    <n v="44790"/>
    <x v="236"/>
    <x v="12"/>
    <x v="0"/>
    <x v="4"/>
    <s v="Newell 336"/>
    <n v="10.27"/>
    <n v="3"/>
    <x v="1513"/>
    <x v="7"/>
    <x v="1"/>
  </r>
  <r>
    <n v="44790"/>
    <x v="236"/>
    <x v="12"/>
    <x v="2"/>
    <x v="9"/>
    <s v="First Data FD10 PIN Pad"/>
    <n v="252.8"/>
    <n v="4"/>
    <x v="2198"/>
    <x v="7"/>
    <x v="1"/>
  </r>
  <r>
    <n v="44794"/>
    <x v="327"/>
    <x v="3"/>
    <x v="1"/>
    <x v="5"/>
    <s v="Hon GuestStacker Chair"/>
    <n v="544.01"/>
    <n v="3"/>
    <x v="2199"/>
    <x v="7"/>
    <x v="1"/>
  </r>
  <r>
    <n v="44794"/>
    <x v="327"/>
    <x v="3"/>
    <x v="0"/>
    <x v="0"/>
    <s v="Xerox 191"/>
    <n v="59.94"/>
    <n v="3"/>
    <x v="2200"/>
    <x v="7"/>
    <x v="1"/>
  </r>
  <r>
    <n v="44794"/>
    <x v="327"/>
    <x v="3"/>
    <x v="0"/>
    <x v="0"/>
    <s v="Xerox 1974"/>
    <n v="23.92"/>
    <n v="4"/>
    <x v="1564"/>
    <x v="7"/>
    <x v="1"/>
  </r>
  <r>
    <n v="44794"/>
    <x v="327"/>
    <x v="3"/>
    <x v="0"/>
    <x v="0"/>
    <s v="Xerox 1927"/>
    <n v="4.28"/>
    <n v="1"/>
    <x v="2201"/>
    <x v="7"/>
    <x v="1"/>
  </r>
  <r>
    <n v="44794"/>
    <x v="171"/>
    <x v="3"/>
    <x v="1"/>
    <x v="11"/>
    <s v="Sauder Camden County Collection Library"/>
    <n v="586.4"/>
    <n v="6"/>
    <x v="2202"/>
    <x v="7"/>
    <x v="1"/>
  </r>
  <r>
    <n v="44794"/>
    <x v="171"/>
    <x v="3"/>
    <x v="0"/>
    <x v="2"/>
    <s v="Carina Double Wide Media Storage Towers in Natural &amp; Black"/>
    <n v="80.98"/>
    <n v="1"/>
    <x v="167"/>
    <x v="7"/>
    <x v="1"/>
  </r>
  <r>
    <n v="44794"/>
    <x v="549"/>
    <x v="10"/>
    <x v="0"/>
    <x v="3"/>
    <s v="Acco D-Ring Binder w/DublLock"/>
    <n v="12.83"/>
    <n v="2"/>
    <x v="2203"/>
    <x v="7"/>
    <x v="1"/>
  </r>
  <r>
    <n v="44794"/>
    <x v="549"/>
    <x v="10"/>
    <x v="1"/>
    <x v="5"/>
    <s v="Global Commerce Series High-Back Swivel/Tilt Chairs"/>
    <n v="598.46"/>
    <n v="3"/>
    <x v="2204"/>
    <x v="7"/>
    <x v="1"/>
  </r>
  <r>
    <n v="44794"/>
    <x v="549"/>
    <x v="10"/>
    <x v="1"/>
    <x v="8"/>
    <s v="Tenex Chairmats For Use with Hard Floors"/>
    <n v="25.98"/>
    <n v="1"/>
    <x v="2205"/>
    <x v="7"/>
    <x v="1"/>
  </r>
  <r>
    <n v="44794"/>
    <x v="418"/>
    <x v="5"/>
    <x v="0"/>
    <x v="4"/>
    <s v="Quartet Omega Colored Chalk, 12/Pack"/>
    <n v="17.52"/>
    <n v="3"/>
    <x v="1228"/>
    <x v="7"/>
    <x v="1"/>
  </r>
  <r>
    <n v="44794"/>
    <x v="418"/>
    <x v="5"/>
    <x v="0"/>
    <x v="4"/>
    <s v="Premium Writing Pencils, Soft, #2 by Central Association for the Blind"/>
    <n v="35.76"/>
    <n v="12"/>
    <x v="1638"/>
    <x v="7"/>
    <x v="1"/>
  </r>
  <r>
    <n v="44794"/>
    <x v="88"/>
    <x v="2"/>
    <x v="0"/>
    <x v="14"/>
    <s v="Staple remover"/>
    <n v="3.49"/>
    <n v="2"/>
    <x v="2206"/>
    <x v="7"/>
    <x v="1"/>
  </r>
  <r>
    <n v="44794"/>
    <x v="88"/>
    <x v="2"/>
    <x v="2"/>
    <x v="9"/>
    <s v="Sabrent 4-Port USB 2.0 Hub"/>
    <n v="21.73"/>
    <n v="4"/>
    <x v="338"/>
    <x v="7"/>
    <x v="1"/>
  </r>
  <r>
    <n v="44794"/>
    <x v="88"/>
    <x v="2"/>
    <x v="0"/>
    <x v="2"/>
    <s v="SAFCO Commercial Wire Shelving, Black"/>
    <n v="663.07"/>
    <n v="6"/>
    <x v="2207"/>
    <x v="7"/>
    <x v="1"/>
  </r>
  <r>
    <n v="44794"/>
    <x v="88"/>
    <x v="2"/>
    <x v="0"/>
    <x v="3"/>
    <s v="GBC DocuBind P100 Manual Binding Machine"/>
    <n v="99.59"/>
    <n v="2"/>
    <x v="2208"/>
    <x v="7"/>
    <x v="1"/>
  </r>
  <r>
    <n v="44794"/>
    <x v="88"/>
    <x v="2"/>
    <x v="0"/>
    <x v="0"/>
    <s v="Xerox 1979"/>
    <n v="49.57"/>
    <n v="2"/>
    <x v="675"/>
    <x v="7"/>
    <x v="1"/>
  </r>
  <r>
    <n v="44795"/>
    <x v="679"/>
    <x v="20"/>
    <x v="0"/>
    <x v="3"/>
    <s v="Avery 3 1/2&quot; Diskette Storage Pages, 10/Pack"/>
    <n v="50.11"/>
    <n v="6"/>
    <x v="2209"/>
    <x v="7"/>
    <x v="1"/>
  </r>
  <r>
    <n v="44795"/>
    <x v="680"/>
    <x v="20"/>
    <x v="0"/>
    <x v="4"/>
    <s v="Newell Chalk Holder"/>
    <n v="16.52"/>
    <n v="4"/>
    <x v="920"/>
    <x v="7"/>
    <x v="1"/>
  </r>
  <r>
    <n v="44796"/>
    <x v="210"/>
    <x v="1"/>
    <x v="0"/>
    <x v="14"/>
    <s v="Acme Tagit Stainless Steel Antibacterial Scissors"/>
    <n v="31.68"/>
    <n v="4"/>
    <x v="2210"/>
    <x v="7"/>
    <x v="1"/>
  </r>
  <r>
    <n v="44796"/>
    <x v="210"/>
    <x v="1"/>
    <x v="0"/>
    <x v="0"/>
    <s v="Xerox 206"/>
    <n v="10.37"/>
    <n v="2"/>
    <x v="316"/>
    <x v="7"/>
    <x v="1"/>
  </r>
  <r>
    <n v="44796"/>
    <x v="210"/>
    <x v="1"/>
    <x v="0"/>
    <x v="7"/>
    <s v="Staples"/>
    <n v="12.03"/>
    <n v="8"/>
    <x v="2211"/>
    <x v="7"/>
    <x v="1"/>
  </r>
  <r>
    <n v="44796"/>
    <x v="210"/>
    <x v="1"/>
    <x v="0"/>
    <x v="12"/>
    <s v="Holmes Odor Grabber"/>
    <n v="5.77"/>
    <n v="2"/>
    <x v="2212"/>
    <x v="7"/>
    <x v="1"/>
  </r>
  <r>
    <n v="44796"/>
    <x v="681"/>
    <x v="4"/>
    <x v="0"/>
    <x v="12"/>
    <s v="Avanti 4.4 Cu. Ft. Refrigerator"/>
    <n v="542.94000000000005"/>
    <n v="3"/>
    <x v="2213"/>
    <x v="7"/>
    <x v="1"/>
  </r>
  <r>
    <n v="44796"/>
    <x v="681"/>
    <x v="4"/>
    <x v="0"/>
    <x v="1"/>
    <s v="Avery 474"/>
    <n v="8.64"/>
    <n v="3"/>
    <x v="1362"/>
    <x v="7"/>
    <x v="1"/>
  </r>
  <r>
    <n v="44796"/>
    <x v="681"/>
    <x v="4"/>
    <x v="0"/>
    <x v="0"/>
    <s v="Xerox 1944"/>
    <n v="193.8"/>
    <n v="5"/>
    <x v="2214"/>
    <x v="7"/>
    <x v="1"/>
  </r>
  <r>
    <n v="44796"/>
    <x v="681"/>
    <x v="4"/>
    <x v="0"/>
    <x v="0"/>
    <s v="Xerox 1962"/>
    <n v="21.4"/>
    <n v="5"/>
    <x v="1196"/>
    <x v="7"/>
    <x v="1"/>
  </r>
  <r>
    <n v="44796"/>
    <x v="681"/>
    <x v="4"/>
    <x v="0"/>
    <x v="0"/>
    <s v="Xerox 1890"/>
    <n v="97.88"/>
    <n v="2"/>
    <x v="2215"/>
    <x v="7"/>
    <x v="1"/>
  </r>
  <r>
    <n v="44796"/>
    <x v="681"/>
    <x v="4"/>
    <x v="2"/>
    <x v="9"/>
    <s v="MaxellÂ LTO Ultrium - 800 GB"/>
    <n v="251.91"/>
    <n v="9"/>
    <x v="1178"/>
    <x v="7"/>
    <x v="1"/>
  </r>
  <r>
    <n v="44796"/>
    <x v="681"/>
    <x v="4"/>
    <x v="0"/>
    <x v="12"/>
    <s v="Acco Six-Outlet Power Strip, 4' Cord Length"/>
    <n v="25.86"/>
    <n v="3"/>
    <x v="1690"/>
    <x v="7"/>
    <x v="1"/>
  </r>
  <r>
    <n v="44797"/>
    <x v="92"/>
    <x v="0"/>
    <x v="0"/>
    <x v="2"/>
    <s v="Hot File 7-Pocket, Floor Stand"/>
    <n v="999.43"/>
    <n v="7"/>
    <x v="2216"/>
    <x v="7"/>
    <x v="1"/>
  </r>
  <r>
    <n v="44797"/>
    <x v="92"/>
    <x v="0"/>
    <x v="0"/>
    <x v="2"/>
    <s v="Space Solutions Commercial Steel Shelving"/>
    <n v="724.08"/>
    <n v="14"/>
    <x v="2217"/>
    <x v="7"/>
    <x v="1"/>
  </r>
  <r>
    <n v="44797"/>
    <x v="92"/>
    <x v="0"/>
    <x v="1"/>
    <x v="13"/>
    <s v="Hon Racetrack Conference Tables"/>
    <n v="918.79"/>
    <n v="5"/>
    <x v="2218"/>
    <x v="7"/>
    <x v="1"/>
  </r>
  <r>
    <n v="44797"/>
    <x v="92"/>
    <x v="0"/>
    <x v="0"/>
    <x v="3"/>
    <s v="Avery Durable Plastic 1&quot; Binders"/>
    <n v="2.72"/>
    <n v="3"/>
    <x v="2219"/>
    <x v="7"/>
    <x v="1"/>
  </r>
  <r>
    <n v="44797"/>
    <x v="654"/>
    <x v="20"/>
    <x v="1"/>
    <x v="13"/>
    <s v="Chromcraft Rectangular Conference Tables"/>
    <n v="284.36"/>
    <n v="2"/>
    <x v="2220"/>
    <x v="7"/>
    <x v="1"/>
  </r>
  <r>
    <n v="44797"/>
    <x v="654"/>
    <x v="20"/>
    <x v="2"/>
    <x v="9"/>
    <s v="Memorex Micro Travel Drive 8 GB"/>
    <n v="26"/>
    <n v="2"/>
    <x v="235"/>
    <x v="7"/>
    <x v="1"/>
  </r>
  <r>
    <n v="44797"/>
    <x v="682"/>
    <x v="5"/>
    <x v="2"/>
    <x v="15"/>
    <s v="Cisco 9971 IP Video Phone Charcoal"/>
    <n v="3080"/>
    <n v="7"/>
    <x v="2221"/>
    <x v="7"/>
    <x v="1"/>
  </r>
  <r>
    <n v="44797"/>
    <x v="682"/>
    <x v="5"/>
    <x v="2"/>
    <x v="9"/>
    <s v="Anker Ultra-Slim Mini Bluetooth 3.0 Wireless Keyboard"/>
    <n v="79.959999999999994"/>
    <n v="4"/>
    <x v="2222"/>
    <x v="7"/>
    <x v="1"/>
  </r>
  <r>
    <n v="44797"/>
    <x v="682"/>
    <x v="5"/>
    <x v="2"/>
    <x v="6"/>
    <s v="LG G3"/>
    <n v="587.97"/>
    <n v="3"/>
    <x v="1720"/>
    <x v="7"/>
    <x v="1"/>
  </r>
  <r>
    <n v="44797"/>
    <x v="59"/>
    <x v="20"/>
    <x v="1"/>
    <x v="8"/>
    <s v="DAX Value U-Channel Document Frames, Easel Back"/>
    <n v="14.91"/>
    <n v="3"/>
    <x v="1076"/>
    <x v="7"/>
    <x v="1"/>
  </r>
  <r>
    <n v="44797"/>
    <x v="445"/>
    <x v="11"/>
    <x v="0"/>
    <x v="4"/>
    <s v="Premium Writing Pencils, Soft, #2 by Central Association for the Blind"/>
    <n v="7.15"/>
    <n v="3"/>
    <x v="2223"/>
    <x v="7"/>
    <x v="1"/>
  </r>
  <r>
    <n v="44797"/>
    <x v="102"/>
    <x v="10"/>
    <x v="2"/>
    <x v="6"/>
    <s v="Belkin SportFit Armband For iPhone 5s/5c, Fuchsia"/>
    <n v="26.98"/>
    <n v="3"/>
    <x v="51"/>
    <x v="7"/>
    <x v="1"/>
  </r>
  <r>
    <n v="44797"/>
    <x v="102"/>
    <x v="10"/>
    <x v="0"/>
    <x v="1"/>
    <s v="Avery 474"/>
    <n v="6.91"/>
    <n v="3"/>
    <x v="368"/>
    <x v="7"/>
    <x v="1"/>
  </r>
  <r>
    <n v="44797"/>
    <x v="102"/>
    <x v="10"/>
    <x v="0"/>
    <x v="2"/>
    <s v="Adjustable Depth Letter/Legal Cart"/>
    <n v="435.5"/>
    <n v="3"/>
    <x v="2062"/>
    <x v="7"/>
    <x v="1"/>
  </r>
  <r>
    <n v="44798"/>
    <x v="483"/>
    <x v="3"/>
    <x v="1"/>
    <x v="5"/>
    <s v="Global Deluxe Stacking Chair, Gray"/>
    <n v="40.78"/>
    <n v="1"/>
    <x v="2224"/>
    <x v="7"/>
    <x v="1"/>
  </r>
  <r>
    <n v="44798"/>
    <x v="483"/>
    <x v="3"/>
    <x v="0"/>
    <x v="12"/>
    <s v="Fellowes Advanced Computer Series Surge Protectors"/>
    <n v="105.96"/>
    <n v="4"/>
    <x v="685"/>
    <x v="7"/>
    <x v="1"/>
  </r>
  <r>
    <n v="44798"/>
    <x v="260"/>
    <x v="0"/>
    <x v="1"/>
    <x v="8"/>
    <s v="Eldon Executive Woodline II Desk Accessories, Mahogany"/>
    <n v="20.100000000000001"/>
    <n v="2"/>
    <x v="2225"/>
    <x v="7"/>
    <x v="1"/>
  </r>
  <r>
    <n v="44798"/>
    <x v="260"/>
    <x v="0"/>
    <x v="0"/>
    <x v="3"/>
    <s v="Poly Designer Cover &amp; Back"/>
    <n v="3.8"/>
    <n v="1"/>
    <x v="2226"/>
    <x v="7"/>
    <x v="1"/>
  </r>
  <r>
    <n v="44798"/>
    <x v="260"/>
    <x v="0"/>
    <x v="1"/>
    <x v="8"/>
    <s v="Nu-Dell EZ-Mount Plastic Wall Frames"/>
    <n v="7.88"/>
    <n v="5"/>
    <x v="2227"/>
    <x v="7"/>
    <x v="1"/>
  </r>
  <r>
    <n v="44800"/>
    <x v="371"/>
    <x v="3"/>
    <x v="0"/>
    <x v="2"/>
    <s v="Fellowes Super Stor/Drawer Files"/>
    <n v="484.65"/>
    <n v="3"/>
    <x v="2228"/>
    <x v="7"/>
    <x v="1"/>
  </r>
  <r>
    <n v="44800"/>
    <x v="413"/>
    <x v="3"/>
    <x v="0"/>
    <x v="14"/>
    <s v="Fiskars Softgrip Scissors"/>
    <n v="32.94"/>
    <n v="3"/>
    <x v="2229"/>
    <x v="7"/>
    <x v="1"/>
  </r>
  <r>
    <n v="44800"/>
    <x v="413"/>
    <x v="3"/>
    <x v="0"/>
    <x v="0"/>
    <s v="Xerox 1973"/>
    <n v="114.2"/>
    <n v="5"/>
    <x v="799"/>
    <x v="7"/>
    <x v="1"/>
  </r>
  <r>
    <n v="44800"/>
    <x v="413"/>
    <x v="3"/>
    <x v="0"/>
    <x v="1"/>
    <s v="Avery 511"/>
    <n v="3.08"/>
    <n v="1"/>
    <x v="9"/>
    <x v="7"/>
    <x v="1"/>
  </r>
  <r>
    <n v="44800"/>
    <x v="570"/>
    <x v="3"/>
    <x v="0"/>
    <x v="3"/>
    <s v="Avery Heavy-Duty EZD View Binder with Locking Rings"/>
    <n v="5.0999999999999996"/>
    <n v="1"/>
    <x v="1355"/>
    <x v="7"/>
    <x v="1"/>
  </r>
  <r>
    <n v="44801"/>
    <x v="477"/>
    <x v="1"/>
    <x v="2"/>
    <x v="16"/>
    <s v="Canon Imageclass D680 Copier / Fax"/>
    <n v="2799.96"/>
    <n v="5"/>
    <x v="2230"/>
    <x v="7"/>
    <x v="1"/>
  </r>
  <r>
    <n v="44801"/>
    <x v="92"/>
    <x v="3"/>
    <x v="0"/>
    <x v="2"/>
    <s v="Hot File 7-Pocket, Floor Stand"/>
    <n v="892.35"/>
    <n v="5"/>
    <x v="2231"/>
    <x v="7"/>
    <x v="1"/>
  </r>
  <r>
    <n v="44801"/>
    <x v="92"/>
    <x v="3"/>
    <x v="1"/>
    <x v="11"/>
    <s v="O'Sullivan 2-Door Barrister Bookcase in Odessa Pine"/>
    <n v="307.67"/>
    <n v="2"/>
    <x v="2232"/>
    <x v="7"/>
    <x v="1"/>
  </r>
  <r>
    <n v="44801"/>
    <x v="92"/>
    <x v="3"/>
    <x v="0"/>
    <x v="2"/>
    <s v="Carina Double Wide Media Storage Towers in Natural &amp; Black"/>
    <n v="728.82"/>
    <n v="9"/>
    <x v="2233"/>
    <x v="7"/>
    <x v="1"/>
  </r>
  <r>
    <n v="44801"/>
    <x v="92"/>
    <x v="3"/>
    <x v="0"/>
    <x v="3"/>
    <s v="GBC Wire Binding Combs"/>
    <n v="41.36"/>
    <n v="5"/>
    <x v="2234"/>
    <x v="7"/>
    <x v="1"/>
  </r>
  <r>
    <n v="44801"/>
    <x v="92"/>
    <x v="3"/>
    <x v="2"/>
    <x v="6"/>
    <s v="invisibleSHIELD by ZAGG Smudge-Free Screen Protector"/>
    <n v="43.18"/>
    <n v="3"/>
    <x v="2235"/>
    <x v="7"/>
    <x v="1"/>
  </r>
  <r>
    <n v="44801"/>
    <x v="92"/>
    <x v="3"/>
    <x v="1"/>
    <x v="8"/>
    <s v="Eldon Wave Desk Accessories"/>
    <n v="4.16"/>
    <n v="2"/>
    <x v="589"/>
    <x v="7"/>
    <x v="1"/>
  </r>
  <r>
    <n v="44801"/>
    <x v="624"/>
    <x v="0"/>
    <x v="2"/>
    <x v="6"/>
    <s v="Mitel MiVoice 5330e IP Phone"/>
    <n v="1099.96"/>
    <n v="5"/>
    <x v="2236"/>
    <x v="7"/>
    <x v="1"/>
  </r>
  <r>
    <n v="44801"/>
    <x v="624"/>
    <x v="0"/>
    <x v="1"/>
    <x v="13"/>
    <s v="Hon 2111 Invitation Series Straight Table"/>
    <n v="103.48"/>
    <n v="1"/>
    <x v="2237"/>
    <x v="7"/>
    <x v="1"/>
  </r>
  <r>
    <n v="44801"/>
    <x v="436"/>
    <x v="37"/>
    <x v="0"/>
    <x v="2"/>
    <s v="SAFCO Mobile Desk Side File, Wire Frame"/>
    <n v="470.36"/>
    <n v="11"/>
    <x v="2238"/>
    <x v="7"/>
    <x v="1"/>
  </r>
  <r>
    <n v="44802"/>
    <x v="570"/>
    <x v="14"/>
    <x v="2"/>
    <x v="6"/>
    <s v="Samsung Rugby III"/>
    <n v="131.97999999999999"/>
    <n v="2"/>
    <x v="2239"/>
    <x v="7"/>
    <x v="1"/>
  </r>
  <r>
    <n v="44802"/>
    <x v="570"/>
    <x v="14"/>
    <x v="2"/>
    <x v="9"/>
    <s v="Logitech Desktop MK120 Mouse and keyboard Combo"/>
    <n v="114.52"/>
    <n v="7"/>
    <x v="2240"/>
    <x v="7"/>
    <x v="1"/>
  </r>
  <r>
    <n v="44804"/>
    <x v="177"/>
    <x v="3"/>
    <x v="0"/>
    <x v="0"/>
    <s v="Xerox 226"/>
    <n v="58.32"/>
    <n v="9"/>
    <x v="306"/>
    <x v="7"/>
    <x v="1"/>
  </r>
  <r>
    <n v="44804"/>
    <x v="134"/>
    <x v="3"/>
    <x v="1"/>
    <x v="11"/>
    <s v="Atlantic Metals Mobile 3-Shelf Bookcases, Custom Colors"/>
    <n v="1552.83"/>
    <n v="7"/>
    <x v="2241"/>
    <x v="7"/>
    <x v="1"/>
  </r>
  <r>
    <n v="44804"/>
    <x v="134"/>
    <x v="3"/>
    <x v="0"/>
    <x v="3"/>
    <s v="GBC Prestige Therm-A-Bind Covers"/>
    <n v="137.24"/>
    <n v="5"/>
    <x v="971"/>
    <x v="7"/>
    <x v="1"/>
  </r>
  <r>
    <n v="44804"/>
    <x v="134"/>
    <x v="3"/>
    <x v="2"/>
    <x v="9"/>
    <s v="Memorex Micro Travel Drive 32 GB"/>
    <n v="36.51"/>
    <n v="1"/>
    <x v="2242"/>
    <x v="7"/>
    <x v="1"/>
  </r>
  <r>
    <n v="44804"/>
    <x v="134"/>
    <x v="3"/>
    <x v="2"/>
    <x v="15"/>
    <s v="Lexmark S315 Color Inkjet Printer"/>
    <n v="239.98"/>
    <n v="3"/>
    <x v="2243"/>
    <x v="7"/>
    <x v="1"/>
  </r>
  <r>
    <n v="44804"/>
    <x v="26"/>
    <x v="0"/>
    <x v="0"/>
    <x v="0"/>
    <s v="Message Book, Phone, Wirebound Standard Line Memo, 2 3/4&quot; X 5&quot;"/>
    <n v="20.96"/>
    <n v="4"/>
    <x v="896"/>
    <x v="7"/>
    <x v="1"/>
  </r>
  <r>
    <n v="44804"/>
    <x v="511"/>
    <x v="3"/>
    <x v="2"/>
    <x v="6"/>
    <s v="Toshiba IPT2010-SD IPÂ Telephone"/>
    <n v="555.96"/>
    <n v="5"/>
    <x v="2244"/>
    <x v="7"/>
    <x v="1"/>
  </r>
  <r>
    <n v="44805"/>
    <x v="440"/>
    <x v="3"/>
    <x v="0"/>
    <x v="3"/>
    <s v="Storex Dura Pro Binders"/>
    <n v="4.75"/>
    <n v="1"/>
    <x v="121"/>
    <x v="8"/>
    <x v="1"/>
  </r>
  <r>
    <n v="44805"/>
    <x v="440"/>
    <x v="3"/>
    <x v="2"/>
    <x v="16"/>
    <s v="Hewlett Packard LaserJet 3310 Copier"/>
    <n v="959.98"/>
    <n v="2"/>
    <x v="2245"/>
    <x v="8"/>
    <x v="1"/>
  </r>
  <r>
    <n v="44805"/>
    <x v="440"/>
    <x v="3"/>
    <x v="0"/>
    <x v="3"/>
    <s v="Avery Non-Stick Binders"/>
    <n v="14.37"/>
    <n v="4"/>
    <x v="630"/>
    <x v="8"/>
    <x v="1"/>
  </r>
  <r>
    <n v="44805"/>
    <x v="108"/>
    <x v="32"/>
    <x v="0"/>
    <x v="3"/>
    <s v="Deluxe Heavy-Duty Vinyl Round Ring Binder"/>
    <n v="114.6"/>
    <n v="5"/>
    <x v="2246"/>
    <x v="8"/>
    <x v="1"/>
  </r>
  <r>
    <n v="44805"/>
    <x v="108"/>
    <x v="32"/>
    <x v="1"/>
    <x v="5"/>
    <s v="Global Value Steno Chair, Gray"/>
    <n v="60.74"/>
    <n v="1"/>
    <x v="2247"/>
    <x v="8"/>
    <x v="1"/>
  </r>
  <r>
    <n v="44805"/>
    <x v="108"/>
    <x v="32"/>
    <x v="1"/>
    <x v="8"/>
    <s v="Deflect-o Glass Clear Studded Chair Mats"/>
    <n v="124.36"/>
    <n v="2"/>
    <x v="467"/>
    <x v="8"/>
    <x v="1"/>
  </r>
  <r>
    <n v="44805"/>
    <x v="108"/>
    <x v="32"/>
    <x v="0"/>
    <x v="2"/>
    <s v="Adjustable Depth Letter/Legal Cart"/>
    <n v="1088.76"/>
    <n v="6"/>
    <x v="2248"/>
    <x v="8"/>
    <x v="1"/>
  </r>
  <r>
    <n v="44807"/>
    <x v="520"/>
    <x v="25"/>
    <x v="0"/>
    <x v="10"/>
    <s v="Jet-Pak Recycled Peel 'N' Seal Padded Mailers"/>
    <n v="200.98"/>
    <n v="7"/>
    <x v="1927"/>
    <x v="8"/>
    <x v="1"/>
  </r>
  <r>
    <n v="44807"/>
    <x v="110"/>
    <x v="2"/>
    <x v="0"/>
    <x v="2"/>
    <s v="Eldon Gobal File Keepers"/>
    <n v="36.340000000000003"/>
    <n v="3"/>
    <x v="2249"/>
    <x v="8"/>
    <x v="1"/>
  </r>
  <r>
    <n v="44807"/>
    <x v="110"/>
    <x v="2"/>
    <x v="0"/>
    <x v="14"/>
    <s v="Martin Yale Chadless Opener Electric Letter Opener"/>
    <n v="666.25"/>
    <n v="1"/>
    <x v="2250"/>
    <x v="8"/>
    <x v="1"/>
  </r>
  <r>
    <n v="44807"/>
    <x v="110"/>
    <x v="2"/>
    <x v="0"/>
    <x v="10"/>
    <s v="White Business Envelopes with Contemporary Seam, Recycled White Business Envelopes"/>
    <n v="52.51"/>
    <n v="6"/>
    <x v="1138"/>
    <x v="8"/>
    <x v="1"/>
  </r>
  <r>
    <n v="44807"/>
    <x v="639"/>
    <x v="3"/>
    <x v="0"/>
    <x v="2"/>
    <s v="Sterilite Officeware Hinged File Box"/>
    <n v="31.44"/>
    <n v="3"/>
    <x v="197"/>
    <x v="8"/>
    <x v="1"/>
  </r>
  <r>
    <n v="44807"/>
    <x v="639"/>
    <x v="3"/>
    <x v="2"/>
    <x v="9"/>
    <s v="Kingston Digital DataTraveler 16GB USB 2.0"/>
    <n v="17.899999999999999"/>
    <n v="2"/>
    <x v="119"/>
    <x v="8"/>
    <x v="1"/>
  </r>
  <r>
    <n v="44807"/>
    <x v="639"/>
    <x v="3"/>
    <x v="2"/>
    <x v="9"/>
    <s v="TRENDnet 56K USB 2.0 Phone, Internet and Fax Modem"/>
    <n v="129.44999999999999"/>
    <n v="5"/>
    <x v="2251"/>
    <x v="8"/>
    <x v="1"/>
  </r>
  <r>
    <n v="44807"/>
    <x v="403"/>
    <x v="37"/>
    <x v="0"/>
    <x v="12"/>
    <s v="Holmes Replacement Filter for HEPA Air Cleaner, Very Large Room, HEPA Filter"/>
    <n v="137.62"/>
    <n v="2"/>
    <x v="2252"/>
    <x v="8"/>
    <x v="1"/>
  </r>
  <r>
    <n v="44807"/>
    <x v="403"/>
    <x v="37"/>
    <x v="2"/>
    <x v="6"/>
    <s v="Classic Ivory AntiqueÂ TelephoneÂ ZL1810"/>
    <n v="100.49"/>
    <n v="1"/>
    <x v="2253"/>
    <x v="8"/>
    <x v="1"/>
  </r>
  <r>
    <n v="44807"/>
    <x v="403"/>
    <x v="20"/>
    <x v="0"/>
    <x v="2"/>
    <s v="Iceberg Mobile Mega Data/Printer Cart"/>
    <n v="120.33"/>
    <n v="1"/>
    <x v="2254"/>
    <x v="8"/>
    <x v="1"/>
  </r>
  <r>
    <n v="44807"/>
    <x v="326"/>
    <x v="3"/>
    <x v="1"/>
    <x v="5"/>
    <s v="Office Star - Ergonomically Designed Knee Chair"/>
    <n v="129.57"/>
    <n v="2"/>
    <x v="2255"/>
    <x v="8"/>
    <x v="1"/>
  </r>
  <r>
    <n v="44807"/>
    <x v="326"/>
    <x v="3"/>
    <x v="0"/>
    <x v="3"/>
    <s v="Avery Durable Slant Ring Binders, No Labels"/>
    <n v="6.37"/>
    <n v="2"/>
    <x v="2147"/>
    <x v="8"/>
    <x v="1"/>
  </r>
  <r>
    <n v="44807"/>
    <x v="552"/>
    <x v="12"/>
    <x v="1"/>
    <x v="8"/>
    <s v="GE 48&quot; Fluorescent Tube, Cool White Energy Saver, 34 Watts, 30/Box"/>
    <n v="238.15"/>
    <n v="3"/>
    <x v="2169"/>
    <x v="8"/>
    <x v="1"/>
  </r>
  <r>
    <n v="44807"/>
    <x v="209"/>
    <x v="14"/>
    <x v="0"/>
    <x v="1"/>
    <s v="Smead Alpha-Z Color-Coded Name Labels First Letter Starter Set"/>
    <n v="7.5"/>
    <n v="2"/>
    <x v="333"/>
    <x v="8"/>
    <x v="1"/>
  </r>
  <r>
    <n v="44808"/>
    <x v="349"/>
    <x v="4"/>
    <x v="0"/>
    <x v="0"/>
    <s v="Xerox 1908"/>
    <n v="279.89999999999998"/>
    <n v="5"/>
    <x v="2256"/>
    <x v="8"/>
    <x v="1"/>
  </r>
  <r>
    <n v="44808"/>
    <x v="349"/>
    <x v="4"/>
    <x v="2"/>
    <x v="9"/>
    <s v="Logitech G19 Programmable Gaming Keyboard"/>
    <n v="619.95000000000005"/>
    <n v="5"/>
    <x v="2257"/>
    <x v="8"/>
    <x v="1"/>
  </r>
  <r>
    <n v="44808"/>
    <x v="349"/>
    <x v="4"/>
    <x v="0"/>
    <x v="0"/>
    <s v="Ampad Evidence Wirebond Steno Books, 6&quot; x 9&quot;"/>
    <n v="4.3600000000000003"/>
    <n v="2"/>
    <x v="1899"/>
    <x v="8"/>
    <x v="1"/>
  </r>
  <r>
    <n v="44808"/>
    <x v="349"/>
    <x v="4"/>
    <x v="0"/>
    <x v="10"/>
    <s v="Security-Tint Envelopes"/>
    <n v="15.28"/>
    <n v="2"/>
    <x v="509"/>
    <x v="8"/>
    <x v="1"/>
  </r>
  <r>
    <n v="44808"/>
    <x v="127"/>
    <x v="11"/>
    <x v="0"/>
    <x v="3"/>
    <s v="Acco Flexible ACCOHIDE Square Ring Data Binder, Dark Blue, 11 1/2&quot; X 14&quot; 7/8&quot;"/>
    <n v="9.76"/>
    <n v="2"/>
    <x v="2258"/>
    <x v="8"/>
    <x v="1"/>
  </r>
  <r>
    <n v="44808"/>
    <x v="171"/>
    <x v="0"/>
    <x v="2"/>
    <x v="9"/>
    <s v="Sony Micro Vault Click 16 GB USB 2.0 Flash Drive"/>
    <n v="134.38"/>
    <n v="3"/>
    <x v="1690"/>
    <x v="8"/>
    <x v="1"/>
  </r>
  <r>
    <n v="44808"/>
    <x v="678"/>
    <x v="2"/>
    <x v="0"/>
    <x v="3"/>
    <s v="Avery Heavy-Duty EZD View Binder with Locking Rings"/>
    <n v="7.66"/>
    <n v="4"/>
    <x v="2259"/>
    <x v="8"/>
    <x v="1"/>
  </r>
  <r>
    <n v="44809"/>
    <x v="316"/>
    <x v="3"/>
    <x v="1"/>
    <x v="11"/>
    <s v="Sauder Camden County Barrister Bookcase, Planked Cherry Finish"/>
    <n v="411.33"/>
    <n v="4"/>
    <x v="1401"/>
    <x v="8"/>
    <x v="1"/>
  </r>
  <r>
    <n v="44809"/>
    <x v="316"/>
    <x v="3"/>
    <x v="0"/>
    <x v="3"/>
    <s v="DXL Angle-View Binders with Locking Rings, Black"/>
    <n v="28.75"/>
    <n v="6"/>
    <x v="420"/>
    <x v="8"/>
    <x v="1"/>
  </r>
  <r>
    <n v="44809"/>
    <x v="316"/>
    <x v="3"/>
    <x v="1"/>
    <x v="11"/>
    <s v="Sauder Camden County Collection Libraries, Planked Cherry Finish"/>
    <n v="293.2"/>
    <n v="3"/>
    <x v="2260"/>
    <x v="8"/>
    <x v="1"/>
  </r>
  <r>
    <n v="44809"/>
    <x v="683"/>
    <x v="0"/>
    <x v="0"/>
    <x v="3"/>
    <s v="Acco Flexible ACCOHIDE Square Ring Data Binder, Dark Blue, 11 1/2&quot; X 14&quot; 7/8&quot;"/>
    <n v="16.27"/>
    <n v="5"/>
    <x v="2261"/>
    <x v="8"/>
    <x v="1"/>
  </r>
  <r>
    <n v="44809"/>
    <x v="683"/>
    <x v="0"/>
    <x v="0"/>
    <x v="14"/>
    <s v="Stiletto Hand Letter Openers"/>
    <n v="69.12"/>
    <n v="9"/>
    <x v="2262"/>
    <x v="8"/>
    <x v="1"/>
  </r>
  <r>
    <n v="44809"/>
    <x v="683"/>
    <x v="0"/>
    <x v="0"/>
    <x v="3"/>
    <s v="Acco Four Pocket Poly Ring Binder with Label Holder, Smoke, 1&quot;"/>
    <n v="4.47"/>
    <n v="3"/>
    <x v="2263"/>
    <x v="8"/>
    <x v="1"/>
  </r>
  <r>
    <n v="44809"/>
    <x v="569"/>
    <x v="28"/>
    <x v="1"/>
    <x v="8"/>
    <s v="Longer-Life Soft White Bulbs"/>
    <n v="6.16"/>
    <n v="2"/>
    <x v="1057"/>
    <x v="8"/>
    <x v="1"/>
  </r>
  <r>
    <n v="44809"/>
    <x v="569"/>
    <x v="28"/>
    <x v="0"/>
    <x v="0"/>
    <s v="Xerox 1881"/>
    <n v="36.840000000000003"/>
    <n v="3"/>
    <x v="1684"/>
    <x v="8"/>
    <x v="1"/>
  </r>
  <r>
    <n v="44809"/>
    <x v="581"/>
    <x v="6"/>
    <x v="1"/>
    <x v="8"/>
    <s v="Tensor Brushed Steel Torchiere Floor Lamp"/>
    <n v="67.959999999999994"/>
    <n v="4"/>
    <x v="559"/>
    <x v="8"/>
    <x v="1"/>
  </r>
  <r>
    <n v="44810"/>
    <x v="165"/>
    <x v="22"/>
    <x v="0"/>
    <x v="3"/>
    <s v="Acco Hanging Data Binders"/>
    <n v="6.1"/>
    <n v="2"/>
    <x v="1642"/>
    <x v="8"/>
    <x v="1"/>
  </r>
  <r>
    <n v="44810"/>
    <x v="165"/>
    <x v="22"/>
    <x v="1"/>
    <x v="8"/>
    <s v="Howard Miller 16&quot; Diameter Gallery Wall Clock"/>
    <n v="191.82"/>
    <n v="3"/>
    <x v="1168"/>
    <x v="8"/>
    <x v="1"/>
  </r>
  <r>
    <n v="44810"/>
    <x v="604"/>
    <x v="3"/>
    <x v="2"/>
    <x v="9"/>
    <s v="Memorex Mini Travel Drive 8 GB USB 2.0 Flash Drive"/>
    <n v="46.32"/>
    <n v="4"/>
    <x v="2264"/>
    <x v="8"/>
    <x v="1"/>
  </r>
  <r>
    <n v="44810"/>
    <x v="684"/>
    <x v="20"/>
    <x v="1"/>
    <x v="5"/>
    <s v="Global Airflow Leather Mesh Back Chair, Black"/>
    <n v="271.76"/>
    <n v="2"/>
    <x v="2077"/>
    <x v="8"/>
    <x v="1"/>
  </r>
  <r>
    <n v="44810"/>
    <x v="38"/>
    <x v="15"/>
    <x v="0"/>
    <x v="7"/>
    <s v="Assorted Color Push Pins"/>
    <n v="7.24"/>
    <n v="5"/>
    <x v="1212"/>
    <x v="8"/>
    <x v="1"/>
  </r>
  <r>
    <n v="44810"/>
    <x v="538"/>
    <x v="16"/>
    <x v="0"/>
    <x v="3"/>
    <s v="GBC Plasticlear Binding Covers"/>
    <n v="3.44"/>
    <n v="1"/>
    <x v="2265"/>
    <x v="8"/>
    <x v="1"/>
  </r>
  <r>
    <n v="44810"/>
    <x v="14"/>
    <x v="20"/>
    <x v="0"/>
    <x v="12"/>
    <s v="Black &amp; Decker Filter for Double Action Dustbuster Cordless Vac BLDV7210"/>
    <n v="8.39"/>
    <n v="1"/>
    <x v="2266"/>
    <x v="8"/>
    <x v="1"/>
  </r>
  <r>
    <n v="44810"/>
    <x v="14"/>
    <x v="20"/>
    <x v="2"/>
    <x v="6"/>
    <s v="ShoreTel ShorePhone IP 230 VoIP phone"/>
    <n v="337.98"/>
    <n v="2"/>
    <x v="2267"/>
    <x v="8"/>
    <x v="1"/>
  </r>
  <r>
    <n v="44810"/>
    <x v="340"/>
    <x v="6"/>
    <x v="0"/>
    <x v="3"/>
    <s v="SlimView Poly Binder, 3/8&quot;"/>
    <n v="46.62"/>
    <n v="9"/>
    <x v="2268"/>
    <x v="8"/>
    <x v="1"/>
  </r>
  <r>
    <n v="44810"/>
    <x v="661"/>
    <x v="8"/>
    <x v="1"/>
    <x v="13"/>
    <s v="KI Adjustable-Height Table"/>
    <n v="85.98"/>
    <n v="1"/>
    <x v="596"/>
    <x v="8"/>
    <x v="1"/>
  </r>
  <r>
    <n v="44811"/>
    <x v="454"/>
    <x v="3"/>
    <x v="0"/>
    <x v="2"/>
    <s v="Safco Industrial Wire Shelving"/>
    <n v="671.93"/>
    <n v="7"/>
    <x v="468"/>
    <x v="8"/>
    <x v="1"/>
  </r>
  <r>
    <n v="44811"/>
    <x v="309"/>
    <x v="0"/>
    <x v="1"/>
    <x v="5"/>
    <s v="Metal Folding Chairs, Beige, 4/Carton"/>
    <n v="47.52"/>
    <n v="2"/>
    <x v="2269"/>
    <x v="8"/>
    <x v="1"/>
  </r>
  <r>
    <n v="44811"/>
    <x v="387"/>
    <x v="20"/>
    <x v="0"/>
    <x v="2"/>
    <s v="Eldon Shelf Savers Cubes and Bins"/>
    <n v="13.96"/>
    <n v="2"/>
    <x v="2270"/>
    <x v="8"/>
    <x v="1"/>
  </r>
  <r>
    <n v="44811"/>
    <x v="387"/>
    <x v="20"/>
    <x v="1"/>
    <x v="13"/>
    <s v="Anderson Hickey Conga Table Tops &amp; Accessories"/>
    <n v="27.41"/>
    <n v="3"/>
    <x v="2271"/>
    <x v="8"/>
    <x v="1"/>
  </r>
  <r>
    <n v="44811"/>
    <x v="382"/>
    <x v="2"/>
    <x v="0"/>
    <x v="3"/>
    <s v="GBC Wire Binding Strips"/>
    <n v="9.52"/>
    <n v="1"/>
    <x v="2272"/>
    <x v="8"/>
    <x v="1"/>
  </r>
  <r>
    <n v="44811"/>
    <x v="382"/>
    <x v="2"/>
    <x v="2"/>
    <x v="6"/>
    <s v="Samsung Galaxy Note 3"/>
    <n v="791.96"/>
    <n v="6"/>
    <x v="2273"/>
    <x v="8"/>
    <x v="1"/>
  </r>
  <r>
    <n v="44811"/>
    <x v="382"/>
    <x v="2"/>
    <x v="0"/>
    <x v="3"/>
    <s v="Angle-D Ring Binders"/>
    <n v="4.92"/>
    <n v="3"/>
    <x v="2227"/>
    <x v="8"/>
    <x v="1"/>
  </r>
  <r>
    <n v="44811"/>
    <x v="369"/>
    <x v="25"/>
    <x v="0"/>
    <x v="4"/>
    <s v="Boston 1645 Deluxe Heavier-Duty Electric Pencil Sharpener"/>
    <n v="140.74"/>
    <n v="4"/>
    <x v="1378"/>
    <x v="8"/>
    <x v="1"/>
  </r>
  <r>
    <n v="44811"/>
    <x v="451"/>
    <x v="20"/>
    <x v="2"/>
    <x v="9"/>
    <s v="Razer Kraken PRO Over Ear PC and Music Headset"/>
    <n v="559.92999999999995"/>
    <n v="7"/>
    <x v="2274"/>
    <x v="8"/>
    <x v="1"/>
  </r>
  <r>
    <n v="44811"/>
    <x v="340"/>
    <x v="20"/>
    <x v="0"/>
    <x v="2"/>
    <s v="Mobile Personal File Cube"/>
    <n v="70.260000000000005"/>
    <n v="3"/>
    <x v="2186"/>
    <x v="8"/>
    <x v="1"/>
  </r>
  <r>
    <n v="44811"/>
    <x v="340"/>
    <x v="20"/>
    <x v="2"/>
    <x v="9"/>
    <s v="KeyTronicÂ E03601U1 -Â KeyboardÂ - Beige"/>
    <n v="90"/>
    <n v="5"/>
    <x v="1024"/>
    <x v="8"/>
    <x v="1"/>
  </r>
  <r>
    <n v="44811"/>
    <x v="340"/>
    <x v="20"/>
    <x v="0"/>
    <x v="3"/>
    <s v="Acco Pressboard Covers with Storage Hooks, 9 1/2&quot; x 11&quot;, Executive Red"/>
    <n v="6.1"/>
    <n v="2"/>
    <x v="1966"/>
    <x v="8"/>
    <x v="1"/>
  </r>
  <r>
    <n v="44811"/>
    <x v="340"/>
    <x v="20"/>
    <x v="1"/>
    <x v="13"/>
    <s v="Bretford CR8500 Series Meeting Room Furniture"/>
    <n v="481.18"/>
    <n v="2"/>
    <x v="2275"/>
    <x v="8"/>
    <x v="1"/>
  </r>
  <r>
    <n v="44811"/>
    <x v="340"/>
    <x v="20"/>
    <x v="0"/>
    <x v="7"/>
    <s v="Assorted Color Push Pins"/>
    <n v="7.24"/>
    <n v="4"/>
    <x v="1712"/>
    <x v="8"/>
    <x v="1"/>
  </r>
  <r>
    <n v="44812"/>
    <x v="685"/>
    <x v="3"/>
    <x v="0"/>
    <x v="0"/>
    <s v="Xerox 1928"/>
    <n v="26.4"/>
    <n v="5"/>
    <x v="551"/>
    <x v="8"/>
    <x v="1"/>
  </r>
  <r>
    <n v="44812"/>
    <x v="685"/>
    <x v="3"/>
    <x v="0"/>
    <x v="2"/>
    <s v="Eldon Shelf Savers Cubes and Bins"/>
    <n v="41.88"/>
    <n v="6"/>
    <x v="243"/>
    <x v="8"/>
    <x v="1"/>
  </r>
  <r>
    <n v="44812"/>
    <x v="197"/>
    <x v="33"/>
    <x v="1"/>
    <x v="8"/>
    <s v="Acrylic Self-Standing Desk Frames"/>
    <n v="21.36"/>
    <n v="8"/>
    <x v="2276"/>
    <x v="8"/>
    <x v="1"/>
  </r>
  <r>
    <n v="44814"/>
    <x v="309"/>
    <x v="3"/>
    <x v="0"/>
    <x v="14"/>
    <s v="Martin-Yale Premier Letter Opener"/>
    <n v="51.52"/>
    <n v="4"/>
    <x v="839"/>
    <x v="8"/>
    <x v="1"/>
  </r>
  <r>
    <n v="44814"/>
    <x v="69"/>
    <x v="39"/>
    <x v="0"/>
    <x v="0"/>
    <s v="Xerox 1952"/>
    <n v="14.94"/>
    <n v="3"/>
    <x v="162"/>
    <x v="8"/>
    <x v="1"/>
  </r>
  <r>
    <n v="44814"/>
    <x v="150"/>
    <x v="32"/>
    <x v="0"/>
    <x v="12"/>
    <s v="Euro-Pro Shark Turbo Vacuum"/>
    <n v="61.96"/>
    <n v="2"/>
    <x v="2277"/>
    <x v="8"/>
    <x v="1"/>
  </r>
  <r>
    <n v="44814"/>
    <x v="150"/>
    <x v="32"/>
    <x v="1"/>
    <x v="11"/>
    <s v="O'Sullivan 2-Door Barrister Bookcase in Odessa Pine"/>
    <n v="361.96"/>
    <n v="2"/>
    <x v="2278"/>
    <x v="8"/>
    <x v="1"/>
  </r>
  <r>
    <n v="44814"/>
    <x v="150"/>
    <x v="32"/>
    <x v="0"/>
    <x v="0"/>
    <s v="Xerox 1960"/>
    <n v="278.82"/>
    <n v="9"/>
    <x v="2279"/>
    <x v="8"/>
    <x v="1"/>
  </r>
  <r>
    <n v="44814"/>
    <x v="550"/>
    <x v="22"/>
    <x v="0"/>
    <x v="2"/>
    <s v="Belkin 19&quot; Center-Weighted Shelf, Gray"/>
    <n v="353.88"/>
    <n v="6"/>
    <x v="2280"/>
    <x v="8"/>
    <x v="1"/>
  </r>
  <r>
    <n v="44814"/>
    <x v="686"/>
    <x v="20"/>
    <x v="0"/>
    <x v="4"/>
    <s v="Manco Dry-Lighter Erasable Highlighter"/>
    <n v="6.08"/>
    <n v="2"/>
    <x v="163"/>
    <x v="8"/>
    <x v="1"/>
  </r>
  <r>
    <n v="44814"/>
    <x v="410"/>
    <x v="3"/>
    <x v="1"/>
    <x v="8"/>
    <s v="Seth Thomas 13 1/2&quot; Wall Clock"/>
    <n v="106.68"/>
    <n v="6"/>
    <x v="2281"/>
    <x v="8"/>
    <x v="1"/>
  </r>
  <r>
    <n v="44814"/>
    <x v="592"/>
    <x v="0"/>
    <x v="1"/>
    <x v="5"/>
    <s v="Global Commerce Series Low-Back Swivel/Tilt Chairs"/>
    <n v="179.89"/>
    <n v="1"/>
    <x v="2282"/>
    <x v="8"/>
    <x v="1"/>
  </r>
  <r>
    <n v="44815"/>
    <x v="236"/>
    <x v="3"/>
    <x v="0"/>
    <x v="4"/>
    <s v="Boston 19500 Mighty Mite Electric Pencil Sharpener"/>
    <n v="181.35"/>
    <n v="9"/>
    <x v="2283"/>
    <x v="8"/>
    <x v="1"/>
  </r>
  <r>
    <n v="44815"/>
    <x v="236"/>
    <x v="3"/>
    <x v="0"/>
    <x v="1"/>
    <s v="Avery 474"/>
    <n v="8.64"/>
    <n v="3"/>
    <x v="1362"/>
    <x v="8"/>
    <x v="1"/>
  </r>
  <r>
    <n v="44815"/>
    <x v="191"/>
    <x v="3"/>
    <x v="0"/>
    <x v="4"/>
    <s v="Hunt PowerHouse Electric Pencil Sharpener, Blue"/>
    <n v="265.86"/>
    <n v="7"/>
    <x v="2284"/>
    <x v="8"/>
    <x v="1"/>
  </r>
  <r>
    <n v="44815"/>
    <x v="286"/>
    <x v="20"/>
    <x v="1"/>
    <x v="8"/>
    <s v="Deflect-o DuraMat Antistatic Studded Beveled Mat for Medium Pile Carpeting"/>
    <n v="210.68"/>
    <n v="2"/>
    <x v="2285"/>
    <x v="8"/>
    <x v="1"/>
  </r>
  <r>
    <n v="44815"/>
    <x v="286"/>
    <x v="20"/>
    <x v="0"/>
    <x v="2"/>
    <s v="Space Solutions Industrial Galvanized Steel Shelving."/>
    <n v="78.8"/>
    <n v="1"/>
    <x v="2286"/>
    <x v="8"/>
    <x v="1"/>
  </r>
  <r>
    <n v="44815"/>
    <x v="286"/>
    <x v="20"/>
    <x v="2"/>
    <x v="9"/>
    <s v="LogitechÂ LS21 Speaker System - PC Multimedia - 2.1-CH - Wired"/>
    <n v="19.989999999999998"/>
    <n v="1"/>
    <x v="1054"/>
    <x v="8"/>
    <x v="1"/>
  </r>
  <r>
    <n v="44815"/>
    <x v="286"/>
    <x v="20"/>
    <x v="0"/>
    <x v="2"/>
    <s v="Fellowes Staxonsteel Drawer Files"/>
    <n v="772.68"/>
    <n v="4"/>
    <x v="2287"/>
    <x v="8"/>
    <x v="1"/>
  </r>
  <r>
    <n v="44815"/>
    <x v="169"/>
    <x v="26"/>
    <x v="1"/>
    <x v="8"/>
    <s v="Deflect-O Glasstique Clear Desk Accessories"/>
    <n v="24.64"/>
    <n v="4"/>
    <x v="2288"/>
    <x v="8"/>
    <x v="1"/>
  </r>
  <r>
    <n v="44815"/>
    <x v="659"/>
    <x v="23"/>
    <x v="0"/>
    <x v="1"/>
    <s v="Avery 503"/>
    <n v="31.05"/>
    <n v="3"/>
    <x v="1256"/>
    <x v="8"/>
    <x v="1"/>
  </r>
  <r>
    <n v="44815"/>
    <x v="659"/>
    <x v="23"/>
    <x v="1"/>
    <x v="8"/>
    <s v="Eldon Pizzaz Desk Accessories"/>
    <n v="8.92"/>
    <n v="4"/>
    <x v="1111"/>
    <x v="8"/>
    <x v="1"/>
  </r>
  <r>
    <n v="44815"/>
    <x v="659"/>
    <x v="23"/>
    <x v="0"/>
    <x v="3"/>
    <s v="Ibico Laser Imprintable Binding System Covers"/>
    <n v="209.6"/>
    <n v="4"/>
    <x v="2289"/>
    <x v="8"/>
    <x v="1"/>
  </r>
  <r>
    <n v="44815"/>
    <x v="659"/>
    <x v="23"/>
    <x v="0"/>
    <x v="12"/>
    <s v="Fellowes Advanced 8 Outlet Surge Suppressor with Phone/Fax Protection"/>
    <n v="111.04"/>
    <n v="4"/>
    <x v="2290"/>
    <x v="8"/>
    <x v="1"/>
  </r>
  <r>
    <n v="44815"/>
    <x v="659"/>
    <x v="23"/>
    <x v="0"/>
    <x v="0"/>
    <s v="Xerox 208"/>
    <n v="38.880000000000003"/>
    <n v="6"/>
    <x v="2107"/>
    <x v="8"/>
    <x v="1"/>
  </r>
  <r>
    <n v="44816"/>
    <x v="194"/>
    <x v="20"/>
    <x v="2"/>
    <x v="16"/>
    <s v="Hewlett Packard 310 Color Digital Copier"/>
    <n v="479.98"/>
    <n v="2"/>
    <x v="2291"/>
    <x v="8"/>
    <x v="1"/>
  </r>
  <r>
    <n v="44816"/>
    <x v="194"/>
    <x v="20"/>
    <x v="0"/>
    <x v="1"/>
    <s v="Avery 520"/>
    <n v="12.6"/>
    <n v="4"/>
    <x v="1587"/>
    <x v="8"/>
    <x v="1"/>
  </r>
  <r>
    <n v="44816"/>
    <x v="51"/>
    <x v="20"/>
    <x v="0"/>
    <x v="4"/>
    <s v="Binney &amp; Smith Crayola Metallic Colored Pencils, 8-Color Set"/>
    <n v="9.26"/>
    <n v="2"/>
    <x v="269"/>
    <x v="8"/>
    <x v="1"/>
  </r>
  <r>
    <n v="44816"/>
    <x v="51"/>
    <x v="20"/>
    <x v="0"/>
    <x v="2"/>
    <s v="Gould Plastics 9-Pocket Panel Bin, 18-3/8w x 5-1/4d x 20-1/2h, Black"/>
    <n v="105.98"/>
    <n v="2"/>
    <x v="390"/>
    <x v="8"/>
    <x v="1"/>
  </r>
  <r>
    <n v="44816"/>
    <x v="51"/>
    <x v="20"/>
    <x v="0"/>
    <x v="7"/>
    <s v="OIC Binder Clips, Mini, 1/4&quot; Capacity, Black"/>
    <n v="1.24"/>
    <n v="1"/>
    <x v="2292"/>
    <x v="8"/>
    <x v="1"/>
  </r>
  <r>
    <n v="44816"/>
    <x v="51"/>
    <x v="20"/>
    <x v="0"/>
    <x v="1"/>
    <s v="Avery 489"/>
    <n v="20.7"/>
    <n v="2"/>
    <x v="2293"/>
    <x v="8"/>
    <x v="1"/>
  </r>
  <r>
    <n v="44816"/>
    <x v="51"/>
    <x v="20"/>
    <x v="0"/>
    <x v="0"/>
    <s v="HP Office Recycled Paper (20Lb. and 87 Bright)"/>
    <n v="28.9"/>
    <n v="5"/>
    <x v="2294"/>
    <x v="8"/>
    <x v="1"/>
  </r>
  <r>
    <n v="44816"/>
    <x v="51"/>
    <x v="20"/>
    <x v="0"/>
    <x v="10"/>
    <s v="Tyvek  Top-Opening Peel &amp; Seel Envelopes, Plain White"/>
    <n v="27.18"/>
    <n v="1"/>
    <x v="2295"/>
    <x v="8"/>
    <x v="1"/>
  </r>
  <r>
    <n v="44816"/>
    <x v="583"/>
    <x v="22"/>
    <x v="2"/>
    <x v="9"/>
    <s v="Memorex Froggy Flash Drive 4 GB"/>
    <n v="21.98"/>
    <n v="2"/>
    <x v="2296"/>
    <x v="8"/>
    <x v="1"/>
  </r>
  <r>
    <n v="44817"/>
    <x v="456"/>
    <x v="18"/>
    <x v="2"/>
    <x v="9"/>
    <s v="Case Logic 2.4GHz Wireless Keyboard"/>
    <n v="199.96"/>
    <n v="4"/>
    <x v="2297"/>
    <x v="8"/>
    <x v="1"/>
  </r>
  <r>
    <n v="44817"/>
    <x v="456"/>
    <x v="18"/>
    <x v="1"/>
    <x v="5"/>
    <s v="Hon Multipurpose Stacking Arm Chairs"/>
    <n v="1516.2"/>
    <n v="7"/>
    <x v="2298"/>
    <x v="8"/>
    <x v="1"/>
  </r>
  <r>
    <n v="44817"/>
    <x v="173"/>
    <x v="2"/>
    <x v="0"/>
    <x v="3"/>
    <s v="Fellowes Twister Kit, Gray/Clear, 3/pkg"/>
    <n v="2.41"/>
    <n v="1"/>
    <x v="2299"/>
    <x v="8"/>
    <x v="1"/>
  </r>
  <r>
    <n v="44817"/>
    <x v="657"/>
    <x v="4"/>
    <x v="1"/>
    <x v="8"/>
    <s v="Eldon Advantage Chair Mats for Low to Medium Pile Carpets"/>
    <n v="129.93"/>
    <n v="3"/>
    <x v="372"/>
    <x v="8"/>
    <x v="1"/>
  </r>
  <r>
    <n v="44817"/>
    <x v="657"/>
    <x v="4"/>
    <x v="0"/>
    <x v="0"/>
    <s v="Xerox 1948"/>
    <n v="69.930000000000007"/>
    <n v="7"/>
    <x v="888"/>
    <x v="8"/>
    <x v="1"/>
  </r>
  <r>
    <n v="44817"/>
    <x v="316"/>
    <x v="1"/>
    <x v="0"/>
    <x v="10"/>
    <s v="Staple envelope"/>
    <n v="7.82"/>
    <n v="1"/>
    <x v="1461"/>
    <x v="8"/>
    <x v="1"/>
  </r>
  <r>
    <n v="44817"/>
    <x v="316"/>
    <x v="1"/>
    <x v="1"/>
    <x v="5"/>
    <s v="Global Value Steno Chair, Gray"/>
    <n v="170.07"/>
    <n v="4"/>
    <x v="2300"/>
    <x v="8"/>
    <x v="1"/>
  </r>
  <r>
    <n v="44817"/>
    <x v="481"/>
    <x v="25"/>
    <x v="0"/>
    <x v="3"/>
    <s v="Heavy-Duty E-Z-D Binders"/>
    <n v="13.09"/>
    <n v="4"/>
    <x v="2301"/>
    <x v="8"/>
    <x v="1"/>
  </r>
  <r>
    <n v="44817"/>
    <x v="687"/>
    <x v="3"/>
    <x v="1"/>
    <x v="8"/>
    <s v="Flat Face Poster Frame"/>
    <n v="131.88"/>
    <n v="7"/>
    <x v="2302"/>
    <x v="8"/>
    <x v="1"/>
  </r>
  <r>
    <n v="44817"/>
    <x v="687"/>
    <x v="3"/>
    <x v="0"/>
    <x v="3"/>
    <s v="Acco Data Flex Cable Posts For Top &amp; Bottom Load Binders, 6&quot; Capacity"/>
    <n v="25.03"/>
    <n v="3"/>
    <x v="355"/>
    <x v="8"/>
    <x v="1"/>
  </r>
  <r>
    <n v="44817"/>
    <x v="687"/>
    <x v="3"/>
    <x v="1"/>
    <x v="5"/>
    <s v="Global Comet Stacking Armless Chair"/>
    <n v="717.72"/>
    <n v="3"/>
    <x v="690"/>
    <x v="8"/>
    <x v="1"/>
  </r>
  <r>
    <n v="44817"/>
    <x v="687"/>
    <x v="3"/>
    <x v="1"/>
    <x v="8"/>
    <s v="Eldon Econocleat Chair Mats for Low Pile Carpets"/>
    <n v="207.35"/>
    <n v="5"/>
    <x v="1746"/>
    <x v="8"/>
    <x v="1"/>
  </r>
  <r>
    <n v="44817"/>
    <x v="687"/>
    <x v="3"/>
    <x v="1"/>
    <x v="8"/>
    <s v="Tensor Computer Mounted Lamp"/>
    <n v="44.67"/>
    <n v="3"/>
    <x v="2303"/>
    <x v="8"/>
    <x v="1"/>
  </r>
  <r>
    <n v="44817"/>
    <x v="687"/>
    <x v="3"/>
    <x v="0"/>
    <x v="0"/>
    <s v="Xerox 1915"/>
    <n v="209.7"/>
    <n v="2"/>
    <x v="1743"/>
    <x v="8"/>
    <x v="1"/>
  </r>
  <r>
    <n v="44818"/>
    <x v="103"/>
    <x v="27"/>
    <x v="1"/>
    <x v="13"/>
    <s v="Lesro Round Back Collection Coffee Table, End Table"/>
    <n v="912.75"/>
    <n v="5"/>
    <x v="2304"/>
    <x v="8"/>
    <x v="1"/>
  </r>
  <r>
    <n v="44818"/>
    <x v="386"/>
    <x v="3"/>
    <x v="1"/>
    <x v="13"/>
    <s v="KI Conference Tables"/>
    <n v="170.14"/>
    <n v="3"/>
    <x v="2305"/>
    <x v="8"/>
    <x v="1"/>
  </r>
  <r>
    <n v="44818"/>
    <x v="616"/>
    <x v="9"/>
    <x v="0"/>
    <x v="2"/>
    <s v="Fellowes Officeware Wire Shelving"/>
    <n v="269.49"/>
    <n v="3"/>
    <x v="1174"/>
    <x v="8"/>
    <x v="1"/>
  </r>
  <r>
    <n v="44818"/>
    <x v="96"/>
    <x v="20"/>
    <x v="0"/>
    <x v="2"/>
    <s v="Economy Rollaway Files"/>
    <n v="991.2"/>
    <n v="6"/>
    <x v="2306"/>
    <x v="8"/>
    <x v="1"/>
  </r>
  <r>
    <n v="44818"/>
    <x v="96"/>
    <x v="20"/>
    <x v="2"/>
    <x v="16"/>
    <s v="Sharp 1540cs Digital Laser Copier"/>
    <n v="879.98"/>
    <n v="2"/>
    <x v="2307"/>
    <x v="8"/>
    <x v="1"/>
  </r>
  <r>
    <n v="44818"/>
    <x v="96"/>
    <x v="20"/>
    <x v="0"/>
    <x v="3"/>
    <s v="Wilson Jones Easy Flow II Sheet Lifters"/>
    <n v="12.96"/>
    <n v="9"/>
    <x v="406"/>
    <x v="8"/>
    <x v="1"/>
  </r>
  <r>
    <n v="44818"/>
    <x v="671"/>
    <x v="30"/>
    <x v="0"/>
    <x v="3"/>
    <s v="Wilson Jones Impact Binders"/>
    <n v="25.9"/>
    <n v="5"/>
    <x v="2308"/>
    <x v="8"/>
    <x v="1"/>
  </r>
  <r>
    <n v="44819"/>
    <x v="537"/>
    <x v="16"/>
    <x v="0"/>
    <x v="0"/>
    <s v="Xerox 21"/>
    <n v="15.55"/>
    <n v="3"/>
    <x v="192"/>
    <x v="8"/>
    <x v="1"/>
  </r>
  <r>
    <n v="44819"/>
    <x v="537"/>
    <x v="16"/>
    <x v="1"/>
    <x v="8"/>
    <s v="Ultra Door Push Plate"/>
    <n v="15.71"/>
    <n v="4"/>
    <x v="2309"/>
    <x v="8"/>
    <x v="1"/>
  </r>
  <r>
    <n v="44819"/>
    <x v="537"/>
    <x v="16"/>
    <x v="0"/>
    <x v="2"/>
    <s v="Decoflex Hanging Personal Folder File, Blue"/>
    <n v="24.67"/>
    <n v="2"/>
    <x v="2310"/>
    <x v="8"/>
    <x v="1"/>
  </r>
  <r>
    <n v="44819"/>
    <x v="537"/>
    <x v="16"/>
    <x v="1"/>
    <x v="8"/>
    <s v="Tenex &quot;The Solids&quot; Textured Chair Mats"/>
    <n v="55.97"/>
    <n v="1"/>
    <x v="2311"/>
    <x v="8"/>
    <x v="1"/>
  </r>
  <r>
    <n v="44819"/>
    <x v="189"/>
    <x v="18"/>
    <x v="0"/>
    <x v="2"/>
    <s v="Fellowes Stor/Drawer Steel Plus Storage Drawers"/>
    <n v="190.86"/>
    <n v="2"/>
    <x v="2240"/>
    <x v="8"/>
    <x v="1"/>
  </r>
  <r>
    <n v="44819"/>
    <x v="189"/>
    <x v="18"/>
    <x v="0"/>
    <x v="4"/>
    <s v="Manco Dry-Lighter Erasable Highlighter"/>
    <n v="24.32"/>
    <n v="8"/>
    <x v="2312"/>
    <x v="8"/>
    <x v="1"/>
  </r>
  <r>
    <n v="44819"/>
    <x v="688"/>
    <x v="20"/>
    <x v="0"/>
    <x v="3"/>
    <s v="GBC Twin Loop Wire Binding Elements"/>
    <n v="79.87"/>
    <n v="3"/>
    <x v="1424"/>
    <x v="8"/>
    <x v="1"/>
  </r>
  <r>
    <n v="44819"/>
    <x v="688"/>
    <x v="20"/>
    <x v="1"/>
    <x v="11"/>
    <s v="Bush Westfield Collection Bookcases, Medium Cherry Finish"/>
    <n v="46.38"/>
    <n v="1"/>
    <x v="1513"/>
    <x v="8"/>
    <x v="1"/>
  </r>
  <r>
    <n v="44819"/>
    <x v="688"/>
    <x v="20"/>
    <x v="0"/>
    <x v="0"/>
    <s v="Xerox 1967"/>
    <n v="12.96"/>
    <n v="2"/>
    <x v="113"/>
    <x v="8"/>
    <x v="1"/>
  </r>
  <r>
    <n v="44819"/>
    <x v="262"/>
    <x v="33"/>
    <x v="1"/>
    <x v="13"/>
    <s v="Bretford CR8500 Series Meeting Room Furniture"/>
    <n v="801.96"/>
    <n v="2"/>
    <x v="2313"/>
    <x v="8"/>
    <x v="1"/>
  </r>
  <r>
    <n v="44819"/>
    <x v="262"/>
    <x v="33"/>
    <x v="2"/>
    <x v="6"/>
    <s v="Anker Astro Mini 3000mAh Ultra-Compact Portable Charger"/>
    <n v="59.97"/>
    <n v="3"/>
    <x v="62"/>
    <x v="8"/>
    <x v="1"/>
  </r>
  <r>
    <n v="44819"/>
    <x v="262"/>
    <x v="33"/>
    <x v="1"/>
    <x v="5"/>
    <s v="Global Manager's Adjustable Task Chair, Storm"/>
    <n v="1056.8599999999999"/>
    <n v="7"/>
    <x v="2314"/>
    <x v="8"/>
    <x v="1"/>
  </r>
  <r>
    <n v="44819"/>
    <x v="689"/>
    <x v="2"/>
    <x v="0"/>
    <x v="3"/>
    <s v="Avery Hidden Tab Dividers for Binding Systems"/>
    <n v="3.58"/>
    <n v="4"/>
    <x v="2315"/>
    <x v="8"/>
    <x v="1"/>
  </r>
  <r>
    <n v="44819"/>
    <x v="689"/>
    <x v="2"/>
    <x v="0"/>
    <x v="2"/>
    <s v="Gould Plastics 18-Pocket Panel Bin, 34w x 5-1/4d x 20-1/2h"/>
    <n v="147.18"/>
    <n v="2"/>
    <x v="2316"/>
    <x v="8"/>
    <x v="1"/>
  </r>
  <r>
    <n v="44820"/>
    <x v="32"/>
    <x v="6"/>
    <x v="0"/>
    <x v="10"/>
    <s v="Staple envelope"/>
    <n v="31.12"/>
    <n v="4"/>
    <x v="2317"/>
    <x v="8"/>
    <x v="1"/>
  </r>
  <r>
    <n v="44821"/>
    <x v="463"/>
    <x v="2"/>
    <x v="1"/>
    <x v="11"/>
    <s v="Riverside Palais Royal Lawyers Bookcase, Royale Cherry Finish"/>
    <n v="3083.43"/>
    <n v="7"/>
    <x v="2318"/>
    <x v="8"/>
    <x v="1"/>
  </r>
  <r>
    <n v="44821"/>
    <x v="463"/>
    <x v="2"/>
    <x v="0"/>
    <x v="3"/>
    <s v="Avery Recycled Flexi-View Covers for Binding Systems"/>
    <n v="9.6199999999999992"/>
    <n v="2"/>
    <x v="2319"/>
    <x v="8"/>
    <x v="1"/>
  </r>
  <r>
    <n v="44821"/>
    <x v="463"/>
    <x v="2"/>
    <x v="1"/>
    <x v="8"/>
    <s v="Howard Miller 13-3/4&quot; Diameter Brushed Chrome Round Wall Clock"/>
    <n v="124.2"/>
    <n v="3"/>
    <x v="1030"/>
    <x v="8"/>
    <x v="1"/>
  </r>
  <r>
    <n v="44821"/>
    <x v="463"/>
    <x v="2"/>
    <x v="0"/>
    <x v="10"/>
    <s v="Poly String Tie Envelopes"/>
    <n v="3.26"/>
    <n v="2"/>
    <x v="1035"/>
    <x v="8"/>
    <x v="1"/>
  </r>
  <r>
    <n v="44821"/>
    <x v="463"/>
    <x v="2"/>
    <x v="0"/>
    <x v="4"/>
    <s v="BOSTON Model 1800 Electric Pencil Sharpeners, Putty/Woodgrain"/>
    <n v="86.3"/>
    <n v="6"/>
    <x v="2320"/>
    <x v="8"/>
    <x v="1"/>
  </r>
  <r>
    <n v="44821"/>
    <x v="463"/>
    <x v="2"/>
    <x v="0"/>
    <x v="3"/>
    <s v="Acco Pressboard Covers with Storage Hooks, 14 7/8&quot; x 11&quot;, Executive Red"/>
    <n v="6.86"/>
    <n v="6"/>
    <x v="2321"/>
    <x v="8"/>
    <x v="1"/>
  </r>
  <r>
    <n v="44821"/>
    <x v="463"/>
    <x v="2"/>
    <x v="0"/>
    <x v="4"/>
    <s v="Lumber Crayons"/>
    <n v="15.76"/>
    <n v="2"/>
    <x v="339"/>
    <x v="8"/>
    <x v="1"/>
  </r>
  <r>
    <n v="44821"/>
    <x v="690"/>
    <x v="3"/>
    <x v="0"/>
    <x v="0"/>
    <s v="Xerox 216"/>
    <n v="32.4"/>
    <n v="5"/>
    <x v="327"/>
    <x v="8"/>
    <x v="1"/>
  </r>
  <r>
    <n v="44821"/>
    <x v="472"/>
    <x v="0"/>
    <x v="1"/>
    <x v="8"/>
    <s v="Howard Miller Distant Time Traveler Alarm Clock"/>
    <n v="21.94"/>
    <n v="2"/>
    <x v="2322"/>
    <x v="8"/>
    <x v="1"/>
  </r>
  <r>
    <n v="44821"/>
    <x v="472"/>
    <x v="0"/>
    <x v="0"/>
    <x v="3"/>
    <s v="GBC Imprintable Covers"/>
    <n v="6.59"/>
    <n v="3"/>
    <x v="2323"/>
    <x v="8"/>
    <x v="1"/>
  </r>
  <r>
    <n v="44821"/>
    <x v="471"/>
    <x v="20"/>
    <x v="1"/>
    <x v="13"/>
    <s v="Riverside Furniture Oval Coffee Table, Oval End Table, End Table with Drawer"/>
    <n v="344.22"/>
    <n v="2"/>
    <x v="2324"/>
    <x v="8"/>
    <x v="1"/>
  </r>
  <r>
    <n v="44821"/>
    <x v="674"/>
    <x v="16"/>
    <x v="2"/>
    <x v="9"/>
    <s v="SanDisk Cruzer 64 GB USB Flash Drive"/>
    <n v="87.17"/>
    <n v="3"/>
    <x v="2325"/>
    <x v="8"/>
    <x v="1"/>
  </r>
  <r>
    <n v="44821"/>
    <x v="568"/>
    <x v="22"/>
    <x v="0"/>
    <x v="3"/>
    <s v="Acco Data Flex Cable Posts For Top &amp; Bottom Load Binders, 6&quot; Capacity"/>
    <n v="25.03"/>
    <n v="3"/>
    <x v="355"/>
    <x v="8"/>
    <x v="1"/>
  </r>
  <r>
    <n v="44821"/>
    <x v="184"/>
    <x v="20"/>
    <x v="0"/>
    <x v="2"/>
    <s v="Woodgrain Magazine Files by Perma"/>
    <n v="14.9"/>
    <n v="5"/>
    <x v="2326"/>
    <x v="8"/>
    <x v="1"/>
  </r>
  <r>
    <n v="44821"/>
    <x v="184"/>
    <x v="20"/>
    <x v="0"/>
    <x v="1"/>
    <s v="Avery 485"/>
    <n v="87.71"/>
    <n v="7"/>
    <x v="1685"/>
    <x v="8"/>
    <x v="1"/>
  </r>
  <r>
    <n v="44821"/>
    <x v="184"/>
    <x v="20"/>
    <x v="1"/>
    <x v="5"/>
    <s v="Office Star Flex Back Scooter Chair with White Frame"/>
    <n v="199.76"/>
    <n v="2"/>
    <x v="1352"/>
    <x v="8"/>
    <x v="1"/>
  </r>
  <r>
    <n v="44821"/>
    <x v="184"/>
    <x v="20"/>
    <x v="0"/>
    <x v="2"/>
    <s v="Eldon Mobile Mega Data Cart  Mega Stackable  Add-On Trays"/>
    <n v="94.6"/>
    <n v="4"/>
    <x v="2327"/>
    <x v="8"/>
    <x v="1"/>
  </r>
  <r>
    <n v="44821"/>
    <x v="184"/>
    <x v="20"/>
    <x v="1"/>
    <x v="11"/>
    <s v="Riverside Palais Royal Lawyers Bookcase, Royale Cherry Finish"/>
    <n v="4228.7"/>
    <n v="6"/>
    <x v="2328"/>
    <x v="8"/>
    <x v="1"/>
  </r>
  <r>
    <n v="44821"/>
    <x v="184"/>
    <x v="20"/>
    <x v="1"/>
    <x v="11"/>
    <s v="DMI Eclipse Executive Suite Bookcases"/>
    <n v="2003.92"/>
    <n v="5"/>
    <x v="2329"/>
    <x v="8"/>
    <x v="1"/>
  </r>
  <r>
    <n v="44821"/>
    <x v="184"/>
    <x v="20"/>
    <x v="2"/>
    <x v="6"/>
    <s v="ClearSounds CSC500 Amplified Spirit Phone Corded phone"/>
    <n v="209.97"/>
    <n v="3"/>
    <x v="2330"/>
    <x v="8"/>
    <x v="1"/>
  </r>
  <r>
    <n v="44821"/>
    <x v="184"/>
    <x v="20"/>
    <x v="2"/>
    <x v="9"/>
    <s v="Plantronics CS510 - Over-the-Head monaural Wireless Headset System"/>
    <n v="659.9"/>
    <n v="2"/>
    <x v="2331"/>
    <x v="8"/>
    <x v="1"/>
  </r>
  <r>
    <n v="44821"/>
    <x v="184"/>
    <x v="20"/>
    <x v="0"/>
    <x v="0"/>
    <s v="Eaton Premium Continuous-Feed Paper, 25% Cotton, Letter Size, White, 1000 Shts/Box"/>
    <n v="110.96"/>
    <n v="2"/>
    <x v="746"/>
    <x v="8"/>
    <x v="1"/>
  </r>
  <r>
    <n v="44821"/>
    <x v="184"/>
    <x v="20"/>
    <x v="2"/>
    <x v="6"/>
    <s v="ARKON Windshield Dashboard Air Vent Car Mount Holder"/>
    <n v="67.8"/>
    <n v="4"/>
    <x v="18"/>
    <x v="8"/>
    <x v="1"/>
  </r>
  <r>
    <n v="44822"/>
    <x v="120"/>
    <x v="3"/>
    <x v="0"/>
    <x v="0"/>
    <s v="Personal Creations Ink Jet Cards and Labels"/>
    <n v="160.72"/>
    <n v="14"/>
    <x v="2332"/>
    <x v="8"/>
    <x v="1"/>
  </r>
  <r>
    <n v="44822"/>
    <x v="120"/>
    <x v="3"/>
    <x v="0"/>
    <x v="0"/>
    <s v="Rediform S.O.S. Phone Message Books"/>
    <n v="19.920000000000002"/>
    <n v="4"/>
    <x v="674"/>
    <x v="8"/>
    <x v="1"/>
  </r>
  <r>
    <n v="44822"/>
    <x v="120"/>
    <x v="3"/>
    <x v="0"/>
    <x v="14"/>
    <s v="Acme Value Line Scissors"/>
    <n v="7.3"/>
    <n v="2"/>
    <x v="939"/>
    <x v="8"/>
    <x v="1"/>
  </r>
  <r>
    <n v="44822"/>
    <x v="484"/>
    <x v="36"/>
    <x v="0"/>
    <x v="2"/>
    <s v="Acco Perma 3000 Stacking Storage Drawers"/>
    <n v="41.96"/>
    <n v="2"/>
    <x v="2333"/>
    <x v="8"/>
    <x v="1"/>
  </r>
  <r>
    <n v="44822"/>
    <x v="484"/>
    <x v="36"/>
    <x v="0"/>
    <x v="2"/>
    <s v="Safco Industrial Wire Shelving System"/>
    <n v="636.86"/>
    <n v="7"/>
    <x v="62"/>
    <x v="8"/>
    <x v="1"/>
  </r>
  <r>
    <n v="44822"/>
    <x v="484"/>
    <x v="36"/>
    <x v="2"/>
    <x v="6"/>
    <s v="Samsung Galaxy S4 Active"/>
    <n v="499.99"/>
    <n v="1"/>
    <x v="2334"/>
    <x v="8"/>
    <x v="1"/>
  </r>
  <r>
    <n v="44822"/>
    <x v="484"/>
    <x v="36"/>
    <x v="2"/>
    <x v="6"/>
    <s v="Polycom VVX 310 VoIP phone"/>
    <n v="1259.93"/>
    <n v="7"/>
    <x v="2335"/>
    <x v="8"/>
    <x v="1"/>
  </r>
  <r>
    <n v="44822"/>
    <x v="484"/>
    <x v="36"/>
    <x v="0"/>
    <x v="3"/>
    <s v="Acco Flexible ACCOHIDE Square Ring Data Binder, Dark Blue, 11 1/2&quot; X 14&quot; 7/8&quot;"/>
    <n v="65.08"/>
    <n v="4"/>
    <x v="2336"/>
    <x v="8"/>
    <x v="1"/>
  </r>
  <r>
    <n v="44822"/>
    <x v="169"/>
    <x v="3"/>
    <x v="0"/>
    <x v="4"/>
    <s v="Quartet Omega Colored Chalk, 12/Pack"/>
    <n v="11.68"/>
    <n v="2"/>
    <x v="2337"/>
    <x v="8"/>
    <x v="1"/>
  </r>
  <r>
    <n v="44822"/>
    <x v="169"/>
    <x v="3"/>
    <x v="0"/>
    <x v="14"/>
    <s v="Elite 5&quot; Scissors"/>
    <n v="16.899999999999999"/>
    <n v="2"/>
    <x v="2338"/>
    <x v="8"/>
    <x v="1"/>
  </r>
  <r>
    <n v="44822"/>
    <x v="169"/>
    <x v="3"/>
    <x v="1"/>
    <x v="8"/>
    <s v="Advantus Panel Wall Certificate Holder - 8.5x11"/>
    <n v="24.4"/>
    <n v="2"/>
    <x v="2339"/>
    <x v="8"/>
    <x v="1"/>
  </r>
  <r>
    <n v="44822"/>
    <x v="691"/>
    <x v="16"/>
    <x v="2"/>
    <x v="9"/>
    <s v="Enermax Acrylux Wireless Keyboard"/>
    <n v="717.12"/>
    <n v="9"/>
    <x v="2340"/>
    <x v="8"/>
    <x v="1"/>
  </r>
  <r>
    <n v="44822"/>
    <x v="692"/>
    <x v="22"/>
    <x v="0"/>
    <x v="0"/>
    <s v="Wirebound Message Books, Four 2 3/4&quot; x 5&quot; Forms per Page, 600 Sets per Book"/>
    <n v="18.54"/>
    <n v="2"/>
    <x v="2341"/>
    <x v="8"/>
    <x v="1"/>
  </r>
  <r>
    <n v="44822"/>
    <x v="693"/>
    <x v="3"/>
    <x v="0"/>
    <x v="2"/>
    <s v="Stur-D-Stor Shelving, Vertical 5-Shelf: 72&quot;H x 36&quot;W x 18 1/2&quot;D"/>
    <n v="443.92"/>
    <n v="4"/>
    <x v="1352"/>
    <x v="8"/>
    <x v="1"/>
  </r>
  <r>
    <n v="44823"/>
    <x v="492"/>
    <x v="6"/>
    <x v="1"/>
    <x v="11"/>
    <s v="Sauder Cornerstone Collection Library"/>
    <n v="61.96"/>
    <n v="2"/>
    <x v="2342"/>
    <x v="8"/>
    <x v="1"/>
  </r>
  <r>
    <n v="44823"/>
    <x v="62"/>
    <x v="4"/>
    <x v="2"/>
    <x v="9"/>
    <s v="Kensington K72356US Mouse-in-a-Box USB Desktop Mouse"/>
    <n v="66.36"/>
    <n v="4"/>
    <x v="471"/>
    <x v="8"/>
    <x v="1"/>
  </r>
  <r>
    <n v="44823"/>
    <x v="602"/>
    <x v="3"/>
    <x v="0"/>
    <x v="0"/>
    <s v="Personal Creations Ink Jet Cards and Labels"/>
    <n v="22.96"/>
    <n v="2"/>
    <x v="1065"/>
    <x v="8"/>
    <x v="1"/>
  </r>
  <r>
    <n v="44823"/>
    <x v="60"/>
    <x v="20"/>
    <x v="2"/>
    <x v="6"/>
    <s v="PureGear Roll-On Screen Protector"/>
    <n v="279.86"/>
    <n v="14"/>
    <x v="2343"/>
    <x v="8"/>
    <x v="1"/>
  </r>
  <r>
    <n v="44823"/>
    <x v="167"/>
    <x v="31"/>
    <x v="0"/>
    <x v="4"/>
    <s v="Newell 323"/>
    <n v="8.4"/>
    <n v="5"/>
    <x v="614"/>
    <x v="8"/>
    <x v="1"/>
  </r>
  <r>
    <n v="44823"/>
    <x v="658"/>
    <x v="3"/>
    <x v="1"/>
    <x v="8"/>
    <s v="Seth Thomas 8 1/2&quot; Cubicle Clock"/>
    <n v="60.84"/>
    <n v="3"/>
    <x v="1195"/>
    <x v="8"/>
    <x v="1"/>
  </r>
  <r>
    <n v="44824"/>
    <x v="199"/>
    <x v="32"/>
    <x v="0"/>
    <x v="3"/>
    <s v="GBC Standard Plastic Binding Systems' Combs"/>
    <n v="37.68"/>
    <n v="6"/>
    <x v="2344"/>
    <x v="8"/>
    <x v="1"/>
  </r>
  <r>
    <n v="44824"/>
    <x v="498"/>
    <x v="20"/>
    <x v="0"/>
    <x v="0"/>
    <s v="Xerox 1881"/>
    <n v="61.4"/>
    <n v="5"/>
    <x v="2345"/>
    <x v="8"/>
    <x v="1"/>
  </r>
  <r>
    <n v="44824"/>
    <x v="498"/>
    <x v="20"/>
    <x v="0"/>
    <x v="3"/>
    <s v="Recycled Premium Regency Composition Covers"/>
    <n v="24.45"/>
    <n v="2"/>
    <x v="2346"/>
    <x v="8"/>
    <x v="1"/>
  </r>
  <r>
    <n v="44824"/>
    <x v="497"/>
    <x v="15"/>
    <x v="0"/>
    <x v="3"/>
    <s v="GBC Ibimaster 500 Manual ProClick Binding System"/>
    <n v="1369.76"/>
    <n v="6"/>
    <x v="2347"/>
    <x v="8"/>
    <x v="1"/>
  </r>
  <r>
    <n v="44824"/>
    <x v="497"/>
    <x v="15"/>
    <x v="0"/>
    <x v="2"/>
    <s v="Gould Plastics 18-Pocket Panel Bin, 34w x 5-1/4d x 20-1/2h"/>
    <n v="294.37"/>
    <n v="4"/>
    <x v="2348"/>
    <x v="8"/>
    <x v="1"/>
  </r>
  <r>
    <n v="44824"/>
    <x v="481"/>
    <x v="17"/>
    <x v="0"/>
    <x v="3"/>
    <s v="Wilson Jones Impact Binders"/>
    <n v="45.58"/>
    <n v="11"/>
    <x v="722"/>
    <x v="8"/>
    <x v="1"/>
  </r>
  <r>
    <n v="44824"/>
    <x v="633"/>
    <x v="1"/>
    <x v="0"/>
    <x v="3"/>
    <s v="Acco Translucent Poly Ring Binders"/>
    <n v="2.81"/>
    <n v="3"/>
    <x v="2029"/>
    <x v="8"/>
    <x v="1"/>
  </r>
  <r>
    <n v="44825"/>
    <x v="642"/>
    <x v="0"/>
    <x v="2"/>
    <x v="6"/>
    <s v="ShoreTel ShorePhone IP 230 VoIP phone"/>
    <n v="946.34"/>
    <n v="7"/>
    <x v="1904"/>
    <x v="8"/>
    <x v="1"/>
  </r>
  <r>
    <n v="44825"/>
    <x v="642"/>
    <x v="0"/>
    <x v="2"/>
    <x v="9"/>
    <s v="Hypercom P1300 Pinpad"/>
    <n v="151.19999999999999"/>
    <n v="3"/>
    <x v="131"/>
    <x v="8"/>
    <x v="1"/>
  </r>
  <r>
    <n v="44825"/>
    <x v="642"/>
    <x v="0"/>
    <x v="1"/>
    <x v="8"/>
    <s v="Longer-Life Soft White Bulbs"/>
    <n v="4.93"/>
    <n v="4"/>
    <x v="2047"/>
    <x v="8"/>
    <x v="1"/>
  </r>
  <r>
    <n v="44825"/>
    <x v="330"/>
    <x v="22"/>
    <x v="0"/>
    <x v="2"/>
    <s v="Fellowes Bases and Tops For Staxonsteel/High-Stak Systems"/>
    <n v="199.74"/>
    <n v="6"/>
    <x v="2349"/>
    <x v="8"/>
    <x v="1"/>
  </r>
  <r>
    <n v="44825"/>
    <x v="33"/>
    <x v="3"/>
    <x v="1"/>
    <x v="5"/>
    <s v="Hon Every-Day Series Multi-Task Chairs"/>
    <n v="601.54"/>
    <n v="4"/>
    <x v="62"/>
    <x v="8"/>
    <x v="1"/>
  </r>
  <r>
    <n v="44825"/>
    <x v="33"/>
    <x v="3"/>
    <x v="0"/>
    <x v="7"/>
    <s v="Advantus Map Pennant Flags and Round Head Tacks"/>
    <n v="7.9"/>
    <n v="2"/>
    <x v="2350"/>
    <x v="8"/>
    <x v="1"/>
  </r>
  <r>
    <n v="44825"/>
    <x v="441"/>
    <x v="14"/>
    <x v="1"/>
    <x v="11"/>
    <s v="O'Sullivan 2-Shelf Heavy-Duty Bookcases"/>
    <n v="194.32"/>
    <n v="4"/>
    <x v="1085"/>
    <x v="8"/>
    <x v="1"/>
  </r>
  <r>
    <n v="44825"/>
    <x v="441"/>
    <x v="14"/>
    <x v="0"/>
    <x v="4"/>
    <s v="BOSTON Ranger #55 Pencil Sharpener, Black"/>
    <n v="25.99"/>
    <n v="1"/>
    <x v="1864"/>
    <x v="8"/>
    <x v="1"/>
  </r>
  <r>
    <n v="44825"/>
    <x v="347"/>
    <x v="32"/>
    <x v="1"/>
    <x v="8"/>
    <s v="Deflect-o DuraMat Lighweight, Studded, Beveled Mat for Low Pile Carpeting"/>
    <n v="85.3"/>
    <n v="2"/>
    <x v="2351"/>
    <x v="8"/>
    <x v="1"/>
  </r>
  <r>
    <n v="44825"/>
    <x v="128"/>
    <x v="32"/>
    <x v="2"/>
    <x v="6"/>
    <s v="Polycom VoiceStation 500 ConferenceÂ phone"/>
    <n v="589.9"/>
    <n v="2"/>
    <x v="2352"/>
    <x v="8"/>
    <x v="1"/>
  </r>
  <r>
    <n v="44825"/>
    <x v="128"/>
    <x v="32"/>
    <x v="1"/>
    <x v="5"/>
    <s v="Global Ergonomic Managers Chair"/>
    <n v="542.94000000000005"/>
    <n v="3"/>
    <x v="2353"/>
    <x v="8"/>
    <x v="1"/>
  </r>
  <r>
    <n v="44825"/>
    <x v="656"/>
    <x v="9"/>
    <x v="1"/>
    <x v="5"/>
    <s v="Global Comet Stacking Arm Chair"/>
    <n v="1690.04"/>
    <n v="4"/>
    <x v="2354"/>
    <x v="8"/>
    <x v="1"/>
  </r>
  <r>
    <n v="44825"/>
    <x v="656"/>
    <x v="9"/>
    <x v="0"/>
    <x v="2"/>
    <s v="Recycled Eldon Regeneration Jumbo File"/>
    <n v="85.96"/>
    <n v="7"/>
    <x v="2355"/>
    <x v="8"/>
    <x v="1"/>
  </r>
  <r>
    <n v="44825"/>
    <x v="656"/>
    <x v="9"/>
    <x v="0"/>
    <x v="10"/>
    <s v="Tyvek Interoffice Envelopes, 9 1/2&quot; x 12 1/2&quot;, 100/Box"/>
    <n v="121.96"/>
    <n v="2"/>
    <x v="2356"/>
    <x v="8"/>
    <x v="1"/>
  </r>
  <r>
    <n v="44825"/>
    <x v="656"/>
    <x v="9"/>
    <x v="0"/>
    <x v="0"/>
    <s v="Xerox 193"/>
    <n v="23.92"/>
    <n v="4"/>
    <x v="1564"/>
    <x v="8"/>
    <x v="1"/>
  </r>
  <r>
    <n v="44825"/>
    <x v="656"/>
    <x v="9"/>
    <x v="0"/>
    <x v="2"/>
    <s v="Fellowes Bankers Box Stor/Drawer Steel Plus"/>
    <n v="63.96"/>
    <n v="2"/>
    <x v="642"/>
    <x v="8"/>
    <x v="1"/>
  </r>
  <r>
    <n v="44825"/>
    <x v="656"/>
    <x v="9"/>
    <x v="2"/>
    <x v="6"/>
    <s v="HTC One Mini"/>
    <n v="629.95000000000005"/>
    <n v="5"/>
    <x v="2357"/>
    <x v="8"/>
    <x v="1"/>
  </r>
  <r>
    <n v="44825"/>
    <x v="656"/>
    <x v="9"/>
    <x v="2"/>
    <x v="6"/>
    <s v="Grandstream GXP1160 VoIP phone"/>
    <n v="113.73"/>
    <n v="3"/>
    <x v="491"/>
    <x v="8"/>
    <x v="1"/>
  </r>
  <r>
    <n v="44825"/>
    <x v="656"/>
    <x v="9"/>
    <x v="0"/>
    <x v="3"/>
    <s v="Angle-D Binders with Locking Rings, Label Holders"/>
    <n v="14.6"/>
    <n v="2"/>
    <x v="2358"/>
    <x v="8"/>
    <x v="1"/>
  </r>
  <r>
    <n v="44825"/>
    <x v="656"/>
    <x v="9"/>
    <x v="0"/>
    <x v="2"/>
    <s v="Stur-D-Stor Shelving, Vertical 5-Shelf: 72&quot;H x 36&quot;W x 18 1/2&quot;D"/>
    <n v="887.84"/>
    <n v="8"/>
    <x v="1926"/>
    <x v="8"/>
    <x v="1"/>
  </r>
  <r>
    <n v="44826"/>
    <x v="392"/>
    <x v="3"/>
    <x v="1"/>
    <x v="8"/>
    <s v="Luxo Professional Combination Clamp-On Lamps"/>
    <n v="204.6"/>
    <n v="2"/>
    <x v="216"/>
    <x v="8"/>
    <x v="1"/>
  </r>
  <r>
    <n v="44826"/>
    <x v="53"/>
    <x v="6"/>
    <x v="0"/>
    <x v="0"/>
    <s v="Xerox 214"/>
    <n v="32.4"/>
    <n v="5"/>
    <x v="327"/>
    <x v="8"/>
    <x v="1"/>
  </r>
  <r>
    <n v="44826"/>
    <x v="53"/>
    <x v="6"/>
    <x v="1"/>
    <x v="8"/>
    <s v="Westinghouse Floor Lamp with Metal Mesh Shade, Black"/>
    <n v="47.98"/>
    <n v="2"/>
    <x v="1135"/>
    <x v="8"/>
    <x v="1"/>
  </r>
  <r>
    <n v="44826"/>
    <x v="694"/>
    <x v="15"/>
    <x v="0"/>
    <x v="1"/>
    <s v="Avery 510"/>
    <n v="12"/>
    <n v="4"/>
    <x v="783"/>
    <x v="8"/>
    <x v="1"/>
  </r>
  <r>
    <n v="44826"/>
    <x v="694"/>
    <x v="15"/>
    <x v="0"/>
    <x v="2"/>
    <s v="Tennsco Double-Tier Lockers"/>
    <n v="720.06"/>
    <n v="4"/>
    <x v="2359"/>
    <x v="8"/>
    <x v="1"/>
  </r>
  <r>
    <n v="44826"/>
    <x v="694"/>
    <x v="15"/>
    <x v="0"/>
    <x v="2"/>
    <s v="Safco Wire Cube Shelving System, For Use as 4 or 5 14&quot; Cubes, Black"/>
    <n v="25.42"/>
    <n v="1"/>
    <x v="2360"/>
    <x v="8"/>
    <x v="1"/>
  </r>
  <r>
    <n v="44826"/>
    <x v="694"/>
    <x v="15"/>
    <x v="0"/>
    <x v="4"/>
    <s v="Newell 310"/>
    <n v="2.82"/>
    <n v="2"/>
    <x v="2361"/>
    <x v="8"/>
    <x v="1"/>
  </r>
  <r>
    <n v="44826"/>
    <x v="694"/>
    <x v="15"/>
    <x v="0"/>
    <x v="3"/>
    <s v="Pressboard Data Binder, Crimson, 12&quot; X 8 1/2&quot;"/>
    <n v="3.2"/>
    <n v="2"/>
    <x v="2362"/>
    <x v="8"/>
    <x v="1"/>
  </r>
  <r>
    <n v="44826"/>
    <x v="251"/>
    <x v="2"/>
    <x v="0"/>
    <x v="14"/>
    <s v="Acme Hot Forged Carbon Steel Scissors with Nickel-Plated Handles, 3 7/8&quot; Cut, 8&quot;L"/>
    <n v="55.6"/>
    <n v="5"/>
    <x v="963"/>
    <x v="8"/>
    <x v="1"/>
  </r>
  <r>
    <n v="44826"/>
    <x v="251"/>
    <x v="2"/>
    <x v="2"/>
    <x v="9"/>
    <s v="LogitechÂ P710e Mobile Speakerphone"/>
    <n v="617.98"/>
    <n v="3"/>
    <x v="2363"/>
    <x v="8"/>
    <x v="1"/>
  </r>
  <r>
    <n v="44826"/>
    <x v="22"/>
    <x v="3"/>
    <x v="0"/>
    <x v="12"/>
    <s v="Kensington 6 Outlet Guardian Standard Surge Protector"/>
    <n v="61.44"/>
    <n v="3"/>
    <x v="2364"/>
    <x v="8"/>
    <x v="1"/>
  </r>
  <r>
    <n v="44828"/>
    <x v="402"/>
    <x v="2"/>
    <x v="0"/>
    <x v="4"/>
    <s v="Newell 320"/>
    <n v="6.85"/>
    <n v="2"/>
    <x v="537"/>
    <x v="8"/>
    <x v="1"/>
  </r>
  <r>
    <n v="44828"/>
    <x v="387"/>
    <x v="8"/>
    <x v="1"/>
    <x v="5"/>
    <s v="Harbour Creations Steel Folding Chair"/>
    <n v="517.5"/>
    <n v="6"/>
    <x v="2365"/>
    <x v="8"/>
    <x v="1"/>
  </r>
  <r>
    <n v="44828"/>
    <x v="354"/>
    <x v="30"/>
    <x v="0"/>
    <x v="3"/>
    <s v="Acco Pressboard Covers with Storage Hooks, 14 7/8&quot; x 11&quot;, Executive Red"/>
    <n v="15.24"/>
    <n v="4"/>
    <x v="2358"/>
    <x v="8"/>
    <x v="1"/>
  </r>
  <r>
    <n v="44828"/>
    <x v="354"/>
    <x v="30"/>
    <x v="1"/>
    <x v="5"/>
    <s v="Hon Olson Stacker Stools"/>
    <n v="1408.1"/>
    <n v="10"/>
    <x v="2366"/>
    <x v="8"/>
    <x v="1"/>
  </r>
  <r>
    <n v="44828"/>
    <x v="528"/>
    <x v="39"/>
    <x v="2"/>
    <x v="6"/>
    <s v="AT&amp;T 1080 Phone"/>
    <n v="821.94"/>
    <n v="6"/>
    <x v="2367"/>
    <x v="8"/>
    <x v="1"/>
  </r>
  <r>
    <n v="44828"/>
    <x v="297"/>
    <x v="22"/>
    <x v="0"/>
    <x v="4"/>
    <s v="BOSTON Model 1800 Electric Pencil Sharpeners, Putty/Woodgrain"/>
    <n v="35.96"/>
    <n v="2"/>
    <x v="2368"/>
    <x v="8"/>
    <x v="1"/>
  </r>
  <r>
    <n v="44828"/>
    <x v="297"/>
    <x v="22"/>
    <x v="0"/>
    <x v="3"/>
    <s v="Avery Hole Reinforcements"/>
    <n v="14.95"/>
    <n v="3"/>
    <x v="2369"/>
    <x v="8"/>
    <x v="1"/>
  </r>
  <r>
    <n v="44828"/>
    <x v="678"/>
    <x v="3"/>
    <x v="1"/>
    <x v="8"/>
    <s v="DAX Value U-Channel Document Frames, Easel Back"/>
    <n v="14.91"/>
    <n v="3"/>
    <x v="1076"/>
    <x v="8"/>
    <x v="1"/>
  </r>
  <r>
    <n v="44828"/>
    <x v="678"/>
    <x v="3"/>
    <x v="0"/>
    <x v="12"/>
    <s v="Hoover Upright Vacuum With Dirt Cup"/>
    <n v="1158.1199999999999"/>
    <n v="4"/>
    <x v="2370"/>
    <x v="8"/>
    <x v="1"/>
  </r>
  <r>
    <n v="44828"/>
    <x v="695"/>
    <x v="12"/>
    <x v="2"/>
    <x v="6"/>
    <s v="Samsung HM1900 Bluetooth Headset"/>
    <n v="35.119999999999997"/>
    <n v="2"/>
    <x v="2371"/>
    <x v="8"/>
    <x v="1"/>
  </r>
  <r>
    <n v="44828"/>
    <x v="111"/>
    <x v="12"/>
    <x v="0"/>
    <x v="4"/>
    <s v="Dixon Ticonderoga Core-Lock Colored Pencils"/>
    <n v="14.58"/>
    <n v="2"/>
    <x v="1036"/>
    <x v="8"/>
    <x v="1"/>
  </r>
  <r>
    <n v="44828"/>
    <x v="111"/>
    <x v="12"/>
    <x v="2"/>
    <x v="9"/>
    <s v="HP Standard 104 key PS/2 Keyboard"/>
    <n v="23.2"/>
    <n v="2"/>
    <x v="1777"/>
    <x v="8"/>
    <x v="1"/>
  </r>
  <r>
    <n v="44828"/>
    <x v="111"/>
    <x v="12"/>
    <x v="0"/>
    <x v="4"/>
    <s v="Newell 317"/>
    <n v="16.46"/>
    <n v="7"/>
    <x v="387"/>
    <x v="8"/>
    <x v="1"/>
  </r>
  <r>
    <n v="44828"/>
    <x v="337"/>
    <x v="10"/>
    <x v="0"/>
    <x v="3"/>
    <s v="Accohide Poly Flexible Ring Binders"/>
    <n v="6.73"/>
    <n v="6"/>
    <x v="2029"/>
    <x v="8"/>
    <x v="1"/>
  </r>
  <r>
    <n v="44828"/>
    <x v="337"/>
    <x v="10"/>
    <x v="0"/>
    <x v="2"/>
    <s v="Tennsco Lockers, Sand"/>
    <n v="33.57"/>
    <n v="2"/>
    <x v="967"/>
    <x v="8"/>
    <x v="1"/>
  </r>
  <r>
    <n v="44828"/>
    <x v="337"/>
    <x v="10"/>
    <x v="0"/>
    <x v="10"/>
    <s v="#6 3/4 Gummed Flap White Envelopes"/>
    <n v="15.84"/>
    <n v="2"/>
    <x v="2372"/>
    <x v="8"/>
    <x v="1"/>
  </r>
  <r>
    <n v="44828"/>
    <x v="337"/>
    <x v="10"/>
    <x v="0"/>
    <x v="1"/>
    <s v="Avery 4027 File Folder Labels for Dot Matrix Printers, 5000 Labels per Box, White"/>
    <n v="24.42"/>
    <n v="1"/>
    <x v="1150"/>
    <x v="8"/>
    <x v="1"/>
  </r>
  <r>
    <n v="44828"/>
    <x v="337"/>
    <x v="10"/>
    <x v="0"/>
    <x v="4"/>
    <s v="Newell 347"/>
    <n v="17.12"/>
    <n v="5"/>
    <x v="2201"/>
    <x v="8"/>
    <x v="1"/>
  </r>
  <r>
    <n v="44828"/>
    <x v="509"/>
    <x v="20"/>
    <x v="0"/>
    <x v="10"/>
    <s v="Blue String-Tie &amp; Button Interoffice Envelopes, 10 x 13"/>
    <n v="39.979999999999997"/>
    <n v="1"/>
    <x v="2373"/>
    <x v="8"/>
    <x v="1"/>
  </r>
  <r>
    <n v="44829"/>
    <x v="185"/>
    <x v="27"/>
    <x v="1"/>
    <x v="13"/>
    <s v="Bretford CR4500 Series Slim Rectangular Table"/>
    <n v="1044.6300000000001"/>
    <n v="3"/>
    <x v="2374"/>
    <x v="8"/>
    <x v="1"/>
  </r>
  <r>
    <n v="44829"/>
    <x v="1"/>
    <x v="23"/>
    <x v="2"/>
    <x v="9"/>
    <s v="Memorex Micro Travel Drive 16 GB"/>
    <n v="63.96"/>
    <n v="4"/>
    <x v="2375"/>
    <x v="8"/>
    <x v="1"/>
  </r>
  <r>
    <n v="44829"/>
    <x v="1"/>
    <x v="23"/>
    <x v="0"/>
    <x v="3"/>
    <s v="Tuff Stuff Recycled Round Ring Binders"/>
    <n v="14.46"/>
    <n v="3"/>
    <x v="2376"/>
    <x v="8"/>
    <x v="1"/>
  </r>
  <r>
    <n v="44829"/>
    <x v="1"/>
    <x v="23"/>
    <x v="2"/>
    <x v="6"/>
    <s v="netTALK DUO VoIP Telephone Service"/>
    <n v="104.98"/>
    <n v="2"/>
    <x v="428"/>
    <x v="8"/>
    <x v="1"/>
  </r>
  <r>
    <n v="44829"/>
    <x v="481"/>
    <x v="3"/>
    <x v="0"/>
    <x v="10"/>
    <s v="#10- 4 1/8&quot; x 9 1/2&quot; Recycled Envelopes"/>
    <n v="17.48"/>
    <n v="2"/>
    <x v="1576"/>
    <x v="8"/>
    <x v="1"/>
  </r>
  <r>
    <n v="44829"/>
    <x v="417"/>
    <x v="38"/>
    <x v="0"/>
    <x v="3"/>
    <s v="GBC Prestige Therm-A-Bind Covers"/>
    <n v="68.62"/>
    <n v="2"/>
    <x v="2377"/>
    <x v="8"/>
    <x v="1"/>
  </r>
  <r>
    <n v="44829"/>
    <x v="696"/>
    <x v="20"/>
    <x v="2"/>
    <x v="9"/>
    <s v="Razer Kraken 7.1 Surround Sound Over Ear USB Gaming Headset"/>
    <n v="899.91"/>
    <n v="9"/>
    <x v="2378"/>
    <x v="8"/>
    <x v="1"/>
  </r>
  <r>
    <n v="44829"/>
    <x v="15"/>
    <x v="37"/>
    <x v="0"/>
    <x v="3"/>
    <s v="Acco PRESSTEX Data Binder with Storage Hooks, Light Blue, 9 1/2&quot; X 11&quot;"/>
    <n v="10.76"/>
    <n v="2"/>
    <x v="2379"/>
    <x v="8"/>
    <x v="1"/>
  </r>
  <r>
    <n v="44829"/>
    <x v="15"/>
    <x v="37"/>
    <x v="0"/>
    <x v="0"/>
    <s v="Xerox Color Copier Paper, 11&quot; x 17&quot;, Ream"/>
    <n v="45.68"/>
    <n v="2"/>
    <x v="1462"/>
    <x v="8"/>
    <x v="1"/>
  </r>
  <r>
    <n v="44829"/>
    <x v="15"/>
    <x v="37"/>
    <x v="0"/>
    <x v="4"/>
    <s v="Turquoise Lead Holder with Pocket Clip"/>
    <n v="6.7"/>
    <n v="1"/>
    <x v="481"/>
    <x v="8"/>
    <x v="1"/>
  </r>
  <r>
    <n v="44829"/>
    <x v="613"/>
    <x v="1"/>
    <x v="0"/>
    <x v="4"/>
    <s v="Boston KS Multi-Size Manual Pencil Sharpener"/>
    <n v="128.74"/>
    <n v="7"/>
    <x v="749"/>
    <x v="8"/>
    <x v="1"/>
  </r>
  <r>
    <n v="44829"/>
    <x v="562"/>
    <x v="22"/>
    <x v="1"/>
    <x v="5"/>
    <s v="Global Super Steno Chair"/>
    <n v="307.14"/>
    <n v="4"/>
    <x v="864"/>
    <x v="8"/>
    <x v="1"/>
  </r>
  <r>
    <n v="44829"/>
    <x v="562"/>
    <x v="22"/>
    <x v="0"/>
    <x v="1"/>
    <s v="Permanent Self-Adhesive File Folder Labels for Typewriters, 1 1/8 x 3 1/2, White"/>
    <n v="12.6"/>
    <n v="2"/>
    <x v="77"/>
    <x v="8"/>
    <x v="1"/>
  </r>
  <r>
    <n v="44829"/>
    <x v="562"/>
    <x v="22"/>
    <x v="2"/>
    <x v="9"/>
    <s v="Logitech G602 Wireless Gaming Mouse"/>
    <n v="159.97999999999999"/>
    <n v="2"/>
    <x v="277"/>
    <x v="8"/>
    <x v="1"/>
  </r>
  <r>
    <n v="44829"/>
    <x v="44"/>
    <x v="15"/>
    <x v="0"/>
    <x v="3"/>
    <s v="Wilson Jones 1&quot; Hanging DublLock Ring Binders"/>
    <n v="6.34"/>
    <n v="4"/>
    <x v="2380"/>
    <x v="8"/>
    <x v="1"/>
  </r>
  <r>
    <n v="44829"/>
    <x v="44"/>
    <x v="15"/>
    <x v="0"/>
    <x v="0"/>
    <s v="Advantus Motivational Note Cards"/>
    <n v="10.48"/>
    <n v="1"/>
    <x v="338"/>
    <x v="8"/>
    <x v="1"/>
  </r>
  <r>
    <n v="44829"/>
    <x v="44"/>
    <x v="15"/>
    <x v="0"/>
    <x v="3"/>
    <s v="Wilson Jones data.warehouse D-Ring Binders with DublLock"/>
    <n v="2.4700000000000002"/>
    <n v="1"/>
    <x v="813"/>
    <x v="8"/>
    <x v="1"/>
  </r>
  <r>
    <n v="44829"/>
    <x v="44"/>
    <x v="15"/>
    <x v="0"/>
    <x v="3"/>
    <s v="Wilson Jones Custom Binder Spines &amp; Labels"/>
    <n v="3.26"/>
    <n v="2"/>
    <x v="2381"/>
    <x v="8"/>
    <x v="1"/>
  </r>
  <r>
    <n v="44829"/>
    <x v="246"/>
    <x v="20"/>
    <x v="1"/>
    <x v="5"/>
    <s v="Hon Comfortask Task/Swivel Chairs"/>
    <n v="102.58"/>
    <n v="1"/>
    <x v="2382"/>
    <x v="8"/>
    <x v="1"/>
  </r>
  <r>
    <n v="44829"/>
    <x v="246"/>
    <x v="20"/>
    <x v="0"/>
    <x v="0"/>
    <s v="Xerox 1923"/>
    <n v="20.04"/>
    <n v="3"/>
    <x v="1614"/>
    <x v="8"/>
    <x v="1"/>
  </r>
  <r>
    <n v="44829"/>
    <x v="240"/>
    <x v="2"/>
    <x v="0"/>
    <x v="3"/>
    <s v="Acco Pressboard Covers with Storage Hooks, 14 7/8&quot; x 11&quot;, Light Blue"/>
    <n v="2.95"/>
    <n v="2"/>
    <x v="2383"/>
    <x v="8"/>
    <x v="1"/>
  </r>
  <r>
    <n v="44830"/>
    <x v="236"/>
    <x v="0"/>
    <x v="0"/>
    <x v="3"/>
    <s v="Round Ring Binders"/>
    <n v="2.08"/>
    <n v="5"/>
    <x v="1929"/>
    <x v="8"/>
    <x v="1"/>
  </r>
  <r>
    <n v="44830"/>
    <x v="236"/>
    <x v="0"/>
    <x v="2"/>
    <x v="6"/>
    <s v="Bose SoundLink Bluetooth Speaker"/>
    <n v="1114.4000000000001"/>
    <n v="7"/>
    <x v="2384"/>
    <x v="8"/>
    <x v="1"/>
  </r>
  <r>
    <n v="44830"/>
    <x v="463"/>
    <x v="11"/>
    <x v="0"/>
    <x v="0"/>
    <s v="Easy-staple paper"/>
    <n v="141.76"/>
    <n v="5"/>
    <x v="2385"/>
    <x v="8"/>
    <x v="1"/>
  </r>
  <r>
    <n v="44830"/>
    <x v="463"/>
    <x v="11"/>
    <x v="2"/>
    <x v="9"/>
    <s v="Microsoft Arc Touch Mouse"/>
    <n v="239.8"/>
    <n v="5"/>
    <x v="2386"/>
    <x v="8"/>
    <x v="1"/>
  </r>
  <r>
    <n v="44830"/>
    <x v="463"/>
    <x v="11"/>
    <x v="0"/>
    <x v="0"/>
    <s v="Xerox 216"/>
    <n v="31.1"/>
    <n v="6"/>
    <x v="782"/>
    <x v="8"/>
    <x v="1"/>
  </r>
  <r>
    <n v="44830"/>
    <x v="602"/>
    <x v="12"/>
    <x v="0"/>
    <x v="0"/>
    <s v="Petty Cash Envelope"/>
    <n v="86.27"/>
    <n v="4"/>
    <x v="2387"/>
    <x v="8"/>
    <x v="1"/>
  </r>
  <r>
    <n v="44830"/>
    <x v="602"/>
    <x v="12"/>
    <x v="0"/>
    <x v="3"/>
    <s v="GBC VeloBinder Electric Binding Machine"/>
    <n v="72.59"/>
    <n v="2"/>
    <x v="2388"/>
    <x v="8"/>
    <x v="1"/>
  </r>
  <r>
    <n v="44830"/>
    <x v="602"/>
    <x v="12"/>
    <x v="0"/>
    <x v="12"/>
    <s v="3M Replacement Filter for Office Air Cleaner for 20' x 33' Room"/>
    <n v="60.67"/>
    <n v="2"/>
    <x v="2389"/>
    <x v="8"/>
    <x v="1"/>
  </r>
  <r>
    <n v="44830"/>
    <x v="602"/>
    <x v="12"/>
    <x v="0"/>
    <x v="3"/>
    <s v="Lock-Up Easel 'Spel-Binder'"/>
    <n v="77.03"/>
    <n v="9"/>
    <x v="2390"/>
    <x v="8"/>
    <x v="1"/>
  </r>
  <r>
    <n v="44830"/>
    <x v="602"/>
    <x v="12"/>
    <x v="0"/>
    <x v="2"/>
    <s v="2300 Heavy-Duty Transfer File Systems by Perma"/>
    <n v="119.9"/>
    <n v="6"/>
    <x v="2391"/>
    <x v="8"/>
    <x v="1"/>
  </r>
  <r>
    <n v="44830"/>
    <x v="602"/>
    <x v="12"/>
    <x v="2"/>
    <x v="6"/>
    <s v="Samsung Rugby III"/>
    <n v="263.95999999999998"/>
    <n v="5"/>
    <x v="2392"/>
    <x v="8"/>
    <x v="1"/>
  </r>
  <r>
    <n v="44830"/>
    <x v="602"/>
    <x v="12"/>
    <x v="0"/>
    <x v="2"/>
    <s v="SAFCO Boltless Steel Shelving"/>
    <n v="363.65"/>
    <n v="4"/>
    <x v="2393"/>
    <x v="8"/>
    <x v="1"/>
  </r>
  <r>
    <n v="44830"/>
    <x v="582"/>
    <x v="2"/>
    <x v="0"/>
    <x v="3"/>
    <s v="Catalog Binders with Expanding Posts"/>
    <n v="121.1"/>
    <n v="6"/>
    <x v="2394"/>
    <x v="8"/>
    <x v="1"/>
  </r>
  <r>
    <n v="44830"/>
    <x v="582"/>
    <x v="2"/>
    <x v="2"/>
    <x v="6"/>
    <s v="Grandstream GXP2100 Mainstream Business Phone"/>
    <n v="45.89"/>
    <n v="1"/>
    <x v="1439"/>
    <x v="8"/>
    <x v="1"/>
  </r>
  <r>
    <n v="44830"/>
    <x v="697"/>
    <x v="3"/>
    <x v="0"/>
    <x v="2"/>
    <s v="Sortfiler Multipurpose Personal File Organizer, Black"/>
    <n v="64.17"/>
    <n v="3"/>
    <x v="2395"/>
    <x v="8"/>
    <x v="1"/>
  </r>
  <r>
    <n v="44830"/>
    <x v="697"/>
    <x v="3"/>
    <x v="0"/>
    <x v="10"/>
    <s v="Cameo Buff Policy Envelopes"/>
    <n v="124.46"/>
    <n v="2"/>
    <x v="2396"/>
    <x v="8"/>
    <x v="1"/>
  </r>
  <r>
    <n v="44830"/>
    <x v="413"/>
    <x v="20"/>
    <x v="2"/>
    <x v="9"/>
    <s v="Dell Slim USB Multimedia Keyboard"/>
    <n v="50"/>
    <n v="2"/>
    <x v="1471"/>
    <x v="8"/>
    <x v="1"/>
  </r>
  <r>
    <n v="44830"/>
    <x v="344"/>
    <x v="20"/>
    <x v="0"/>
    <x v="7"/>
    <s v="Vinyl Coated Wire Paper Clips in Organizer Box, 800/Box"/>
    <n v="34.44"/>
    <n v="3"/>
    <x v="1122"/>
    <x v="8"/>
    <x v="1"/>
  </r>
  <r>
    <n v="44830"/>
    <x v="344"/>
    <x v="20"/>
    <x v="2"/>
    <x v="15"/>
    <s v="Ativa MDM8000 8-Sheet Micro-Cut Shredder"/>
    <n v="629.92999999999995"/>
    <n v="7"/>
    <x v="2397"/>
    <x v="8"/>
    <x v="1"/>
  </r>
  <r>
    <n v="44830"/>
    <x v="344"/>
    <x v="20"/>
    <x v="0"/>
    <x v="3"/>
    <s v="GBC Imprintable Covers"/>
    <n v="79.06"/>
    <n v="9"/>
    <x v="2398"/>
    <x v="8"/>
    <x v="1"/>
  </r>
  <r>
    <n v="44831"/>
    <x v="685"/>
    <x v="1"/>
    <x v="0"/>
    <x v="3"/>
    <s v="Vinyl Sectional Post Binders"/>
    <n v="15.08"/>
    <n v="2"/>
    <x v="2399"/>
    <x v="8"/>
    <x v="1"/>
  </r>
  <r>
    <n v="44831"/>
    <x v="685"/>
    <x v="1"/>
    <x v="1"/>
    <x v="8"/>
    <s v="DAX Metal Frame, Desktop, Stepped-Edge"/>
    <n v="24.29"/>
    <n v="3"/>
    <x v="2400"/>
    <x v="8"/>
    <x v="1"/>
  </r>
  <r>
    <n v="44831"/>
    <x v="511"/>
    <x v="3"/>
    <x v="0"/>
    <x v="2"/>
    <s v="Personal Filing Tote with Lid, Black/Gray"/>
    <n v="15.51"/>
    <n v="1"/>
    <x v="2342"/>
    <x v="8"/>
    <x v="1"/>
  </r>
  <r>
    <n v="44831"/>
    <x v="511"/>
    <x v="3"/>
    <x v="0"/>
    <x v="0"/>
    <s v="Xerox 1916"/>
    <n v="146.82"/>
    <n v="3"/>
    <x v="1427"/>
    <x v="8"/>
    <x v="1"/>
  </r>
  <r>
    <n v="44831"/>
    <x v="511"/>
    <x v="3"/>
    <x v="0"/>
    <x v="0"/>
    <s v="Xerox 226"/>
    <n v="12.96"/>
    <n v="2"/>
    <x v="113"/>
    <x v="8"/>
    <x v="1"/>
  </r>
  <r>
    <n v="44831"/>
    <x v="698"/>
    <x v="14"/>
    <x v="0"/>
    <x v="4"/>
    <s v="Newell 321"/>
    <n v="16.399999999999999"/>
    <n v="5"/>
    <x v="2401"/>
    <x v="8"/>
    <x v="1"/>
  </r>
  <r>
    <n v="44831"/>
    <x v="698"/>
    <x v="14"/>
    <x v="0"/>
    <x v="0"/>
    <s v="Xerox 1996"/>
    <n v="25.92"/>
    <n v="4"/>
    <x v="496"/>
    <x v="8"/>
    <x v="1"/>
  </r>
  <r>
    <n v="44831"/>
    <x v="295"/>
    <x v="6"/>
    <x v="0"/>
    <x v="0"/>
    <s v="Xerox 1988"/>
    <n v="154.9"/>
    <n v="5"/>
    <x v="820"/>
    <x v="8"/>
    <x v="1"/>
  </r>
  <r>
    <n v="44831"/>
    <x v="295"/>
    <x v="6"/>
    <x v="2"/>
    <x v="6"/>
    <s v="Cisco SPA301"/>
    <n v="1871.88"/>
    <n v="12"/>
    <x v="2402"/>
    <x v="8"/>
    <x v="1"/>
  </r>
  <r>
    <n v="44831"/>
    <x v="531"/>
    <x v="22"/>
    <x v="0"/>
    <x v="4"/>
    <s v="Newell 334"/>
    <n v="99.2"/>
    <n v="5"/>
    <x v="681"/>
    <x v="8"/>
    <x v="1"/>
  </r>
  <r>
    <n v="44832"/>
    <x v="418"/>
    <x v="3"/>
    <x v="0"/>
    <x v="12"/>
    <s v="Holmes Odor Grabber"/>
    <n v="43.26"/>
    <n v="3"/>
    <x v="2403"/>
    <x v="8"/>
    <x v="1"/>
  </r>
  <r>
    <n v="44832"/>
    <x v="418"/>
    <x v="3"/>
    <x v="0"/>
    <x v="12"/>
    <s v="Holmes HEPA Air Purifier"/>
    <n v="43.56"/>
    <n v="2"/>
    <x v="2404"/>
    <x v="8"/>
    <x v="1"/>
  </r>
  <r>
    <n v="44832"/>
    <x v="456"/>
    <x v="26"/>
    <x v="0"/>
    <x v="10"/>
    <s v="#10 White Business Envelopes,4 1/8 x 9 1/2"/>
    <n v="12.54"/>
    <n v="1"/>
    <x v="1362"/>
    <x v="8"/>
    <x v="1"/>
  </r>
  <r>
    <n v="44832"/>
    <x v="456"/>
    <x v="26"/>
    <x v="0"/>
    <x v="3"/>
    <s v="Wilson Jones Easy Flow II Sheet Lifters"/>
    <n v="1.08"/>
    <n v="2"/>
    <x v="2405"/>
    <x v="8"/>
    <x v="1"/>
  </r>
  <r>
    <n v="44832"/>
    <x v="456"/>
    <x v="26"/>
    <x v="0"/>
    <x v="7"/>
    <s v="Staples"/>
    <n v="4.51"/>
    <n v="3"/>
    <x v="2406"/>
    <x v="8"/>
    <x v="1"/>
  </r>
  <r>
    <n v="44832"/>
    <x v="612"/>
    <x v="20"/>
    <x v="0"/>
    <x v="12"/>
    <s v="Fellowes Premier Superior Surge Suppressor, 10-Outlet, With Phone and Remote"/>
    <n v="293.52"/>
    <n v="6"/>
    <x v="2407"/>
    <x v="8"/>
    <x v="1"/>
  </r>
  <r>
    <n v="44832"/>
    <x v="612"/>
    <x v="20"/>
    <x v="2"/>
    <x v="6"/>
    <s v="Nortel Meridian M3904 Professional Digital phone"/>
    <n v="307.98"/>
    <n v="2"/>
    <x v="2169"/>
    <x v="8"/>
    <x v="1"/>
  </r>
  <r>
    <n v="44832"/>
    <x v="132"/>
    <x v="3"/>
    <x v="0"/>
    <x v="12"/>
    <s v="Acco Smartsocket Table Surge Protector, 6 Color-Coded Adapter Outlets"/>
    <n v="186.15"/>
    <n v="3"/>
    <x v="2408"/>
    <x v="8"/>
    <x v="1"/>
  </r>
  <r>
    <n v="44832"/>
    <x v="132"/>
    <x v="3"/>
    <x v="0"/>
    <x v="3"/>
    <s v="GBC Recycled VeloBinder Covers"/>
    <n v="81.790000000000006"/>
    <n v="6"/>
    <x v="2409"/>
    <x v="8"/>
    <x v="1"/>
  </r>
  <r>
    <n v="44832"/>
    <x v="132"/>
    <x v="3"/>
    <x v="0"/>
    <x v="14"/>
    <s v="Acme Galleria Hot Forged Steel Scissors with Colored Handles"/>
    <n v="47.19"/>
    <n v="3"/>
    <x v="2410"/>
    <x v="8"/>
    <x v="1"/>
  </r>
  <r>
    <n v="44832"/>
    <x v="132"/>
    <x v="3"/>
    <x v="2"/>
    <x v="6"/>
    <s v="Motorola HK250 Universal Bluetooth Headset"/>
    <n v="36.78"/>
    <n v="2"/>
    <x v="2411"/>
    <x v="8"/>
    <x v="1"/>
  </r>
  <r>
    <n v="44835"/>
    <x v="678"/>
    <x v="26"/>
    <x v="0"/>
    <x v="2"/>
    <s v="Trav-L-File Heavy-Duty Shuttle II, Black"/>
    <n v="139.41999999999999"/>
    <n v="4"/>
    <x v="2412"/>
    <x v="9"/>
    <x v="1"/>
  </r>
  <r>
    <n v="44835"/>
    <x v="508"/>
    <x v="32"/>
    <x v="2"/>
    <x v="6"/>
    <s v="Cisco SPA301"/>
    <n v="311.98"/>
    <n v="2"/>
    <x v="663"/>
    <x v="9"/>
    <x v="1"/>
  </r>
  <r>
    <n v="44835"/>
    <x v="508"/>
    <x v="32"/>
    <x v="0"/>
    <x v="3"/>
    <s v="Avery Non-Stick Binders"/>
    <n v="22.45"/>
    <n v="5"/>
    <x v="2413"/>
    <x v="9"/>
    <x v="1"/>
  </r>
  <r>
    <n v="44835"/>
    <x v="699"/>
    <x v="1"/>
    <x v="0"/>
    <x v="3"/>
    <s v="Accohide Poly Flexible Ring Binders"/>
    <n v="2.99"/>
    <n v="4"/>
    <x v="2029"/>
    <x v="9"/>
    <x v="1"/>
  </r>
  <r>
    <n v="44835"/>
    <x v="699"/>
    <x v="1"/>
    <x v="2"/>
    <x v="9"/>
    <s v="Lenovo 17-Key USB Numeric Keypad"/>
    <n v="108.77"/>
    <n v="4"/>
    <x v="397"/>
    <x v="9"/>
    <x v="1"/>
  </r>
  <r>
    <n v="44835"/>
    <x v="699"/>
    <x v="11"/>
    <x v="2"/>
    <x v="6"/>
    <s v="Wilson Electronics DB Pro Signal Booster"/>
    <n v="572.79999999999995"/>
    <n v="2"/>
    <x v="2414"/>
    <x v="9"/>
    <x v="1"/>
  </r>
  <r>
    <n v="44836"/>
    <x v="290"/>
    <x v="3"/>
    <x v="0"/>
    <x v="3"/>
    <s v="GBC Personal VeloBind Strips"/>
    <n v="57.5"/>
    <n v="6"/>
    <x v="2415"/>
    <x v="9"/>
    <x v="1"/>
  </r>
  <r>
    <n v="44836"/>
    <x v="359"/>
    <x v="23"/>
    <x v="0"/>
    <x v="0"/>
    <s v="Computer Printout Paper with Letter-Trim Perforations"/>
    <n v="94.85"/>
    <n v="5"/>
    <x v="1251"/>
    <x v="9"/>
    <x v="1"/>
  </r>
  <r>
    <n v="44836"/>
    <x v="359"/>
    <x v="23"/>
    <x v="0"/>
    <x v="10"/>
    <s v="Globe Weis Peel &amp; Seel First Class Envelopes"/>
    <n v="51.12"/>
    <n v="4"/>
    <x v="2416"/>
    <x v="9"/>
    <x v="1"/>
  </r>
  <r>
    <n v="44836"/>
    <x v="359"/>
    <x v="23"/>
    <x v="2"/>
    <x v="9"/>
    <s v="NETGEAR N750 Dual Band Wi-Fi Gigabit Router"/>
    <n v="90"/>
    <n v="1"/>
    <x v="2417"/>
    <x v="9"/>
    <x v="1"/>
  </r>
  <r>
    <n v="44836"/>
    <x v="431"/>
    <x v="3"/>
    <x v="0"/>
    <x v="2"/>
    <s v="Eldon ProFile File 'N Store Portable File Tub Letter/Legal Size Black"/>
    <n v="270.33999999999997"/>
    <n v="14"/>
    <x v="2418"/>
    <x v="9"/>
    <x v="1"/>
  </r>
  <r>
    <n v="44836"/>
    <x v="70"/>
    <x v="25"/>
    <x v="0"/>
    <x v="3"/>
    <s v="Pressboard Hanging Data Binders for Unburst Sheets"/>
    <n v="7.38"/>
    <n v="5"/>
    <x v="2419"/>
    <x v="9"/>
    <x v="1"/>
  </r>
  <r>
    <n v="44836"/>
    <x v="700"/>
    <x v="3"/>
    <x v="0"/>
    <x v="3"/>
    <s v="Pressboard Hanging Data Binders for Unburst Sheets"/>
    <n v="11.81"/>
    <n v="3"/>
    <x v="2420"/>
    <x v="9"/>
    <x v="1"/>
  </r>
  <r>
    <n v="44836"/>
    <x v="700"/>
    <x v="3"/>
    <x v="0"/>
    <x v="3"/>
    <s v="GBC Poly Designer Binding Covers"/>
    <n v="53.57"/>
    <n v="4"/>
    <x v="2421"/>
    <x v="9"/>
    <x v="1"/>
  </r>
  <r>
    <n v="44836"/>
    <x v="700"/>
    <x v="3"/>
    <x v="2"/>
    <x v="6"/>
    <s v="HTC One Mini"/>
    <n v="503.96"/>
    <n v="5"/>
    <x v="780"/>
    <x v="9"/>
    <x v="1"/>
  </r>
  <r>
    <n v="44836"/>
    <x v="634"/>
    <x v="37"/>
    <x v="0"/>
    <x v="3"/>
    <s v="Acco PRESSTEX Data Binder with Storage Hooks, Dark Blue, 14 7/8&quot; X 11&quot;"/>
    <n v="26.9"/>
    <n v="5"/>
    <x v="2422"/>
    <x v="9"/>
    <x v="1"/>
  </r>
  <r>
    <n v="44836"/>
    <x v="320"/>
    <x v="36"/>
    <x v="0"/>
    <x v="0"/>
    <s v="Xerox 202"/>
    <n v="19.440000000000001"/>
    <n v="3"/>
    <x v="5"/>
    <x v="9"/>
    <x v="1"/>
  </r>
  <r>
    <n v="44836"/>
    <x v="320"/>
    <x v="36"/>
    <x v="0"/>
    <x v="3"/>
    <s v="GBC Plastic Binding Combs"/>
    <n v="7.38"/>
    <n v="1"/>
    <x v="1561"/>
    <x v="9"/>
    <x v="1"/>
  </r>
  <r>
    <n v="44836"/>
    <x v="218"/>
    <x v="26"/>
    <x v="0"/>
    <x v="14"/>
    <s v="Acme Design Line 8&quot; Stainless Steel Bent Scissors w/Champagne Handles, 3-1/8&quot; Cut"/>
    <n v="10.94"/>
    <n v="2"/>
    <x v="591"/>
    <x v="9"/>
    <x v="1"/>
  </r>
  <r>
    <n v="44836"/>
    <x v="74"/>
    <x v="11"/>
    <x v="1"/>
    <x v="8"/>
    <s v="9-3/4 Diameter Round Wall Clock"/>
    <n v="11.03"/>
    <n v="1"/>
    <x v="1344"/>
    <x v="9"/>
    <x v="1"/>
  </r>
  <r>
    <n v="44836"/>
    <x v="74"/>
    <x v="11"/>
    <x v="2"/>
    <x v="9"/>
    <s v="SanDisk Ultra 32 GB MicroSDHC Class 10 Memory Card"/>
    <n v="53.04"/>
    <n v="3"/>
    <x v="2423"/>
    <x v="9"/>
    <x v="1"/>
  </r>
  <r>
    <n v="44837"/>
    <x v="240"/>
    <x v="10"/>
    <x v="0"/>
    <x v="3"/>
    <s v="Acco D-Ring Binder w/DublLock"/>
    <n v="32.07"/>
    <n v="5"/>
    <x v="2424"/>
    <x v="9"/>
    <x v="1"/>
  </r>
  <r>
    <n v="44837"/>
    <x v="240"/>
    <x v="10"/>
    <x v="2"/>
    <x v="9"/>
    <s v="ImationÂ 8gb Micro Traveldrive Usb 2.0Â Flash Drive"/>
    <n v="24"/>
    <n v="2"/>
    <x v="2425"/>
    <x v="9"/>
    <x v="1"/>
  </r>
  <r>
    <n v="44837"/>
    <x v="240"/>
    <x v="10"/>
    <x v="1"/>
    <x v="11"/>
    <s v="Safco Value Mate Series Steel Bookcases, Baked Enamel Finish on Steel, Gray"/>
    <n v="35.49"/>
    <n v="1"/>
    <x v="2426"/>
    <x v="9"/>
    <x v="1"/>
  </r>
  <r>
    <n v="44837"/>
    <x v="240"/>
    <x v="10"/>
    <x v="2"/>
    <x v="9"/>
    <s v="Microsoft Natural Ergonomic Keyboard 4000"/>
    <n v="47.98"/>
    <n v="2"/>
    <x v="537"/>
    <x v="9"/>
    <x v="1"/>
  </r>
  <r>
    <n v="44837"/>
    <x v="126"/>
    <x v="2"/>
    <x v="0"/>
    <x v="2"/>
    <s v="Staple magnet"/>
    <n v="15.01"/>
    <n v="2"/>
    <x v="366"/>
    <x v="9"/>
    <x v="1"/>
  </r>
  <r>
    <n v="44837"/>
    <x v="206"/>
    <x v="3"/>
    <x v="1"/>
    <x v="11"/>
    <s v="Safco Value Mate Series Steel Bookcases, Baked Enamel Finish on Steel, Gray"/>
    <n v="120.67"/>
    <n v="2"/>
    <x v="301"/>
    <x v="9"/>
    <x v="1"/>
  </r>
  <r>
    <n v="44838"/>
    <x v="561"/>
    <x v="4"/>
    <x v="1"/>
    <x v="5"/>
    <s v="Office Star - Mesh Screen back chair with Vinyl seat"/>
    <n v="392.94"/>
    <n v="3"/>
    <x v="1328"/>
    <x v="9"/>
    <x v="1"/>
  </r>
  <r>
    <n v="44838"/>
    <x v="116"/>
    <x v="3"/>
    <x v="0"/>
    <x v="2"/>
    <s v="Tenex Personal Project File with Scoop Front Design, Black"/>
    <n v="26.96"/>
    <n v="2"/>
    <x v="2427"/>
    <x v="9"/>
    <x v="1"/>
  </r>
  <r>
    <n v="44838"/>
    <x v="488"/>
    <x v="2"/>
    <x v="1"/>
    <x v="8"/>
    <s v="DataProducts Ampli Magnifier Task Lamp, Black,"/>
    <n v="64.94"/>
    <n v="3"/>
    <x v="38"/>
    <x v="9"/>
    <x v="1"/>
  </r>
  <r>
    <n v="44838"/>
    <x v="488"/>
    <x v="2"/>
    <x v="0"/>
    <x v="0"/>
    <s v="Xerox 1946"/>
    <n v="20.74"/>
    <n v="4"/>
    <x v="416"/>
    <x v="9"/>
    <x v="1"/>
  </r>
  <r>
    <n v="44839"/>
    <x v="701"/>
    <x v="6"/>
    <x v="0"/>
    <x v="4"/>
    <s v="Newell 324"/>
    <n v="46.2"/>
    <n v="4"/>
    <x v="2428"/>
    <x v="9"/>
    <x v="1"/>
  </r>
  <r>
    <n v="44839"/>
    <x v="701"/>
    <x v="6"/>
    <x v="0"/>
    <x v="12"/>
    <s v="Holmes Odor Grabber"/>
    <n v="28.84"/>
    <n v="2"/>
    <x v="2429"/>
    <x v="9"/>
    <x v="1"/>
  </r>
  <r>
    <n v="44839"/>
    <x v="472"/>
    <x v="7"/>
    <x v="0"/>
    <x v="2"/>
    <s v="Personal Filing Tote with Lid, Black/Gray"/>
    <n v="77.55"/>
    <n v="5"/>
    <x v="1968"/>
    <x v="9"/>
    <x v="1"/>
  </r>
  <r>
    <n v="44839"/>
    <x v="337"/>
    <x v="10"/>
    <x v="2"/>
    <x v="9"/>
    <s v="SanDisk Ultra 32 GB MicroSDHC Class 10 Memory Card"/>
    <n v="53.04"/>
    <n v="3"/>
    <x v="2423"/>
    <x v="9"/>
    <x v="1"/>
  </r>
  <r>
    <n v="44839"/>
    <x v="467"/>
    <x v="11"/>
    <x v="1"/>
    <x v="11"/>
    <s v="Bush Cubix Collection Bookcases, Fully Assembled"/>
    <n v="66.290000000000006"/>
    <n v="1"/>
    <x v="2430"/>
    <x v="9"/>
    <x v="1"/>
  </r>
  <r>
    <n v="44839"/>
    <x v="467"/>
    <x v="11"/>
    <x v="1"/>
    <x v="5"/>
    <s v="Global Highback Leather Tilter in Burgundy"/>
    <n v="291.17"/>
    <n v="4"/>
    <x v="2431"/>
    <x v="9"/>
    <x v="1"/>
  </r>
  <r>
    <n v="44839"/>
    <x v="325"/>
    <x v="10"/>
    <x v="2"/>
    <x v="9"/>
    <s v="NETGEAR N750 Dual Band Wi-Fi Gigabit Router"/>
    <n v="288"/>
    <n v="4"/>
    <x v="2432"/>
    <x v="9"/>
    <x v="1"/>
  </r>
  <r>
    <n v="44842"/>
    <x v="337"/>
    <x v="3"/>
    <x v="1"/>
    <x v="8"/>
    <s v="Deflect-o SuperTray Unbreakable Stackable Tray, Letter, Black"/>
    <n v="145.9"/>
    <n v="5"/>
    <x v="2433"/>
    <x v="9"/>
    <x v="1"/>
  </r>
  <r>
    <n v="44842"/>
    <x v="542"/>
    <x v="0"/>
    <x v="0"/>
    <x v="4"/>
    <s v="Binney &amp; Smith inkTank Desk Highlighter, Chisel Tip, Yellow, 12/Box"/>
    <n v="3.44"/>
    <n v="2"/>
    <x v="1759"/>
    <x v="9"/>
    <x v="1"/>
  </r>
  <r>
    <n v="44842"/>
    <x v="702"/>
    <x v="0"/>
    <x v="1"/>
    <x v="8"/>
    <s v="Tenex Traditional Chairmats for Medium Pile Carpet, Standard Lip, 36&quot; x 48&quot;"/>
    <n v="72.78"/>
    <n v="3"/>
    <x v="2434"/>
    <x v="9"/>
    <x v="1"/>
  </r>
  <r>
    <n v="44843"/>
    <x v="610"/>
    <x v="6"/>
    <x v="0"/>
    <x v="2"/>
    <s v="Decoflex Hanging Personal Folder File, Blue"/>
    <n v="30.84"/>
    <n v="2"/>
    <x v="2435"/>
    <x v="9"/>
    <x v="1"/>
  </r>
  <r>
    <n v="44843"/>
    <x v="560"/>
    <x v="20"/>
    <x v="2"/>
    <x v="6"/>
    <s v="Jawbone JAMBOX Wireless Bluetooth Speaker"/>
    <n v="631.96"/>
    <n v="4"/>
    <x v="2436"/>
    <x v="9"/>
    <x v="1"/>
  </r>
  <r>
    <n v="44843"/>
    <x v="560"/>
    <x v="20"/>
    <x v="0"/>
    <x v="0"/>
    <s v="Xerox 1895"/>
    <n v="23.92"/>
    <n v="4"/>
    <x v="2437"/>
    <x v="9"/>
    <x v="1"/>
  </r>
  <r>
    <n v="44843"/>
    <x v="291"/>
    <x v="14"/>
    <x v="2"/>
    <x v="9"/>
    <s v="Logitech G19 Programmable Gaming Keyboard"/>
    <n v="619.95000000000005"/>
    <n v="5"/>
    <x v="2257"/>
    <x v="9"/>
    <x v="1"/>
  </r>
  <r>
    <n v="44843"/>
    <x v="291"/>
    <x v="14"/>
    <x v="2"/>
    <x v="6"/>
    <s v="KLD Oscar II Style Snap-on Ultra Thin Side Flip Synthetic Leather Cover Case for HTC One HTC M7"/>
    <n v="29.16"/>
    <n v="3"/>
    <x v="2438"/>
    <x v="9"/>
    <x v="1"/>
  </r>
  <r>
    <n v="44843"/>
    <x v="291"/>
    <x v="14"/>
    <x v="0"/>
    <x v="10"/>
    <s v="Staple envelope"/>
    <n v="57.96"/>
    <n v="7"/>
    <x v="2439"/>
    <x v="9"/>
    <x v="1"/>
  </r>
  <r>
    <n v="44843"/>
    <x v="291"/>
    <x v="14"/>
    <x v="0"/>
    <x v="12"/>
    <s v="Belkin 6 Outlet Metallic Surge Strip"/>
    <n v="29.4"/>
    <n v="3"/>
    <x v="1292"/>
    <x v="9"/>
    <x v="1"/>
  </r>
  <r>
    <n v="44843"/>
    <x v="256"/>
    <x v="16"/>
    <x v="0"/>
    <x v="3"/>
    <s v="Zipper Ring Binder Pockets"/>
    <n v="1.87"/>
    <n v="2"/>
    <x v="263"/>
    <x v="9"/>
    <x v="1"/>
  </r>
  <r>
    <n v="44843"/>
    <x v="256"/>
    <x v="16"/>
    <x v="0"/>
    <x v="3"/>
    <s v="Clear Mylar Reinforcing Strips"/>
    <n v="11.21"/>
    <n v="2"/>
    <x v="2440"/>
    <x v="9"/>
    <x v="1"/>
  </r>
  <r>
    <n v="44843"/>
    <x v="256"/>
    <x v="16"/>
    <x v="0"/>
    <x v="4"/>
    <s v="Avery Hi-Liter Smear-Safe Highlighters"/>
    <n v="37.380000000000003"/>
    <n v="8"/>
    <x v="201"/>
    <x v="9"/>
    <x v="1"/>
  </r>
  <r>
    <n v="44843"/>
    <x v="667"/>
    <x v="14"/>
    <x v="1"/>
    <x v="5"/>
    <s v="High-Back Leather Manager's Chair"/>
    <n v="389.97"/>
    <n v="3"/>
    <x v="2441"/>
    <x v="9"/>
    <x v="1"/>
  </r>
  <r>
    <n v="44843"/>
    <x v="667"/>
    <x v="14"/>
    <x v="0"/>
    <x v="12"/>
    <s v="Belkin 8 Outlet SurgeMaster II Gold Surge Protector"/>
    <n v="269.91000000000003"/>
    <n v="5"/>
    <x v="2442"/>
    <x v="9"/>
    <x v="1"/>
  </r>
  <r>
    <n v="44844"/>
    <x v="561"/>
    <x v="3"/>
    <x v="0"/>
    <x v="0"/>
    <s v="Xerox 1894"/>
    <n v="45.36"/>
    <n v="7"/>
    <x v="407"/>
    <x v="9"/>
    <x v="1"/>
  </r>
  <r>
    <n v="44844"/>
    <x v="628"/>
    <x v="16"/>
    <x v="0"/>
    <x v="2"/>
    <s v="Tennsco Single-Tier Lockers"/>
    <n v="1801.63"/>
    <n v="6"/>
    <x v="1055"/>
    <x v="9"/>
    <x v="1"/>
  </r>
  <r>
    <n v="44844"/>
    <x v="547"/>
    <x v="1"/>
    <x v="0"/>
    <x v="4"/>
    <s v="Avery Fluorescent Highlighter Four-Color Set"/>
    <n v="8.02"/>
    <n v="3"/>
    <x v="202"/>
    <x v="9"/>
    <x v="1"/>
  </r>
  <r>
    <n v="44844"/>
    <x v="549"/>
    <x v="3"/>
    <x v="1"/>
    <x v="5"/>
    <s v="Global Leather &amp; Oak Executive Chair, Burgundy"/>
    <n v="362.14"/>
    <n v="3"/>
    <x v="2443"/>
    <x v="9"/>
    <x v="1"/>
  </r>
  <r>
    <n v="44844"/>
    <x v="549"/>
    <x v="3"/>
    <x v="0"/>
    <x v="1"/>
    <s v="Avery 503"/>
    <n v="31.05"/>
    <n v="3"/>
    <x v="1256"/>
    <x v="9"/>
    <x v="1"/>
  </r>
  <r>
    <n v="44845"/>
    <x v="703"/>
    <x v="16"/>
    <x v="1"/>
    <x v="13"/>
    <s v="Bretford CR4500 Series Slim Rectangular Table"/>
    <n v="957.58"/>
    <n v="5"/>
    <x v="2444"/>
    <x v="9"/>
    <x v="1"/>
  </r>
  <r>
    <n v="44845"/>
    <x v="703"/>
    <x v="16"/>
    <x v="0"/>
    <x v="2"/>
    <s v="Eldon Fold 'N Roll Cart System"/>
    <n v="22.37"/>
    <n v="2"/>
    <x v="2445"/>
    <x v="9"/>
    <x v="1"/>
  </r>
  <r>
    <n v="44845"/>
    <x v="489"/>
    <x v="20"/>
    <x v="2"/>
    <x v="9"/>
    <s v="Memorex 25GB 6X Branded Blu-Ray Recordable Disc, 30/Pack"/>
    <n v="31.95"/>
    <n v="1"/>
    <x v="2446"/>
    <x v="9"/>
    <x v="1"/>
  </r>
  <r>
    <n v="44846"/>
    <x v="114"/>
    <x v="20"/>
    <x v="1"/>
    <x v="11"/>
    <s v="Atlantic Metals Mobile 4-Shelf Bookcases, Custom Colors"/>
    <n v="899.14"/>
    <n v="4"/>
    <x v="2447"/>
    <x v="9"/>
    <x v="1"/>
  </r>
  <r>
    <n v="44846"/>
    <x v="114"/>
    <x v="20"/>
    <x v="2"/>
    <x v="6"/>
    <s v="I Need's 3d Hello Kitty Hybrid Silicone Case Cover for HTC One X 4g with 3d Hello Kitty Stylus Pen Green/pink"/>
    <n v="71.760000000000005"/>
    <n v="6"/>
    <x v="2448"/>
    <x v="9"/>
    <x v="1"/>
  </r>
  <r>
    <n v="44846"/>
    <x v="114"/>
    <x v="20"/>
    <x v="0"/>
    <x v="0"/>
    <s v="Xerox 205"/>
    <n v="51.84"/>
    <n v="8"/>
    <x v="1746"/>
    <x v="9"/>
    <x v="1"/>
  </r>
  <r>
    <n v="44846"/>
    <x v="114"/>
    <x v="20"/>
    <x v="1"/>
    <x v="11"/>
    <s v="Atlantic Metals Mobile 3-Shelf Bookcases, Custom Colors"/>
    <n v="626.35"/>
    <n v="3"/>
    <x v="2449"/>
    <x v="9"/>
    <x v="1"/>
  </r>
  <r>
    <n v="44846"/>
    <x v="114"/>
    <x v="20"/>
    <x v="0"/>
    <x v="4"/>
    <s v="4009 Highlighters by Sanford"/>
    <n v="19.899999999999999"/>
    <n v="5"/>
    <x v="29"/>
    <x v="9"/>
    <x v="1"/>
  </r>
  <r>
    <n v="44846"/>
    <x v="670"/>
    <x v="20"/>
    <x v="1"/>
    <x v="13"/>
    <s v="SAFCO PlanMaster Heigh-Adjustable Drafting Table Base, 43w x 30d x 30-37h, Black"/>
    <n v="209.67"/>
    <n v="1"/>
    <x v="2450"/>
    <x v="9"/>
    <x v="1"/>
  </r>
  <r>
    <n v="44846"/>
    <x v="392"/>
    <x v="18"/>
    <x v="2"/>
    <x v="6"/>
    <s v="AT&amp;T 17929 Lendline Telephone"/>
    <n v="135.72"/>
    <n v="3"/>
    <x v="2451"/>
    <x v="9"/>
    <x v="1"/>
  </r>
  <r>
    <n v="44846"/>
    <x v="392"/>
    <x v="18"/>
    <x v="0"/>
    <x v="3"/>
    <s v="GBC Standard Plastic Binding Systems' Combs"/>
    <n v="12.56"/>
    <n v="2"/>
    <x v="2452"/>
    <x v="9"/>
    <x v="1"/>
  </r>
  <r>
    <n v="44846"/>
    <x v="392"/>
    <x v="18"/>
    <x v="2"/>
    <x v="6"/>
    <s v="Samsung Rugby III"/>
    <n v="263.95999999999998"/>
    <n v="4"/>
    <x v="2453"/>
    <x v="9"/>
    <x v="1"/>
  </r>
  <r>
    <n v="44846"/>
    <x v="75"/>
    <x v="22"/>
    <x v="2"/>
    <x v="9"/>
    <s v="Kingston Digital DataTraveler 16GB USB 2.0"/>
    <n v="17.899999999999999"/>
    <n v="2"/>
    <x v="119"/>
    <x v="9"/>
    <x v="1"/>
  </r>
  <r>
    <n v="44846"/>
    <x v="75"/>
    <x v="22"/>
    <x v="0"/>
    <x v="2"/>
    <s v="Contico 72&quot;H Heavy-Duty Storage System"/>
    <n v="81.96"/>
    <n v="2"/>
    <x v="62"/>
    <x v="9"/>
    <x v="1"/>
  </r>
  <r>
    <n v="44847"/>
    <x v="192"/>
    <x v="5"/>
    <x v="2"/>
    <x v="6"/>
    <s v="I Need's 3d Hello Kitty Hybrid Silicone Case Cover for HTC One X 4g with 3d Hello Kitty Stylus Pen Green/pink"/>
    <n v="83.72"/>
    <n v="7"/>
    <x v="2454"/>
    <x v="9"/>
    <x v="1"/>
  </r>
  <r>
    <n v="44847"/>
    <x v="192"/>
    <x v="5"/>
    <x v="1"/>
    <x v="5"/>
    <s v="Global Deluxe Office Fabric Chairs"/>
    <n v="287.94"/>
    <n v="3"/>
    <x v="2455"/>
    <x v="9"/>
    <x v="1"/>
  </r>
  <r>
    <n v="44849"/>
    <x v="205"/>
    <x v="1"/>
    <x v="2"/>
    <x v="9"/>
    <s v="LogitechÂ Gaming G510s - Keyboard"/>
    <n v="339.96"/>
    <n v="5"/>
    <x v="2456"/>
    <x v="9"/>
    <x v="1"/>
  </r>
  <r>
    <n v="44849"/>
    <x v="264"/>
    <x v="0"/>
    <x v="2"/>
    <x v="9"/>
    <s v="Plantronics Audio 995 Wireless Stereo Headset"/>
    <n v="263.88"/>
    <n v="3"/>
    <x v="2457"/>
    <x v="9"/>
    <x v="1"/>
  </r>
  <r>
    <n v="44849"/>
    <x v="264"/>
    <x v="0"/>
    <x v="1"/>
    <x v="5"/>
    <s v="HON 5400 Series Task Chairs for Big and Tall"/>
    <n v="2453.4299999999998"/>
    <n v="5"/>
    <x v="2458"/>
    <x v="9"/>
    <x v="1"/>
  </r>
  <r>
    <n v="44849"/>
    <x v="41"/>
    <x v="14"/>
    <x v="1"/>
    <x v="8"/>
    <s v="DAX Cubicle Frames, 8-1/2 x 11"/>
    <n v="17.14"/>
    <n v="2"/>
    <x v="2459"/>
    <x v="9"/>
    <x v="1"/>
  </r>
  <r>
    <n v="44849"/>
    <x v="704"/>
    <x v="0"/>
    <x v="1"/>
    <x v="8"/>
    <s v="C-Line Cubicle Keepers Polyproplyene Holder w/Velcro Back, 8-1/2x11, 25/Bx"/>
    <n v="131.38"/>
    <n v="6"/>
    <x v="2460"/>
    <x v="9"/>
    <x v="1"/>
  </r>
  <r>
    <n v="44849"/>
    <x v="704"/>
    <x v="0"/>
    <x v="0"/>
    <x v="0"/>
    <s v="Xerox 1986"/>
    <n v="5.34"/>
    <n v="1"/>
    <x v="2461"/>
    <x v="9"/>
    <x v="1"/>
  </r>
  <r>
    <n v="44849"/>
    <x v="471"/>
    <x v="0"/>
    <x v="0"/>
    <x v="10"/>
    <s v="Staple envelope"/>
    <n v="4.46"/>
    <n v="1"/>
    <x v="688"/>
    <x v="9"/>
    <x v="1"/>
  </r>
  <r>
    <n v="44849"/>
    <x v="471"/>
    <x v="0"/>
    <x v="0"/>
    <x v="3"/>
    <s v="Avery Reinforcements for Hole-Punch Pages"/>
    <n v="3.96"/>
    <n v="10"/>
    <x v="1620"/>
    <x v="9"/>
    <x v="1"/>
  </r>
  <r>
    <n v="44850"/>
    <x v="634"/>
    <x v="20"/>
    <x v="2"/>
    <x v="6"/>
    <s v="Mitel MiVoice 5330e IP Phone"/>
    <n v="824.97"/>
    <n v="3"/>
    <x v="2462"/>
    <x v="9"/>
    <x v="1"/>
  </r>
  <r>
    <n v="44851"/>
    <x v="693"/>
    <x v="3"/>
    <x v="0"/>
    <x v="2"/>
    <s v="Eldon Base for stackable storage shelf, platinum"/>
    <n v="77.88"/>
    <n v="2"/>
    <x v="577"/>
    <x v="9"/>
    <x v="1"/>
  </r>
  <r>
    <n v="44852"/>
    <x v="61"/>
    <x v="0"/>
    <x v="2"/>
    <x v="9"/>
    <s v="Verbatim Slim CD and DVD Storage Cases, 50/Pack"/>
    <n v="27.7"/>
    <n v="3"/>
    <x v="2463"/>
    <x v="9"/>
    <x v="1"/>
  </r>
  <r>
    <n v="44852"/>
    <x v="61"/>
    <x v="0"/>
    <x v="0"/>
    <x v="12"/>
    <s v="Tripp Lite Isotel 6 Outlet Surge Protector with Fax/Modem Protection"/>
    <n v="73.16"/>
    <n v="6"/>
    <x v="2464"/>
    <x v="9"/>
    <x v="1"/>
  </r>
  <r>
    <n v="44852"/>
    <x v="405"/>
    <x v="22"/>
    <x v="2"/>
    <x v="6"/>
    <s v="Motorola L703CM"/>
    <n v="249.58"/>
    <n v="2"/>
    <x v="2465"/>
    <x v="9"/>
    <x v="1"/>
  </r>
  <r>
    <n v="44852"/>
    <x v="405"/>
    <x v="22"/>
    <x v="0"/>
    <x v="0"/>
    <s v="Xerox 1903"/>
    <n v="17.940000000000001"/>
    <n v="3"/>
    <x v="450"/>
    <x v="9"/>
    <x v="1"/>
  </r>
  <r>
    <n v="44852"/>
    <x v="405"/>
    <x v="22"/>
    <x v="1"/>
    <x v="8"/>
    <s v="Eldon 100 Class Desk Accessories"/>
    <n v="10.11"/>
    <n v="3"/>
    <x v="167"/>
    <x v="9"/>
    <x v="1"/>
  </r>
  <r>
    <n v="44853"/>
    <x v="463"/>
    <x v="38"/>
    <x v="0"/>
    <x v="0"/>
    <s v="Southworth 100% Cotton The Best Paper"/>
    <n v="34.44"/>
    <n v="3"/>
    <x v="184"/>
    <x v="9"/>
    <x v="1"/>
  </r>
  <r>
    <n v="44853"/>
    <x v="62"/>
    <x v="14"/>
    <x v="0"/>
    <x v="3"/>
    <s v="Avery Heavy-Duty EZD View Binder with Locking Rings"/>
    <n v="38.28"/>
    <n v="6"/>
    <x v="2466"/>
    <x v="9"/>
    <x v="1"/>
  </r>
  <r>
    <n v="44853"/>
    <x v="62"/>
    <x v="14"/>
    <x v="2"/>
    <x v="6"/>
    <s v="OtterBox Defender Series Case - Samsung Galaxy S4"/>
    <n v="149.94999999999999"/>
    <n v="5"/>
    <x v="2467"/>
    <x v="9"/>
    <x v="1"/>
  </r>
  <r>
    <n v="44853"/>
    <x v="508"/>
    <x v="3"/>
    <x v="0"/>
    <x v="12"/>
    <s v="Sanyo Counter Height Refrigerator with Crisper, 3.6 Cubic Foot, Stainless Steel/Black"/>
    <n v="1640.7"/>
    <n v="5"/>
    <x v="2468"/>
    <x v="9"/>
    <x v="1"/>
  </r>
  <r>
    <n v="44853"/>
    <x v="508"/>
    <x v="3"/>
    <x v="2"/>
    <x v="9"/>
    <s v="NETGEAR N750 Dual Band Wi-Fi Gigabit Router"/>
    <n v="270"/>
    <n v="3"/>
    <x v="2469"/>
    <x v="9"/>
    <x v="1"/>
  </r>
  <r>
    <n v="44853"/>
    <x v="178"/>
    <x v="0"/>
    <x v="0"/>
    <x v="3"/>
    <s v="Avery Printable Repositionable Plastic Tabs"/>
    <n v="1.72"/>
    <n v="1"/>
    <x v="2470"/>
    <x v="9"/>
    <x v="1"/>
  </r>
  <r>
    <n v="44854"/>
    <x v="270"/>
    <x v="3"/>
    <x v="2"/>
    <x v="9"/>
    <s v="Logitech G602 Wireless Gaming Mouse"/>
    <n v="239.97"/>
    <n v="3"/>
    <x v="103"/>
    <x v="9"/>
    <x v="1"/>
  </r>
  <r>
    <n v="44854"/>
    <x v="270"/>
    <x v="3"/>
    <x v="1"/>
    <x v="8"/>
    <s v="Acrylic Self-Standing Desk Frames"/>
    <n v="16.02"/>
    <n v="6"/>
    <x v="2471"/>
    <x v="9"/>
    <x v="1"/>
  </r>
  <r>
    <n v="44854"/>
    <x v="282"/>
    <x v="20"/>
    <x v="0"/>
    <x v="0"/>
    <s v="Easy-staple paper"/>
    <n v="24.56"/>
    <n v="2"/>
    <x v="391"/>
    <x v="9"/>
    <x v="1"/>
  </r>
  <r>
    <n v="44854"/>
    <x v="149"/>
    <x v="3"/>
    <x v="1"/>
    <x v="8"/>
    <s v="Nu-Dell Oak Frame"/>
    <n v="74.760000000000005"/>
    <n v="7"/>
    <x v="1916"/>
    <x v="9"/>
    <x v="1"/>
  </r>
  <r>
    <n v="44854"/>
    <x v="149"/>
    <x v="3"/>
    <x v="1"/>
    <x v="13"/>
    <s v="SAFCO PlanMaster Boards, 60w x 37-1/2d, White Melamine"/>
    <n v="364.78"/>
    <n v="3"/>
    <x v="467"/>
    <x v="9"/>
    <x v="1"/>
  </r>
  <r>
    <n v="44856"/>
    <x v="235"/>
    <x v="1"/>
    <x v="0"/>
    <x v="3"/>
    <s v="GBC Instant Report Kit"/>
    <n v="5.18"/>
    <n v="4"/>
    <x v="2472"/>
    <x v="9"/>
    <x v="1"/>
  </r>
  <r>
    <n v="44856"/>
    <x v="344"/>
    <x v="16"/>
    <x v="0"/>
    <x v="2"/>
    <s v="Eldon Simplefile Box Office"/>
    <n v="9.9499999999999993"/>
    <n v="1"/>
    <x v="202"/>
    <x v="9"/>
    <x v="1"/>
  </r>
  <r>
    <n v="44857"/>
    <x v="705"/>
    <x v="3"/>
    <x v="2"/>
    <x v="9"/>
    <s v="Maxell DVD-RAM Discs"/>
    <n v="148.32"/>
    <n v="9"/>
    <x v="2473"/>
    <x v="9"/>
    <x v="1"/>
  </r>
  <r>
    <n v="44857"/>
    <x v="705"/>
    <x v="3"/>
    <x v="1"/>
    <x v="5"/>
    <s v="Global Leather and Oak Executive Chair, Black"/>
    <n v="240.78"/>
    <n v="1"/>
    <x v="2474"/>
    <x v="9"/>
    <x v="1"/>
  </r>
  <r>
    <n v="44857"/>
    <x v="705"/>
    <x v="3"/>
    <x v="1"/>
    <x v="5"/>
    <s v="Global Chrome Stack Chair"/>
    <n v="191.97"/>
    <n v="7"/>
    <x v="1919"/>
    <x v="9"/>
    <x v="1"/>
  </r>
  <r>
    <n v="44857"/>
    <x v="705"/>
    <x v="3"/>
    <x v="0"/>
    <x v="0"/>
    <s v="Xerox 196"/>
    <n v="11.56"/>
    <n v="2"/>
    <x v="814"/>
    <x v="9"/>
    <x v="1"/>
  </r>
  <r>
    <n v="44857"/>
    <x v="705"/>
    <x v="3"/>
    <x v="0"/>
    <x v="10"/>
    <s v="Redi-Strip #10 Envelopes, 4 1/8 x 9 1/2"/>
    <n v="11.8"/>
    <n v="4"/>
    <x v="814"/>
    <x v="9"/>
    <x v="1"/>
  </r>
  <r>
    <n v="44857"/>
    <x v="705"/>
    <x v="3"/>
    <x v="1"/>
    <x v="5"/>
    <s v="Office Star - Professional Matrix Back Chair with 2-to-1 Synchro Tilt and Mesh Fabric Seat"/>
    <n v="842.35"/>
    <n v="3"/>
    <x v="2475"/>
    <x v="9"/>
    <x v="1"/>
  </r>
  <r>
    <n v="44857"/>
    <x v="565"/>
    <x v="16"/>
    <x v="2"/>
    <x v="6"/>
    <s v="Mediabridge Sport Armband iPhone 5s"/>
    <n v="55.94"/>
    <n v="7"/>
    <x v="2476"/>
    <x v="9"/>
    <x v="1"/>
  </r>
  <r>
    <n v="44857"/>
    <x v="565"/>
    <x v="16"/>
    <x v="0"/>
    <x v="4"/>
    <s v="Sanford Liquid Accent Highlighters"/>
    <n v="10.69"/>
    <n v="2"/>
    <x v="2477"/>
    <x v="9"/>
    <x v="1"/>
  </r>
  <r>
    <n v="44857"/>
    <x v="565"/>
    <x v="16"/>
    <x v="2"/>
    <x v="6"/>
    <s v="SKILCRAFT Telephone Shoulder Rest, 2&quot; x 6.5&quot; x 2.5&quot;, Black"/>
    <n v="11.82"/>
    <n v="2"/>
    <x v="812"/>
    <x v="9"/>
    <x v="1"/>
  </r>
  <r>
    <n v="44857"/>
    <x v="597"/>
    <x v="22"/>
    <x v="0"/>
    <x v="3"/>
    <s v="Avery Non-Stick Binders"/>
    <n v="3.59"/>
    <n v="1"/>
    <x v="329"/>
    <x v="9"/>
    <x v="1"/>
  </r>
  <r>
    <n v="44857"/>
    <x v="364"/>
    <x v="0"/>
    <x v="0"/>
    <x v="0"/>
    <s v="Xerox 212"/>
    <n v="36.29"/>
    <n v="7"/>
    <x v="1285"/>
    <x v="9"/>
    <x v="1"/>
  </r>
  <r>
    <n v="44857"/>
    <x v="364"/>
    <x v="0"/>
    <x v="2"/>
    <x v="6"/>
    <s v="Jabra SPEAK 410"/>
    <n v="150.38"/>
    <n v="2"/>
    <x v="701"/>
    <x v="9"/>
    <x v="1"/>
  </r>
  <r>
    <n v="44857"/>
    <x v="96"/>
    <x v="0"/>
    <x v="0"/>
    <x v="0"/>
    <s v="TOPS 4 x 6 Fluorescent Color Memo Sheets, 500 Sheets per Pack"/>
    <n v="60.74"/>
    <n v="8"/>
    <x v="2478"/>
    <x v="9"/>
    <x v="1"/>
  </r>
  <r>
    <n v="44857"/>
    <x v="96"/>
    <x v="0"/>
    <x v="2"/>
    <x v="16"/>
    <s v="Canon PC-428 Personal Copier"/>
    <n v="479.98"/>
    <n v="3"/>
    <x v="2479"/>
    <x v="9"/>
    <x v="1"/>
  </r>
  <r>
    <n v="44857"/>
    <x v="96"/>
    <x v="0"/>
    <x v="0"/>
    <x v="3"/>
    <s v="Ibico Plastic Spiral Binding Combs"/>
    <n v="6.08"/>
    <n v="1"/>
    <x v="2480"/>
    <x v="9"/>
    <x v="1"/>
  </r>
  <r>
    <n v="44858"/>
    <x v="597"/>
    <x v="0"/>
    <x v="0"/>
    <x v="0"/>
    <s v="Xerox 1999"/>
    <n v="15.55"/>
    <n v="3"/>
    <x v="192"/>
    <x v="9"/>
    <x v="1"/>
  </r>
  <r>
    <n v="44858"/>
    <x v="597"/>
    <x v="0"/>
    <x v="1"/>
    <x v="13"/>
    <s v="KI Conference Tables"/>
    <n v="347.36"/>
    <n v="7"/>
    <x v="2481"/>
    <x v="9"/>
    <x v="1"/>
  </r>
  <r>
    <n v="44858"/>
    <x v="597"/>
    <x v="0"/>
    <x v="0"/>
    <x v="0"/>
    <s v="Xerox 2"/>
    <n v="10.37"/>
    <n v="2"/>
    <x v="316"/>
    <x v="9"/>
    <x v="1"/>
  </r>
  <r>
    <n v="44858"/>
    <x v="428"/>
    <x v="0"/>
    <x v="0"/>
    <x v="3"/>
    <s v="Avery Non-Stick Binders"/>
    <n v="3.59"/>
    <n v="4"/>
    <x v="2482"/>
    <x v="9"/>
    <x v="1"/>
  </r>
  <r>
    <n v="44858"/>
    <x v="629"/>
    <x v="3"/>
    <x v="1"/>
    <x v="5"/>
    <s v="Novimex High-Tech Fabric Mesh Task Chair"/>
    <n v="454.27"/>
    <n v="8"/>
    <x v="2483"/>
    <x v="9"/>
    <x v="1"/>
  </r>
  <r>
    <n v="44859"/>
    <x v="335"/>
    <x v="3"/>
    <x v="0"/>
    <x v="4"/>
    <s v="Boston 19500 Mighty Mite Electric Pencil Sharpener"/>
    <n v="60.45"/>
    <n v="3"/>
    <x v="1200"/>
    <x v="9"/>
    <x v="1"/>
  </r>
  <r>
    <n v="44859"/>
    <x v="335"/>
    <x v="3"/>
    <x v="1"/>
    <x v="13"/>
    <s v="Balt Solid Wood Rectangular Table"/>
    <n v="253.18"/>
    <n v="3"/>
    <x v="2484"/>
    <x v="9"/>
    <x v="1"/>
  </r>
  <r>
    <n v="44859"/>
    <x v="252"/>
    <x v="7"/>
    <x v="2"/>
    <x v="6"/>
    <s v="ClearOne Communications CHAT 70 OCÂ Speaker Phone"/>
    <n v="158.99"/>
    <n v="1"/>
    <x v="2485"/>
    <x v="9"/>
    <x v="1"/>
  </r>
  <r>
    <n v="44859"/>
    <x v="252"/>
    <x v="7"/>
    <x v="1"/>
    <x v="5"/>
    <s v="Iceberg Nesting Folding Chair, 19w x 6d x 43h"/>
    <n v="291.10000000000002"/>
    <n v="5"/>
    <x v="2486"/>
    <x v="9"/>
    <x v="1"/>
  </r>
  <r>
    <n v="44859"/>
    <x v="259"/>
    <x v="17"/>
    <x v="0"/>
    <x v="4"/>
    <s v="Newell 319"/>
    <n v="79.36"/>
    <n v="4"/>
    <x v="280"/>
    <x v="9"/>
    <x v="1"/>
  </r>
  <r>
    <n v="44859"/>
    <x v="486"/>
    <x v="26"/>
    <x v="1"/>
    <x v="5"/>
    <s v="Global Highback Leather Tilter in Burgundy"/>
    <n v="582.34"/>
    <n v="8"/>
    <x v="2487"/>
    <x v="9"/>
    <x v="1"/>
  </r>
  <r>
    <n v="44860"/>
    <x v="706"/>
    <x v="3"/>
    <x v="0"/>
    <x v="1"/>
    <s v="Avery 507"/>
    <n v="5.76"/>
    <n v="2"/>
    <x v="505"/>
    <x v="9"/>
    <x v="1"/>
  </r>
  <r>
    <n v="44860"/>
    <x v="597"/>
    <x v="12"/>
    <x v="2"/>
    <x v="6"/>
    <s v="Panasonic KX-TG6844B Expandable Digital Cordless Telephone"/>
    <n v="105.58"/>
    <n v="2"/>
    <x v="321"/>
    <x v="9"/>
    <x v="1"/>
  </r>
  <r>
    <n v="44860"/>
    <x v="597"/>
    <x v="12"/>
    <x v="2"/>
    <x v="6"/>
    <s v="Plantronics MX500i Earset"/>
    <n v="68.72"/>
    <n v="2"/>
    <x v="2488"/>
    <x v="9"/>
    <x v="1"/>
  </r>
  <r>
    <n v="44860"/>
    <x v="94"/>
    <x v="11"/>
    <x v="0"/>
    <x v="1"/>
    <s v="Avery 477"/>
    <n v="146.54"/>
    <n v="6"/>
    <x v="2489"/>
    <x v="9"/>
    <x v="1"/>
  </r>
  <r>
    <n v="44860"/>
    <x v="94"/>
    <x v="11"/>
    <x v="0"/>
    <x v="0"/>
    <s v="Xerox 1914"/>
    <n v="131.9"/>
    <n v="3"/>
    <x v="178"/>
    <x v="9"/>
    <x v="1"/>
  </r>
  <r>
    <n v="44860"/>
    <x v="94"/>
    <x v="11"/>
    <x v="0"/>
    <x v="12"/>
    <s v="Tripp Lite TLP810NET Broadband Surge for Modem/Fax"/>
    <n v="203.88"/>
    <n v="5"/>
    <x v="1940"/>
    <x v="9"/>
    <x v="1"/>
  </r>
  <r>
    <n v="44860"/>
    <x v="94"/>
    <x v="11"/>
    <x v="0"/>
    <x v="3"/>
    <s v="Avery Self-Adhesive Photo Pockets for Polaroid Photos"/>
    <n v="14.3"/>
    <n v="7"/>
    <x v="1216"/>
    <x v="9"/>
    <x v="1"/>
  </r>
  <r>
    <n v="44860"/>
    <x v="94"/>
    <x v="11"/>
    <x v="0"/>
    <x v="2"/>
    <s v="Fellowes Officeware Wire Shelving"/>
    <n v="718.64"/>
    <n v="10"/>
    <x v="2490"/>
    <x v="9"/>
    <x v="1"/>
  </r>
  <r>
    <n v="44862"/>
    <x v="122"/>
    <x v="5"/>
    <x v="0"/>
    <x v="10"/>
    <s v="Laser &amp; Ink Jet Business Envelopes"/>
    <n v="10.67"/>
    <n v="1"/>
    <x v="135"/>
    <x v="9"/>
    <x v="1"/>
  </r>
  <r>
    <n v="44862"/>
    <x v="122"/>
    <x v="5"/>
    <x v="0"/>
    <x v="2"/>
    <s v="Portable Personal File Box"/>
    <n v="36.630000000000003"/>
    <n v="3"/>
    <x v="385"/>
    <x v="9"/>
    <x v="1"/>
  </r>
  <r>
    <n v="44862"/>
    <x v="122"/>
    <x v="5"/>
    <x v="1"/>
    <x v="8"/>
    <s v="Magna Visual Magnetic Picture Hangers"/>
    <n v="24.1"/>
    <n v="5"/>
    <x v="2491"/>
    <x v="9"/>
    <x v="1"/>
  </r>
  <r>
    <n v="44862"/>
    <x v="122"/>
    <x v="5"/>
    <x v="1"/>
    <x v="8"/>
    <s v="C-Line Cubicle Keepers Polyproplyene Holder With Velcro Backings"/>
    <n v="33.11"/>
    <n v="7"/>
    <x v="300"/>
    <x v="9"/>
    <x v="1"/>
  </r>
  <r>
    <n v="44863"/>
    <x v="555"/>
    <x v="3"/>
    <x v="0"/>
    <x v="0"/>
    <s v="Xerox 1898"/>
    <n v="33.4"/>
    <n v="5"/>
    <x v="1770"/>
    <x v="9"/>
    <x v="1"/>
  </r>
  <r>
    <n v="44863"/>
    <x v="555"/>
    <x v="3"/>
    <x v="0"/>
    <x v="10"/>
    <s v="Strathmore #10 Envelopes, Ultimate White"/>
    <n v="210.84"/>
    <n v="4"/>
    <x v="2492"/>
    <x v="9"/>
    <x v="1"/>
  </r>
  <r>
    <n v="44864"/>
    <x v="662"/>
    <x v="14"/>
    <x v="2"/>
    <x v="6"/>
    <s v="Panasonic KX T7736-B Digital phone"/>
    <n v="299.89999999999998"/>
    <n v="2"/>
    <x v="2493"/>
    <x v="9"/>
    <x v="1"/>
  </r>
  <r>
    <n v="44864"/>
    <x v="410"/>
    <x v="26"/>
    <x v="2"/>
    <x v="15"/>
    <s v="Lexmark S315 Color Inkjet Printer"/>
    <n v="59.99"/>
    <n v="2"/>
    <x v="2494"/>
    <x v="9"/>
    <x v="1"/>
  </r>
  <r>
    <n v="44864"/>
    <x v="410"/>
    <x v="26"/>
    <x v="2"/>
    <x v="16"/>
    <s v="Sharp 1540cs Digital Laser Copier"/>
    <n v="439.99"/>
    <n v="1"/>
    <x v="2495"/>
    <x v="9"/>
    <x v="1"/>
  </r>
  <r>
    <n v="44864"/>
    <x v="410"/>
    <x v="26"/>
    <x v="2"/>
    <x v="6"/>
    <s v="OtterBox Commuter Series Case - iPhone 5 &amp; 5s"/>
    <n v="87.96"/>
    <n v="5"/>
    <x v="2496"/>
    <x v="9"/>
    <x v="1"/>
  </r>
  <r>
    <n v="44864"/>
    <x v="410"/>
    <x v="26"/>
    <x v="1"/>
    <x v="8"/>
    <s v="Eldon Regeneration Recycled Desk Accessories, Black"/>
    <n v="15.49"/>
    <n v="4"/>
    <x v="1918"/>
    <x v="9"/>
    <x v="1"/>
  </r>
  <r>
    <n v="44864"/>
    <x v="426"/>
    <x v="6"/>
    <x v="0"/>
    <x v="12"/>
    <s v="Tripp Lite Isotel 6 Outlet Surge Protector with Fax/Modem Protection"/>
    <n v="182.91"/>
    <n v="3"/>
    <x v="2497"/>
    <x v="9"/>
    <x v="1"/>
  </r>
  <r>
    <n v="44864"/>
    <x v="45"/>
    <x v="20"/>
    <x v="2"/>
    <x v="15"/>
    <s v="Star Micronics TSP100 TSP143LAN Receipt Printer"/>
    <n v="1035.8"/>
    <n v="4"/>
    <x v="2498"/>
    <x v="9"/>
    <x v="1"/>
  </r>
  <r>
    <n v="44865"/>
    <x v="126"/>
    <x v="3"/>
    <x v="0"/>
    <x v="10"/>
    <s v="Poly String Tie Envelopes"/>
    <n v="14.28"/>
    <n v="7"/>
    <x v="2499"/>
    <x v="9"/>
    <x v="1"/>
  </r>
  <r>
    <n v="44865"/>
    <x v="187"/>
    <x v="14"/>
    <x v="0"/>
    <x v="14"/>
    <s v="Acme 10&quot; Easy Grip Assistive Scissors"/>
    <n v="70.12"/>
    <n v="4"/>
    <x v="2500"/>
    <x v="9"/>
    <x v="1"/>
  </r>
  <r>
    <n v="44865"/>
    <x v="73"/>
    <x v="20"/>
    <x v="0"/>
    <x v="4"/>
    <s v="Design Ebony Sketching Pencil"/>
    <n v="2.78"/>
    <n v="2"/>
    <x v="2223"/>
    <x v="9"/>
    <x v="1"/>
  </r>
  <r>
    <n v="44865"/>
    <x v="73"/>
    <x v="20"/>
    <x v="0"/>
    <x v="10"/>
    <s v="Blue String-Tie &amp; Button Interoffice Envelopes, 10 x 13"/>
    <n v="79.959999999999994"/>
    <n v="2"/>
    <x v="2501"/>
    <x v="9"/>
    <x v="1"/>
  </r>
  <r>
    <n v="44865"/>
    <x v="105"/>
    <x v="3"/>
    <x v="0"/>
    <x v="3"/>
    <s v="Prestige Round Ring Binders"/>
    <n v="9.73"/>
    <n v="2"/>
    <x v="649"/>
    <x v="9"/>
    <x v="1"/>
  </r>
  <r>
    <n v="44865"/>
    <x v="105"/>
    <x v="3"/>
    <x v="0"/>
    <x v="10"/>
    <s v="Redi-Strip #10 Envelopes, 4 1/8 x 9 1/2"/>
    <n v="14.75"/>
    <n v="5"/>
    <x v="2502"/>
    <x v="9"/>
    <x v="1"/>
  </r>
  <r>
    <n v="44865"/>
    <x v="105"/>
    <x v="3"/>
    <x v="0"/>
    <x v="3"/>
    <s v="Acco Four Pocket Poly Ring Binder with Label Holder, Smoke, 1&quot;"/>
    <n v="29.8"/>
    <n v="5"/>
    <x v="2503"/>
    <x v="9"/>
    <x v="1"/>
  </r>
  <r>
    <n v="44865"/>
    <x v="105"/>
    <x v="3"/>
    <x v="0"/>
    <x v="1"/>
    <s v="Avery 4027 File Folder Labels for Dot Matrix Printers, 5000 Labels per Box, White"/>
    <n v="427.42"/>
    <n v="14"/>
    <x v="2504"/>
    <x v="9"/>
    <x v="1"/>
  </r>
  <r>
    <n v="44865"/>
    <x v="707"/>
    <x v="3"/>
    <x v="0"/>
    <x v="0"/>
    <s v="Xerox 191"/>
    <n v="19.98"/>
    <n v="1"/>
    <x v="364"/>
    <x v="9"/>
    <x v="1"/>
  </r>
  <r>
    <n v="44865"/>
    <x v="707"/>
    <x v="3"/>
    <x v="0"/>
    <x v="3"/>
    <s v="GBC DocuBind P100 Manual Binding Machine"/>
    <n v="398.35"/>
    <n v="3"/>
    <x v="2505"/>
    <x v="9"/>
    <x v="1"/>
  </r>
  <r>
    <n v="44865"/>
    <x v="707"/>
    <x v="3"/>
    <x v="0"/>
    <x v="4"/>
    <s v="Newell 308"/>
    <n v="5.04"/>
    <n v="3"/>
    <x v="2506"/>
    <x v="9"/>
    <x v="1"/>
  </r>
  <r>
    <n v="44865"/>
    <x v="707"/>
    <x v="3"/>
    <x v="0"/>
    <x v="7"/>
    <s v="OIC Bulk Pack Metal Binder Clips"/>
    <n v="17.45"/>
    <n v="5"/>
    <x v="2507"/>
    <x v="9"/>
    <x v="1"/>
  </r>
  <r>
    <n v="44865"/>
    <x v="707"/>
    <x v="3"/>
    <x v="1"/>
    <x v="5"/>
    <s v="Global Fabric Manager's Chair, Dark Gray"/>
    <n v="323.14"/>
    <n v="4"/>
    <x v="2508"/>
    <x v="9"/>
    <x v="1"/>
  </r>
  <r>
    <n v="44865"/>
    <x v="707"/>
    <x v="3"/>
    <x v="0"/>
    <x v="14"/>
    <s v="Acme Tagit Stainless Steel Antibacterial Scissors"/>
    <n v="29.7"/>
    <n v="3"/>
    <x v="1825"/>
    <x v="9"/>
    <x v="1"/>
  </r>
  <r>
    <n v="44865"/>
    <x v="707"/>
    <x v="3"/>
    <x v="2"/>
    <x v="6"/>
    <s v="Polycom SoundStation2 EX ConferenceÂ phone"/>
    <n v="1295.8399999999999"/>
    <n v="4"/>
    <x v="2509"/>
    <x v="9"/>
    <x v="1"/>
  </r>
  <r>
    <n v="44865"/>
    <x v="707"/>
    <x v="3"/>
    <x v="0"/>
    <x v="2"/>
    <s v="Mobile Personal File Cube"/>
    <n v="46.84"/>
    <n v="2"/>
    <x v="2510"/>
    <x v="9"/>
    <x v="1"/>
  </r>
  <r>
    <n v="44865"/>
    <x v="707"/>
    <x v="3"/>
    <x v="1"/>
    <x v="11"/>
    <s v="DMI Eclipse Executive Suite Bookcases"/>
    <n v="425.83"/>
    <n v="1"/>
    <x v="2511"/>
    <x v="9"/>
    <x v="1"/>
  </r>
  <r>
    <n v="44866"/>
    <x v="139"/>
    <x v="2"/>
    <x v="2"/>
    <x v="9"/>
    <s v="SanDisk Ultra 32 GB MicroSDHC Class 10 Memory Card"/>
    <n v="35.36"/>
    <n v="2"/>
    <x v="2512"/>
    <x v="10"/>
    <x v="1"/>
  </r>
  <r>
    <n v="44866"/>
    <x v="139"/>
    <x v="2"/>
    <x v="0"/>
    <x v="7"/>
    <s v="Brites Rubber Bands, 1 1/2 oz. Box"/>
    <n v="3.17"/>
    <n v="2"/>
    <x v="2513"/>
    <x v="10"/>
    <x v="1"/>
  </r>
  <r>
    <n v="44866"/>
    <x v="87"/>
    <x v="20"/>
    <x v="2"/>
    <x v="6"/>
    <s v="Cush Cases Heavy Duty Rugged Cover Case for Samsung Galaxy S5 - Purple"/>
    <n v="4.95"/>
    <n v="1"/>
    <x v="2514"/>
    <x v="10"/>
    <x v="1"/>
  </r>
  <r>
    <n v="44866"/>
    <x v="329"/>
    <x v="20"/>
    <x v="0"/>
    <x v="0"/>
    <s v="Avoid Verbal Orders Carbonless Minifold Book"/>
    <n v="13.52"/>
    <n v="4"/>
    <x v="113"/>
    <x v="10"/>
    <x v="1"/>
  </r>
  <r>
    <n v="44866"/>
    <x v="329"/>
    <x v="20"/>
    <x v="1"/>
    <x v="8"/>
    <s v="Howard Miller 11-1/2&quot; Diameter Ridgewood Wall Clock"/>
    <n v="259.7"/>
    <n v="5"/>
    <x v="2515"/>
    <x v="10"/>
    <x v="1"/>
  </r>
  <r>
    <n v="44866"/>
    <x v="329"/>
    <x v="20"/>
    <x v="2"/>
    <x v="6"/>
    <s v="Plantronics MX500i Earset"/>
    <n v="42.95"/>
    <n v="1"/>
    <x v="2516"/>
    <x v="10"/>
    <x v="1"/>
  </r>
  <r>
    <n v="44866"/>
    <x v="329"/>
    <x v="20"/>
    <x v="2"/>
    <x v="9"/>
    <s v="Razer Tiamat Over Ear 7.1 Surround Sound PC Gaming Headset"/>
    <n v="1399.93"/>
    <n v="7"/>
    <x v="2517"/>
    <x v="10"/>
    <x v="1"/>
  </r>
  <r>
    <n v="44866"/>
    <x v="329"/>
    <x v="20"/>
    <x v="2"/>
    <x v="6"/>
    <s v="Xblue XB-1670-86 X16 SmallÂ Office TelephoneÂ - Titanium"/>
    <n v="503.96"/>
    <n v="4"/>
    <x v="2518"/>
    <x v="10"/>
    <x v="1"/>
  </r>
  <r>
    <n v="44866"/>
    <x v="41"/>
    <x v="11"/>
    <x v="0"/>
    <x v="4"/>
    <s v="Lumber Crayons"/>
    <n v="7.88"/>
    <n v="1"/>
    <x v="2519"/>
    <x v="10"/>
    <x v="1"/>
  </r>
  <r>
    <n v="44866"/>
    <x v="493"/>
    <x v="13"/>
    <x v="1"/>
    <x v="13"/>
    <s v="Iceberg OfficeWorks 42&quot; Round Tables"/>
    <n v="301.95999999999998"/>
    <n v="2"/>
    <x v="1044"/>
    <x v="10"/>
    <x v="1"/>
  </r>
  <r>
    <n v="44866"/>
    <x v="645"/>
    <x v="20"/>
    <x v="1"/>
    <x v="5"/>
    <s v="Global Highback Leather Tilter in Burgundy"/>
    <n v="327.56"/>
    <n v="4"/>
    <x v="151"/>
    <x v="10"/>
    <x v="1"/>
  </r>
  <r>
    <n v="44866"/>
    <x v="467"/>
    <x v="20"/>
    <x v="1"/>
    <x v="5"/>
    <s v="Hon Comfortask Task/Swivel Chairs"/>
    <n v="205.16"/>
    <n v="2"/>
    <x v="2520"/>
    <x v="10"/>
    <x v="1"/>
  </r>
  <r>
    <n v="44867"/>
    <x v="117"/>
    <x v="3"/>
    <x v="1"/>
    <x v="13"/>
    <s v="Bevis Round Bullnose 29&quot; High Table Top"/>
    <n v="1038.8399999999999"/>
    <n v="5"/>
    <x v="2521"/>
    <x v="10"/>
    <x v="1"/>
  </r>
  <r>
    <n v="44867"/>
    <x v="708"/>
    <x v="22"/>
    <x v="2"/>
    <x v="9"/>
    <s v="Logitech K350 2.4Ghz Wireless Keyboard"/>
    <n v="447.93"/>
    <n v="9"/>
    <x v="2522"/>
    <x v="10"/>
    <x v="1"/>
  </r>
  <r>
    <n v="44867"/>
    <x v="308"/>
    <x v="20"/>
    <x v="1"/>
    <x v="5"/>
    <s v="Global Armless Task Chair, Royal Blue"/>
    <n v="109.76"/>
    <n v="2"/>
    <x v="2523"/>
    <x v="10"/>
    <x v="1"/>
  </r>
  <r>
    <n v="44867"/>
    <x v="235"/>
    <x v="3"/>
    <x v="1"/>
    <x v="8"/>
    <s v="Contemporary Wood/Metal Frame"/>
    <n v="96.96"/>
    <n v="6"/>
    <x v="2524"/>
    <x v="10"/>
    <x v="1"/>
  </r>
  <r>
    <n v="44867"/>
    <x v="235"/>
    <x v="3"/>
    <x v="0"/>
    <x v="3"/>
    <s v="GBC Premium Transparent Covers with Diagonal Lined Pattern"/>
    <n v="117.49"/>
    <n v="7"/>
    <x v="2525"/>
    <x v="10"/>
    <x v="1"/>
  </r>
  <r>
    <n v="44867"/>
    <x v="235"/>
    <x v="3"/>
    <x v="0"/>
    <x v="3"/>
    <s v="Cardinal Holdit Business Card Pockets"/>
    <n v="11.95"/>
    <n v="3"/>
    <x v="1682"/>
    <x v="10"/>
    <x v="1"/>
  </r>
  <r>
    <n v="44867"/>
    <x v="235"/>
    <x v="3"/>
    <x v="1"/>
    <x v="11"/>
    <s v="O'Sullivan Living Dimensions 3-Shelf Bookcases"/>
    <n v="512.5"/>
    <n v="3"/>
    <x v="2526"/>
    <x v="10"/>
    <x v="1"/>
  </r>
  <r>
    <n v="44867"/>
    <x v="341"/>
    <x v="20"/>
    <x v="1"/>
    <x v="5"/>
    <s v="Hon Olson Stacker Chairs"/>
    <n v="2621.3200000000002"/>
    <n v="11"/>
    <x v="2527"/>
    <x v="10"/>
    <x v="1"/>
  </r>
  <r>
    <n v="44867"/>
    <x v="323"/>
    <x v="0"/>
    <x v="0"/>
    <x v="3"/>
    <s v="GBC Premium Transparent Covers with Diagonal Lined Pattern"/>
    <n v="29.37"/>
    <n v="7"/>
    <x v="2528"/>
    <x v="10"/>
    <x v="1"/>
  </r>
  <r>
    <n v="44867"/>
    <x v="323"/>
    <x v="0"/>
    <x v="2"/>
    <x v="6"/>
    <s v="Aastra 6757i CT Wireless VoIP phone"/>
    <n v="344.7"/>
    <n v="2"/>
    <x v="2529"/>
    <x v="10"/>
    <x v="1"/>
  </r>
  <r>
    <n v="44867"/>
    <x v="709"/>
    <x v="6"/>
    <x v="0"/>
    <x v="12"/>
    <s v="Eureka Hand Vacuum, Bagless"/>
    <n v="197.72"/>
    <n v="4"/>
    <x v="2530"/>
    <x v="10"/>
    <x v="1"/>
  </r>
  <r>
    <n v="44868"/>
    <x v="619"/>
    <x v="3"/>
    <x v="2"/>
    <x v="6"/>
    <s v="Cisco IP Phone 7961G-GE VoIP phone"/>
    <n v="1212.8499999999999"/>
    <n v="7"/>
    <x v="2531"/>
    <x v="10"/>
    <x v="1"/>
  </r>
  <r>
    <n v="44868"/>
    <x v="619"/>
    <x v="3"/>
    <x v="2"/>
    <x v="9"/>
    <s v="Logitech Trackman Marble Mouse"/>
    <n v="89.97"/>
    <n v="3"/>
    <x v="2040"/>
    <x v="10"/>
    <x v="1"/>
  </r>
  <r>
    <n v="44868"/>
    <x v="619"/>
    <x v="3"/>
    <x v="1"/>
    <x v="8"/>
    <s v="Coloredge Poster Frame"/>
    <n v="42.6"/>
    <n v="3"/>
    <x v="2032"/>
    <x v="10"/>
    <x v="1"/>
  </r>
  <r>
    <n v="44868"/>
    <x v="10"/>
    <x v="0"/>
    <x v="0"/>
    <x v="10"/>
    <s v="#10 Gummed Flap White Envelopes, 100/Box"/>
    <n v="6.61"/>
    <n v="2"/>
    <x v="2147"/>
    <x v="10"/>
    <x v="1"/>
  </r>
  <r>
    <n v="44868"/>
    <x v="470"/>
    <x v="20"/>
    <x v="1"/>
    <x v="5"/>
    <s v="Office Star - Mid Back Dual function Ergonomic High Back Chair with 2-Way Adjustable Arms"/>
    <n v="1448.82"/>
    <n v="10"/>
    <x v="2532"/>
    <x v="10"/>
    <x v="1"/>
  </r>
  <r>
    <n v="44870"/>
    <x v="169"/>
    <x v="25"/>
    <x v="1"/>
    <x v="5"/>
    <s v="Harbour Creations Steel Folding Chair"/>
    <n v="207"/>
    <n v="3"/>
    <x v="2533"/>
    <x v="10"/>
    <x v="1"/>
  </r>
  <r>
    <n v="44870"/>
    <x v="329"/>
    <x v="16"/>
    <x v="0"/>
    <x v="12"/>
    <s v="Belkin 325VA UPS Surge Protector, 6'"/>
    <n v="387.14"/>
    <n v="4"/>
    <x v="2534"/>
    <x v="10"/>
    <x v="1"/>
  </r>
  <r>
    <n v="44870"/>
    <x v="241"/>
    <x v="20"/>
    <x v="0"/>
    <x v="3"/>
    <s v="Wilson Jones 1&quot; Hanging DublLock Ring Binders"/>
    <n v="25.34"/>
    <n v="6"/>
    <x v="1877"/>
    <x v="10"/>
    <x v="1"/>
  </r>
  <r>
    <n v="44870"/>
    <x v="534"/>
    <x v="1"/>
    <x v="0"/>
    <x v="1"/>
    <s v="Avery 476"/>
    <n v="19.82"/>
    <n v="6"/>
    <x v="1802"/>
    <x v="10"/>
    <x v="1"/>
  </r>
  <r>
    <n v="44870"/>
    <x v="176"/>
    <x v="3"/>
    <x v="0"/>
    <x v="2"/>
    <s v="Hanging Personal Folder File"/>
    <n v="62.8"/>
    <n v="4"/>
    <x v="2242"/>
    <x v="10"/>
    <x v="1"/>
  </r>
  <r>
    <n v="44870"/>
    <x v="318"/>
    <x v="22"/>
    <x v="0"/>
    <x v="3"/>
    <s v="Avery Trapezoid Ring Binder, 3&quot; Capacity, Black, 1040 sheets"/>
    <n v="98.35"/>
    <n v="3"/>
    <x v="2535"/>
    <x v="10"/>
    <x v="1"/>
  </r>
  <r>
    <n v="44870"/>
    <x v="710"/>
    <x v="10"/>
    <x v="0"/>
    <x v="3"/>
    <s v="Insertable Tab Post Binder Dividers"/>
    <n v="7.22"/>
    <n v="3"/>
    <x v="176"/>
    <x v="10"/>
    <x v="1"/>
  </r>
  <r>
    <n v="44870"/>
    <x v="710"/>
    <x v="10"/>
    <x v="0"/>
    <x v="14"/>
    <s v="Acme Titanium Bonded Scissors"/>
    <n v="27.2"/>
    <n v="4"/>
    <x v="2118"/>
    <x v="10"/>
    <x v="1"/>
  </r>
  <r>
    <n v="44871"/>
    <x v="711"/>
    <x v="12"/>
    <x v="0"/>
    <x v="10"/>
    <s v="Redi-Strip #10 Envelopes, 4 1/8 x 9 1/2"/>
    <n v="7.08"/>
    <n v="3"/>
    <x v="840"/>
    <x v="10"/>
    <x v="1"/>
  </r>
  <r>
    <n v="44871"/>
    <x v="711"/>
    <x v="12"/>
    <x v="0"/>
    <x v="3"/>
    <s v="UniKeep View Case Binders"/>
    <n v="4.4000000000000004"/>
    <n v="3"/>
    <x v="2536"/>
    <x v="10"/>
    <x v="1"/>
  </r>
  <r>
    <n v="44872"/>
    <x v="119"/>
    <x v="3"/>
    <x v="1"/>
    <x v="5"/>
    <s v="Safco Contoured Stacking Chairs"/>
    <n v="190.72"/>
    <n v="1"/>
    <x v="2537"/>
    <x v="10"/>
    <x v="1"/>
  </r>
  <r>
    <n v="44872"/>
    <x v="411"/>
    <x v="7"/>
    <x v="0"/>
    <x v="7"/>
    <s v="Rubber Band Ball"/>
    <n v="26.18"/>
    <n v="7"/>
    <x v="1763"/>
    <x v="10"/>
    <x v="1"/>
  </r>
  <r>
    <n v="44872"/>
    <x v="411"/>
    <x v="7"/>
    <x v="0"/>
    <x v="0"/>
    <s v="Loose Memo Sheets"/>
    <n v="7.3"/>
    <n v="2"/>
    <x v="2119"/>
    <x v="10"/>
    <x v="1"/>
  </r>
  <r>
    <n v="44872"/>
    <x v="119"/>
    <x v="2"/>
    <x v="0"/>
    <x v="10"/>
    <s v="White Envelopes, White Envelopes with Clear Poly Window"/>
    <n v="24.4"/>
    <n v="2"/>
    <x v="2538"/>
    <x v="10"/>
    <x v="1"/>
  </r>
  <r>
    <n v="44872"/>
    <x v="149"/>
    <x v="45"/>
    <x v="1"/>
    <x v="5"/>
    <s v="Safco Contoured Stacking Chairs"/>
    <n v="715.2"/>
    <n v="3"/>
    <x v="2539"/>
    <x v="10"/>
    <x v="1"/>
  </r>
  <r>
    <n v="44872"/>
    <x v="85"/>
    <x v="16"/>
    <x v="0"/>
    <x v="3"/>
    <s v="Avery Hanging File Binders"/>
    <n v="16.149999999999999"/>
    <n v="9"/>
    <x v="2540"/>
    <x v="10"/>
    <x v="1"/>
  </r>
  <r>
    <n v="44872"/>
    <x v="85"/>
    <x v="16"/>
    <x v="0"/>
    <x v="3"/>
    <s v="GBC DocuBind TL300 Electric Binding System"/>
    <n v="1345.49"/>
    <n v="5"/>
    <x v="2541"/>
    <x v="10"/>
    <x v="1"/>
  </r>
  <r>
    <n v="44872"/>
    <x v="712"/>
    <x v="0"/>
    <x v="0"/>
    <x v="0"/>
    <s v="Xerox 1886"/>
    <n v="76.64"/>
    <n v="2"/>
    <x v="2542"/>
    <x v="10"/>
    <x v="1"/>
  </r>
  <r>
    <n v="44872"/>
    <x v="579"/>
    <x v="0"/>
    <x v="0"/>
    <x v="4"/>
    <s v="Lumber Crayons"/>
    <n v="23.64"/>
    <n v="3"/>
    <x v="1299"/>
    <x v="10"/>
    <x v="1"/>
  </r>
  <r>
    <n v="44872"/>
    <x v="579"/>
    <x v="0"/>
    <x v="0"/>
    <x v="2"/>
    <s v="Gould Plastics 9-Pocket Panel Bin, 18-3/8w x 5-1/4d x 20-1/2h, Black"/>
    <n v="84.78"/>
    <n v="2"/>
    <x v="2543"/>
    <x v="10"/>
    <x v="1"/>
  </r>
  <r>
    <n v="44872"/>
    <x v="579"/>
    <x v="0"/>
    <x v="1"/>
    <x v="8"/>
    <s v="Tenex Chairmats For Use with Hard Floors"/>
    <n v="64.959999999999994"/>
    <n v="5"/>
    <x v="2544"/>
    <x v="10"/>
    <x v="1"/>
  </r>
  <r>
    <n v="44872"/>
    <x v="579"/>
    <x v="0"/>
    <x v="0"/>
    <x v="3"/>
    <s v="Avery Recycled Flexi-View Covers for Binding Systems"/>
    <n v="32.06"/>
    <n v="10"/>
    <x v="2545"/>
    <x v="10"/>
    <x v="1"/>
  </r>
  <r>
    <n v="44872"/>
    <x v="579"/>
    <x v="0"/>
    <x v="0"/>
    <x v="2"/>
    <s v="Fellowes Recycled Storage Drawers"/>
    <n v="177.65"/>
    <n v="2"/>
    <x v="2546"/>
    <x v="10"/>
    <x v="1"/>
  </r>
  <r>
    <n v="44872"/>
    <x v="579"/>
    <x v="0"/>
    <x v="2"/>
    <x v="15"/>
    <s v="Canon PC170 Desktop Personal Copier"/>
    <n v="287.91000000000003"/>
    <n v="3"/>
    <x v="2547"/>
    <x v="10"/>
    <x v="1"/>
  </r>
  <r>
    <n v="44873"/>
    <x v="276"/>
    <x v="32"/>
    <x v="0"/>
    <x v="4"/>
    <s v="American Pencil"/>
    <n v="11.65"/>
    <n v="5"/>
    <x v="432"/>
    <x v="10"/>
    <x v="1"/>
  </r>
  <r>
    <n v="44873"/>
    <x v="713"/>
    <x v="3"/>
    <x v="0"/>
    <x v="7"/>
    <s v="Advantus Plastic Paper Clips"/>
    <n v="5"/>
    <n v="1"/>
    <x v="426"/>
    <x v="10"/>
    <x v="1"/>
  </r>
  <r>
    <n v="44873"/>
    <x v="713"/>
    <x v="3"/>
    <x v="2"/>
    <x v="9"/>
    <s v="Logitech G19 Programmable Gaming Keyboard"/>
    <n v="371.97"/>
    <n v="3"/>
    <x v="2548"/>
    <x v="10"/>
    <x v="1"/>
  </r>
  <r>
    <n v="44873"/>
    <x v="42"/>
    <x v="27"/>
    <x v="0"/>
    <x v="7"/>
    <s v="Alliance Rubber Bands"/>
    <n v="5.04"/>
    <n v="3"/>
    <x v="1546"/>
    <x v="10"/>
    <x v="1"/>
  </r>
  <r>
    <n v="44873"/>
    <x v="42"/>
    <x v="27"/>
    <x v="0"/>
    <x v="0"/>
    <s v="Xerox 1988"/>
    <n v="92.94"/>
    <n v="3"/>
    <x v="794"/>
    <x v="10"/>
    <x v="1"/>
  </r>
  <r>
    <n v="44873"/>
    <x v="42"/>
    <x v="27"/>
    <x v="1"/>
    <x v="8"/>
    <s v="Executive Impressions 14&quot; Contract Wall Clock"/>
    <n v="66.69"/>
    <n v="3"/>
    <x v="2549"/>
    <x v="10"/>
    <x v="1"/>
  </r>
  <r>
    <n v="44873"/>
    <x v="42"/>
    <x v="27"/>
    <x v="0"/>
    <x v="3"/>
    <s v="Deluxe Heavy-Duty Vinyl Round Ring Binder"/>
    <n v="91.68"/>
    <n v="5"/>
    <x v="2550"/>
    <x v="10"/>
    <x v="1"/>
  </r>
  <r>
    <n v="44873"/>
    <x v="482"/>
    <x v="20"/>
    <x v="0"/>
    <x v="3"/>
    <s v="Storex Dura Pro Binders"/>
    <n v="52.27"/>
    <n v="11"/>
    <x v="2551"/>
    <x v="10"/>
    <x v="1"/>
  </r>
  <r>
    <n v="44873"/>
    <x v="482"/>
    <x v="20"/>
    <x v="0"/>
    <x v="0"/>
    <s v="Great White Multi-Use Recycled Paper (20Lb. and 84 Bright)"/>
    <n v="17.940000000000001"/>
    <n v="3"/>
    <x v="858"/>
    <x v="10"/>
    <x v="1"/>
  </r>
  <r>
    <n v="44873"/>
    <x v="257"/>
    <x v="0"/>
    <x v="0"/>
    <x v="3"/>
    <s v="Wilson Jones Leather-Like Binders with DublLock Round Rings"/>
    <n v="10.48"/>
    <n v="6"/>
    <x v="2552"/>
    <x v="10"/>
    <x v="1"/>
  </r>
  <r>
    <n v="44873"/>
    <x v="661"/>
    <x v="3"/>
    <x v="2"/>
    <x v="9"/>
    <s v="Microsoft Arc Touch Mouse"/>
    <n v="119.9"/>
    <n v="2"/>
    <x v="2553"/>
    <x v="10"/>
    <x v="1"/>
  </r>
  <r>
    <n v="44873"/>
    <x v="663"/>
    <x v="6"/>
    <x v="0"/>
    <x v="12"/>
    <s v="Holmes Replacement Filter for HEPA Air Cleaner, Large Room"/>
    <n v="44.43"/>
    <n v="3"/>
    <x v="2107"/>
    <x v="10"/>
    <x v="1"/>
  </r>
  <r>
    <n v="44873"/>
    <x v="663"/>
    <x v="6"/>
    <x v="2"/>
    <x v="6"/>
    <s v="AT&amp;T 17929 Lendline Telephone"/>
    <n v="226.2"/>
    <n v="5"/>
    <x v="2554"/>
    <x v="10"/>
    <x v="1"/>
  </r>
  <r>
    <n v="44873"/>
    <x v="663"/>
    <x v="6"/>
    <x v="1"/>
    <x v="8"/>
    <s v="Deflect-o Glass Clear Studded Chair Mats"/>
    <n v="186.54"/>
    <n v="3"/>
    <x v="2555"/>
    <x v="10"/>
    <x v="1"/>
  </r>
  <r>
    <n v="44873"/>
    <x v="663"/>
    <x v="6"/>
    <x v="0"/>
    <x v="4"/>
    <s v="Hunt PowerHouse Electric Pencil Sharpener, Blue"/>
    <n v="265.86"/>
    <n v="7"/>
    <x v="2284"/>
    <x v="10"/>
    <x v="1"/>
  </r>
  <r>
    <n v="44873"/>
    <x v="663"/>
    <x v="6"/>
    <x v="0"/>
    <x v="4"/>
    <s v="Newell 314"/>
    <n v="27.9"/>
    <n v="5"/>
    <x v="2556"/>
    <x v="10"/>
    <x v="1"/>
  </r>
  <r>
    <n v="44873"/>
    <x v="122"/>
    <x v="30"/>
    <x v="2"/>
    <x v="6"/>
    <s v="Cisco SPA508G"/>
    <n v="263.95999999999998"/>
    <n v="4"/>
    <x v="2557"/>
    <x v="10"/>
    <x v="1"/>
  </r>
  <r>
    <n v="44873"/>
    <x v="435"/>
    <x v="20"/>
    <x v="0"/>
    <x v="2"/>
    <s v="Fellowes Desktop Hanging File Manager"/>
    <n v="67.150000000000006"/>
    <n v="5"/>
    <x v="1051"/>
    <x v="10"/>
    <x v="1"/>
  </r>
  <r>
    <n v="44873"/>
    <x v="435"/>
    <x v="20"/>
    <x v="2"/>
    <x v="6"/>
    <s v="Mitel MiVoice 5330e IP Phone"/>
    <n v="549.98"/>
    <n v="2"/>
    <x v="2558"/>
    <x v="10"/>
    <x v="1"/>
  </r>
  <r>
    <n v="44873"/>
    <x v="435"/>
    <x v="20"/>
    <x v="1"/>
    <x v="8"/>
    <s v="Nu-Dell EZ-Mount Plastic Wall Frames"/>
    <n v="11.82"/>
    <n v="3"/>
    <x v="2559"/>
    <x v="10"/>
    <x v="1"/>
  </r>
  <r>
    <n v="44873"/>
    <x v="435"/>
    <x v="20"/>
    <x v="2"/>
    <x v="15"/>
    <s v="Zebra ZM400 Thermal Label Printer"/>
    <n v="4643.8"/>
    <n v="4"/>
    <x v="2560"/>
    <x v="10"/>
    <x v="1"/>
  </r>
  <r>
    <n v="44873"/>
    <x v="435"/>
    <x v="20"/>
    <x v="1"/>
    <x v="5"/>
    <s v="Hon 4070 Series Pagoda Round Back Stacking Chairs"/>
    <n v="577.76"/>
    <n v="2"/>
    <x v="2561"/>
    <x v="10"/>
    <x v="1"/>
  </r>
  <r>
    <n v="44873"/>
    <x v="270"/>
    <x v="25"/>
    <x v="0"/>
    <x v="7"/>
    <s v="OIC Binder Clips"/>
    <n v="31.5"/>
    <n v="11"/>
    <x v="2562"/>
    <x v="10"/>
    <x v="1"/>
  </r>
  <r>
    <n v="44873"/>
    <x v="270"/>
    <x v="25"/>
    <x v="0"/>
    <x v="1"/>
    <s v="Permanent Self-Adhesive File Folder Labels for Typewriters, 1 1/8 x 3 1/2, White"/>
    <n v="5.04"/>
    <n v="1"/>
    <x v="606"/>
    <x v="10"/>
    <x v="1"/>
  </r>
  <r>
    <n v="44873"/>
    <x v="270"/>
    <x v="25"/>
    <x v="0"/>
    <x v="3"/>
    <s v="Poly Designer Cover &amp; Back"/>
    <n v="39.880000000000003"/>
    <n v="7"/>
    <x v="2563"/>
    <x v="10"/>
    <x v="1"/>
  </r>
  <r>
    <n v="44873"/>
    <x v="270"/>
    <x v="25"/>
    <x v="1"/>
    <x v="8"/>
    <s v="Eldon Wave Desk Accessories"/>
    <n v="4.71"/>
    <n v="1"/>
    <x v="631"/>
    <x v="10"/>
    <x v="1"/>
  </r>
  <r>
    <n v="44873"/>
    <x v="87"/>
    <x v="45"/>
    <x v="1"/>
    <x v="11"/>
    <s v="Riverside Palais Royal Lawyers Bookcase, Royale Cherry Finish"/>
    <n v="4404.8999999999996"/>
    <n v="5"/>
    <x v="2564"/>
    <x v="10"/>
    <x v="1"/>
  </r>
  <r>
    <n v="44874"/>
    <x v="693"/>
    <x v="2"/>
    <x v="0"/>
    <x v="0"/>
    <s v="While You Were Out Pads, 50 per Pad, 4 x 5 1/4, Green Cycle"/>
    <n v="11.35"/>
    <n v="3"/>
    <x v="1012"/>
    <x v="10"/>
    <x v="1"/>
  </r>
  <r>
    <n v="44874"/>
    <x v="423"/>
    <x v="24"/>
    <x v="0"/>
    <x v="3"/>
    <s v="Binder Posts"/>
    <n v="17.22"/>
    <n v="3"/>
    <x v="1271"/>
    <x v="10"/>
    <x v="1"/>
  </r>
  <r>
    <n v="44874"/>
    <x v="423"/>
    <x v="24"/>
    <x v="1"/>
    <x v="13"/>
    <s v="Bevis Round Conference Table Top &amp; Single Column Base"/>
    <n v="1024.3800000000001"/>
    <n v="7"/>
    <x v="2565"/>
    <x v="10"/>
    <x v="1"/>
  </r>
  <r>
    <n v="44874"/>
    <x v="423"/>
    <x v="24"/>
    <x v="0"/>
    <x v="10"/>
    <s v="#10- 4 1/8&quot; x 9 1/2&quot; Recycled Envelopes"/>
    <n v="26.22"/>
    <n v="3"/>
    <x v="2566"/>
    <x v="10"/>
    <x v="1"/>
  </r>
  <r>
    <n v="44874"/>
    <x v="423"/>
    <x v="24"/>
    <x v="0"/>
    <x v="0"/>
    <s v="Xerox 1978"/>
    <n v="17.34"/>
    <n v="3"/>
    <x v="838"/>
    <x v="10"/>
    <x v="1"/>
  </r>
  <r>
    <n v="44874"/>
    <x v="222"/>
    <x v="20"/>
    <x v="2"/>
    <x v="15"/>
    <s v="Zebra ZM400 Thermal Label Printer"/>
    <n v="2321.9"/>
    <n v="2"/>
    <x v="2567"/>
    <x v="10"/>
    <x v="1"/>
  </r>
  <r>
    <n v="44874"/>
    <x v="222"/>
    <x v="20"/>
    <x v="0"/>
    <x v="2"/>
    <s v="Perma STOR-ALL Hanging File Box, 13 1/8&quot;W x 12 1/4&quot;D x 10 1/2&quot;H"/>
    <n v="17.940000000000001"/>
    <n v="3"/>
    <x v="1810"/>
    <x v="10"/>
    <x v="1"/>
  </r>
  <r>
    <n v="44874"/>
    <x v="265"/>
    <x v="20"/>
    <x v="0"/>
    <x v="2"/>
    <s v="Tennsco Industrial Shelving"/>
    <n v="244.55"/>
    <n v="5"/>
    <x v="1077"/>
    <x v="10"/>
    <x v="1"/>
  </r>
  <r>
    <n v="44874"/>
    <x v="265"/>
    <x v="20"/>
    <x v="0"/>
    <x v="10"/>
    <s v="Poly String Tie Envelopes"/>
    <n v="12.24"/>
    <n v="6"/>
    <x v="2568"/>
    <x v="10"/>
    <x v="1"/>
  </r>
  <r>
    <n v="44874"/>
    <x v="265"/>
    <x v="20"/>
    <x v="2"/>
    <x v="9"/>
    <s v="AmazonBasics 3-Button USB Wired Mouse"/>
    <n v="13.98"/>
    <n v="2"/>
    <x v="1813"/>
    <x v="10"/>
    <x v="1"/>
  </r>
  <r>
    <n v="44874"/>
    <x v="265"/>
    <x v="20"/>
    <x v="2"/>
    <x v="9"/>
    <s v="LogitechÂ VX Revolution Cordless Laser Mouse for Notebooks (Black)"/>
    <n v="899.95"/>
    <n v="5"/>
    <x v="2569"/>
    <x v="10"/>
    <x v="1"/>
  </r>
  <r>
    <n v="44874"/>
    <x v="618"/>
    <x v="3"/>
    <x v="0"/>
    <x v="7"/>
    <s v="OIC Binder Clips, Mini, 1/4&quot; Capacity, Black"/>
    <n v="2.48"/>
    <n v="2"/>
    <x v="16"/>
    <x v="10"/>
    <x v="1"/>
  </r>
  <r>
    <n v="44874"/>
    <x v="408"/>
    <x v="18"/>
    <x v="0"/>
    <x v="3"/>
    <s v="Avery Poly Binder Pockets"/>
    <n v="10.74"/>
    <n v="3"/>
    <x v="2379"/>
    <x v="10"/>
    <x v="1"/>
  </r>
  <r>
    <n v="44875"/>
    <x v="545"/>
    <x v="3"/>
    <x v="2"/>
    <x v="9"/>
    <s v="Microsoft Sculpt Comfort Mouse"/>
    <n v="79.900000000000006"/>
    <n v="2"/>
    <x v="2570"/>
    <x v="10"/>
    <x v="1"/>
  </r>
  <r>
    <n v="44875"/>
    <x v="571"/>
    <x v="18"/>
    <x v="0"/>
    <x v="2"/>
    <s v="Letter Size Cart"/>
    <n v="714.3"/>
    <n v="5"/>
    <x v="2571"/>
    <x v="10"/>
    <x v="1"/>
  </r>
  <r>
    <n v="44875"/>
    <x v="675"/>
    <x v="28"/>
    <x v="0"/>
    <x v="12"/>
    <s v="Hoover Shoulder Vac Commercial Portable Vacuum"/>
    <n v="715.64"/>
    <n v="2"/>
    <x v="2572"/>
    <x v="10"/>
    <x v="1"/>
  </r>
  <r>
    <n v="44875"/>
    <x v="675"/>
    <x v="28"/>
    <x v="0"/>
    <x v="2"/>
    <s v="Tennsco 6- and 18-Compartment Lockers"/>
    <n v="795.51"/>
    <n v="3"/>
    <x v="2573"/>
    <x v="10"/>
    <x v="1"/>
  </r>
  <r>
    <n v="44875"/>
    <x v="675"/>
    <x v="28"/>
    <x v="2"/>
    <x v="16"/>
    <s v="Sharp 1540cs Digital Laser Copier"/>
    <n v="549.99"/>
    <n v="1"/>
    <x v="764"/>
    <x v="10"/>
    <x v="1"/>
  </r>
  <r>
    <n v="44875"/>
    <x v="675"/>
    <x v="28"/>
    <x v="0"/>
    <x v="3"/>
    <s v="GBC Standard Therm-A-Bind Covers"/>
    <n v="74.760000000000005"/>
    <n v="3"/>
    <x v="2574"/>
    <x v="10"/>
    <x v="1"/>
  </r>
  <r>
    <n v="44875"/>
    <x v="675"/>
    <x v="28"/>
    <x v="1"/>
    <x v="8"/>
    <s v="Staple-based wall hangings"/>
    <n v="29.22"/>
    <n v="3"/>
    <x v="899"/>
    <x v="10"/>
    <x v="1"/>
  </r>
  <r>
    <n v="44875"/>
    <x v="66"/>
    <x v="2"/>
    <x v="0"/>
    <x v="2"/>
    <s v="Iceberg Mobile Mega Data/Printer Cart"/>
    <n v="577.58000000000004"/>
    <n v="6"/>
    <x v="2575"/>
    <x v="10"/>
    <x v="1"/>
  </r>
  <r>
    <n v="44876"/>
    <x v="597"/>
    <x v="14"/>
    <x v="0"/>
    <x v="2"/>
    <s v="Advantus 10-Drawer Portable Organizer, Chrome Metal Frame, Smoke Drawers"/>
    <n v="418.32"/>
    <n v="7"/>
    <x v="2576"/>
    <x v="10"/>
    <x v="1"/>
  </r>
  <r>
    <n v="44876"/>
    <x v="597"/>
    <x v="14"/>
    <x v="0"/>
    <x v="12"/>
    <s v="Holmes Replacement Filter for HEPA Air Cleaner, Very Large Room, HEPA Filter"/>
    <n v="123.86"/>
    <n v="2"/>
    <x v="2577"/>
    <x v="10"/>
    <x v="1"/>
  </r>
  <r>
    <n v="44877"/>
    <x v="515"/>
    <x v="3"/>
    <x v="0"/>
    <x v="0"/>
    <s v="Adams &quot;While You Were Out&quot; Message Pads"/>
    <n v="15.7"/>
    <n v="5"/>
    <x v="2578"/>
    <x v="10"/>
    <x v="1"/>
  </r>
  <r>
    <n v="44877"/>
    <x v="123"/>
    <x v="16"/>
    <x v="0"/>
    <x v="4"/>
    <s v="Newell 317"/>
    <n v="11.76"/>
    <n v="5"/>
    <x v="1394"/>
    <x v="10"/>
    <x v="1"/>
  </r>
  <r>
    <n v="44877"/>
    <x v="123"/>
    <x v="16"/>
    <x v="0"/>
    <x v="3"/>
    <s v="Wilson Jones Leather-Like Binders with DublLock Round Rings"/>
    <n v="5.24"/>
    <n v="2"/>
    <x v="1499"/>
    <x v="10"/>
    <x v="1"/>
  </r>
  <r>
    <n v="44877"/>
    <x v="123"/>
    <x v="16"/>
    <x v="0"/>
    <x v="3"/>
    <s v="SlimView Poly Binder, 3/8&quot;"/>
    <n v="4.66"/>
    <n v="3"/>
    <x v="2579"/>
    <x v="10"/>
    <x v="1"/>
  </r>
  <r>
    <n v="44877"/>
    <x v="123"/>
    <x v="16"/>
    <x v="1"/>
    <x v="5"/>
    <s v="Office Star - Contemporary Task Swivel chair with Loop Arms, Charcoal"/>
    <n v="523.91999999999996"/>
    <n v="5"/>
    <x v="2580"/>
    <x v="10"/>
    <x v="1"/>
  </r>
  <r>
    <n v="44877"/>
    <x v="123"/>
    <x v="16"/>
    <x v="2"/>
    <x v="6"/>
    <s v="VTech DS6151"/>
    <n v="100.79"/>
    <n v="1"/>
    <x v="1026"/>
    <x v="10"/>
    <x v="1"/>
  </r>
  <r>
    <n v="44877"/>
    <x v="123"/>
    <x v="16"/>
    <x v="1"/>
    <x v="5"/>
    <s v="Global Push Button Manager's Chair, Indigo"/>
    <n v="146.13999999999999"/>
    <n v="3"/>
    <x v="2581"/>
    <x v="10"/>
    <x v="1"/>
  </r>
  <r>
    <n v="44877"/>
    <x v="407"/>
    <x v="0"/>
    <x v="0"/>
    <x v="2"/>
    <s v="Carina 42&quot;Hx23 3/4&quot;W Media Storage Unit"/>
    <n v="64.78"/>
    <n v="1"/>
    <x v="869"/>
    <x v="10"/>
    <x v="1"/>
  </r>
  <r>
    <n v="44877"/>
    <x v="407"/>
    <x v="0"/>
    <x v="0"/>
    <x v="0"/>
    <s v="Xerox 1957"/>
    <n v="15.55"/>
    <n v="3"/>
    <x v="1291"/>
    <x v="10"/>
    <x v="1"/>
  </r>
  <r>
    <n v="44877"/>
    <x v="407"/>
    <x v="0"/>
    <x v="0"/>
    <x v="10"/>
    <s v="Blue String-Tie &amp; Button Interoffice Envelopes, 10 x 13"/>
    <n v="223.89"/>
    <n v="7"/>
    <x v="2582"/>
    <x v="10"/>
    <x v="1"/>
  </r>
  <r>
    <n v="44877"/>
    <x v="632"/>
    <x v="20"/>
    <x v="0"/>
    <x v="10"/>
    <s v="Staple envelope"/>
    <n v="15.56"/>
    <n v="2"/>
    <x v="1007"/>
    <x v="10"/>
    <x v="1"/>
  </r>
  <r>
    <n v="44878"/>
    <x v="641"/>
    <x v="26"/>
    <x v="2"/>
    <x v="9"/>
    <s v="Logitech K350 2.4Ghz Wireless Keyboard"/>
    <n v="238.9"/>
    <n v="6"/>
    <x v="2583"/>
    <x v="10"/>
    <x v="1"/>
  </r>
  <r>
    <n v="44878"/>
    <x v="641"/>
    <x v="26"/>
    <x v="1"/>
    <x v="8"/>
    <s v="Deflect-o DuraMat Lighweight, Studded, Beveled Mat for Low Pile Carpeting"/>
    <n v="102.36"/>
    <n v="3"/>
    <x v="2584"/>
    <x v="10"/>
    <x v="1"/>
  </r>
  <r>
    <n v="44878"/>
    <x v="641"/>
    <x v="26"/>
    <x v="0"/>
    <x v="3"/>
    <s v="Avery Trapezoid Ring Binder, 3&quot; Capacity, Black, 1040 sheets"/>
    <n v="36.880000000000003"/>
    <n v="3"/>
    <x v="2585"/>
    <x v="10"/>
    <x v="1"/>
  </r>
  <r>
    <n v="44878"/>
    <x v="519"/>
    <x v="25"/>
    <x v="0"/>
    <x v="0"/>
    <s v="Xerox 1910"/>
    <n v="115.3"/>
    <n v="3"/>
    <x v="2586"/>
    <x v="10"/>
    <x v="1"/>
  </r>
  <r>
    <n v="44878"/>
    <x v="318"/>
    <x v="7"/>
    <x v="2"/>
    <x v="6"/>
    <s v="BlackBerry Q10"/>
    <n v="377.97"/>
    <n v="3"/>
    <x v="2587"/>
    <x v="10"/>
    <x v="1"/>
  </r>
  <r>
    <n v="44878"/>
    <x v="318"/>
    <x v="7"/>
    <x v="0"/>
    <x v="0"/>
    <s v="Adams Telephone Message Books, 5 1/4Â” x 11Â”"/>
    <n v="42.28"/>
    <n v="7"/>
    <x v="1400"/>
    <x v="10"/>
    <x v="1"/>
  </r>
  <r>
    <n v="44878"/>
    <x v="318"/>
    <x v="7"/>
    <x v="1"/>
    <x v="11"/>
    <s v="Bestar Classic Bookcase"/>
    <n v="299.97000000000003"/>
    <n v="3"/>
    <x v="2588"/>
    <x v="10"/>
    <x v="1"/>
  </r>
  <r>
    <n v="44878"/>
    <x v="318"/>
    <x v="7"/>
    <x v="2"/>
    <x v="6"/>
    <s v="Innergie mMini Combo Duo USB Travel Charging Kit"/>
    <n v="89.98"/>
    <n v="2"/>
    <x v="2589"/>
    <x v="10"/>
    <x v="1"/>
  </r>
  <r>
    <n v="44878"/>
    <x v="276"/>
    <x v="1"/>
    <x v="1"/>
    <x v="8"/>
    <s v="Eldon ImÃ ge Series Desk Accessories, Clear"/>
    <n v="17.5"/>
    <n v="9"/>
    <x v="2590"/>
    <x v="10"/>
    <x v="1"/>
  </r>
  <r>
    <n v="44878"/>
    <x v="277"/>
    <x v="18"/>
    <x v="0"/>
    <x v="0"/>
    <s v="Black Print Carbonless Snap-Off Rapid Letter, 8 1/2&quot; x 7&quot;"/>
    <n v="63.77"/>
    <n v="7"/>
    <x v="2591"/>
    <x v="10"/>
    <x v="1"/>
  </r>
  <r>
    <n v="44878"/>
    <x v="277"/>
    <x v="18"/>
    <x v="2"/>
    <x v="6"/>
    <s v="Spigen Samsung Galaxy S5 Case Wallet"/>
    <n v="50.97"/>
    <n v="3"/>
    <x v="2592"/>
    <x v="10"/>
    <x v="1"/>
  </r>
  <r>
    <n v="44878"/>
    <x v="277"/>
    <x v="18"/>
    <x v="0"/>
    <x v="0"/>
    <s v="Xerox 1910"/>
    <n v="96.08"/>
    <n v="2"/>
    <x v="2593"/>
    <x v="10"/>
    <x v="1"/>
  </r>
  <r>
    <n v="44878"/>
    <x v="158"/>
    <x v="15"/>
    <x v="0"/>
    <x v="2"/>
    <s v="Portfile Personal File Boxes"/>
    <n v="84.96"/>
    <n v="6"/>
    <x v="822"/>
    <x v="10"/>
    <x v="1"/>
  </r>
  <r>
    <n v="44878"/>
    <x v="299"/>
    <x v="35"/>
    <x v="2"/>
    <x v="6"/>
    <s v="Panasonic KX TS3282W Corded phone"/>
    <n v="339.96"/>
    <n v="5"/>
    <x v="2594"/>
    <x v="10"/>
    <x v="1"/>
  </r>
  <r>
    <n v="44878"/>
    <x v="299"/>
    <x v="35"/>
    <x v="1"/>
    <x v="8"/>
    <s v="Eldon Stackable Tray, Side-Load, Legal, Smoke"/>
    <n v="63.98"/>
    <n v="7"/>
    <x v="923"/>
    <x v="10"/>
    <x v="1"/>
  </r>
  <r>
    <n v="44878"/>
    <x v="667"/>
    <x v="16"/>
    <x v="0"/>
    <x v="3"/>
    <s v="Catalog Binders with Expanding Posts"/>
    <n v="121.1"/>
    <n v="6"/>
    <x v="2394"/>
    <x v="10"/>
    <x v="1"/>
  </r>
  <r>
    <n v="44878"/>
    <x v="667"/>
    <x v="16"/>
    <x v="2"/>
    <x v="9"/>
    <s v="MaxellÂ LTO Ultrium - 800 GB"/>
    <n v="111.96"/>
    <n v="5"/>
    <x v="1037"/>
    <x v="10"/>
    <x v="1"/>
  </r>
  <r>
    <n v="44878"/>
    <x v="487"/>
    <x v="0"/>
    <x v="1"/>
    <x v="11"/>
    <s v="Atlantic Metals Mobile 5-Shelf Bookcases, Custom Colors"/>
    <n v="614"/>
    <n v="3"/>
    <x v="2595"/>
    <x v="10"/>
    <x v="1"/>
  </r>
  <r>
    <n v="44878"/>
    <x v="348"/>
    <x v="3"/>
    <x v="0"/>
    <x v="3"/>
    <s v="Universal Recycled Hanging Pressboard Report Binders, Letter Size"/>
    <n v="9.8699999999999992"/>
    <n v="2"/>
    <x v="2463"/>
    <x v="10"/>
    <x v="1"/>
  </r>
  <r>
    <n v="44878"/>
    <x v="348"/>
    <x v="3"/>
    <x v="1"/>
    <x v="11"/>
    <s v="O'Sullivan Living Dimensions 3-Shelf Bookcases"/>
    <n v="683.33"/>
    <n v="4"/>
    <x v="2596"/>
    <x v="10"/>
    <x v="1"/>
  </r>
  <r>
    <n v="44878"/>
    <x v="348"/>
    <x v="3"/>
    <x v="0"/>
    <x v="0"/>
    <s v="Xerox 1900"/>
    <n v="29.96"/>
    <n v="7"/>
    <x v="2597"/>
    <x v="10"/>
    <x v="1"/>
  </r>
  <r>
    <n v="44879"/>
    <x v="225"/>
    <x v="20"/>
    <x v="2"/>
    <x v="9"/>
    <s v="ImationÂ Clip USBÂ flash driveÂ - 8 GB"/>
    <n v="37.6"/>
    <n v="2"/>
    <x v="2211"/>
    <x v="10"/>
    <x v="1"/>
  </r>
  <r>
    <n v="44879"/>
    <x v="225"/>
    <x v="20"/>
    <x v="2"/>
    <x v="9"/>
    <s v="ImationÂ 32GB Pocket Pro USB 3.0Â Flash DriveÂ - 32 GB - Black - 1 P ..."/>
    <n v="59.9"/>
    <n v="2"/>
    <x v="2598"/>
    <x v="10"/>
    <x v="1"/>
  </r>
  <r>
    <n v="44879"/>
    <x v="225"/>
    <x v="20"/>
    <x v="0"/>
    <x v="0"/>
    <s v="It's Hot Message Books with Stickers, 2 3/4&quot; x 5&quot;"/>
    <n v="37"/>
    <n v="5"/>
    <x v="2599"/>
    <x v="10"/>
    <x v="1"/>
  </r>
  <r>
    <n v="44879"/>
    <x v="225"/>
    <x v="6"/>
    <x v="0"/>
    <x v="10"/>
    <s v="Brown Kraft Recycled Envelopes"/>
    <n v="33.96"/>
    <n v="2"/>
    <x v="2600"/>
    <x v="10"/>
    <x v="1"/>
  </r>
  <r>
    <n v="44879"/>
    <x v="225"/>
    <x v="6"/>
    <x v="0"/>
    <x v="12"/>
    <s v="Honeywell Enviracaire Portable HEPA Air Cleaner for 16' x 20' Room"/>
    <n v="826.11"/>
    <n v="3"/>
    <x v="2601"/>
    <x v="10"/>
    <x v="1"/>
  </r>
  <r>
    <n v="44879"/>
    <x v="3"/>
    <x v="7"/>
    <x v="1"/>
    <x v="8"/>
    <s v="Executive Impressions 13&quot; Chairman Wall Clock"/>
    <n v="76.14"/>
    <n v="3"/>
    <x v="344"/>
    <x v="10"/>
    <x v="1"/>
  </r>
  <r>
    <n v="44879"/>
    <x v="3"/>
    <x v="7"/>
    <x v="0"/>
    <x v="3"/>
    <s v="Avery Framed View Binder, EZD Ring (Locking), Navy, 1 1/2&quot;"/>
    <n v="19.96"/>
    <n v="2"/>
    <x v="2602"/>
    <x v="10"/>
    <x v="1"/>
  </r>
  <r>
    <n v="44879"/>
    <x v="473"/>
    <x v="2"/>
    <x v="2"/>
    <x v="9"/>
    <s v="Micro Innovations Wireless Classic Keyboard with Mouse"/>
    <n v="47.98"/>
    <n v="2"/>
    <x v="2603"/>
    <x v="10"/>
    <x v="1"/>
  </r>
  <r>
    <n v="44879"/>
    <x v="127"/>
    <x v="11"/>
    <x v="0"/>
    <x v="7"/>
    <s v="Advantus Push Pins"/>
    <n v="8.7200000000000006"/>
    <n v="5"/>
    <x v="156"/>
    <x v="10"/>
    <x v="1"/>
  </r>
  <r>
    <n v="44879"/>
    <x v="127"/>
    <x v="11"/>
    <x v="2"/>
    <x v="9"/>
    <s v="ImationÂ SecureÂ DriveÂ + Hardware Encrypted USBÂ flash driveÂ - 16 GB"/>
    <n v="91.18"/>
    <n v="3"/>
    <x v="801"/>
    <x v="10"/>
    <x v="1"/>
  </r>
  <r>
    <n v="44879"/>
    <x v="127"/>
    <x v="11"/>
    <x v="2"/>
    <x v="9"/>
    <s v="Plantronics Audio 478 Stereo USB Headset"/>
    <n v="159.97"/>
    <n v="4"/>
    <x v="2604"/>
    <x v="10"/>
    <x v="1"/>
  </r>
  <r>
    <n v="44879"/>
    <x v="333"/>
    <x v="31"/>
    <x v="1"/>
    <x v="5"/>
    <s v="SAFCO Arco Folding Chair"/>
    <n v="883.84"/>
    <n v="4"/>
    <x v="2605"/>
    <x v="10"/>
    <x v="1"/>
  </r>
  <r>
    <n v="44879"/>
    <x v="333"/>
    <x v="31"/>
    <x v="1"/>
    <x v="5"/>
    <s v="Global Deluxe Office Fabric Chairs"/>
    <n v="230.35"/>
    <n v="3"/>
    <x v="468"/>
    <x v="10"/>
    <x v="1"/>
  </r>
  <r>
    <n v="44880"/>
    <x v="78"/>
    <x v="1"/>
    <x v="0"/>
    <x v="2"/>
    <s v="Home/Office Personal File Carts"/>
    <n v="250.27"/>
    <n v="9"/>
    <x v="854"/>
    <x v="10"/>
    <x v="1"/>
  </r>
  <r>
    <n v="44880"/>
    <x v="78"/>
    <x v="1"/>
    <x v="0"/>
    <x v="3"/>
    <s v="Flexible Leather- Look Classic Collection Ring Binder"/>
    <n v="11.36"/>
    <n v="3"/>
    <x v="2606"/>
    <x v="10"/>
    <x v="1"/>
  </r>
  <r>
    <n v="44880"/>
    <x v="78"/>
    <x v="1"/>
    <x v="0"/>
    <x v="14"/>
    <s v="Staple remover"/>
    <n v="8.7200000000000006"/>
    <n v="5"/>
    <x v="2607"/>
    <x v="10"/>
    <x v="1"/>
  </r>
  <r>
    <n v="44880"/>
    <x v="223"/>
    <x v="20"/>
    <x v="0"/>
    <x v="2"/>
    <s v="Eldon Mobile Mega Data Cart  Mega Stackable  Add-On Trays"/>
    <n v="70.95"/>
    <n v="3"/>
    <x v="2608"/>
    <x v="10"/>
    <x v="1"/>
  </r>
  <r>
    <n v="44880"/>
    <x v="223"/>
    <x v="20"/>
    <x v="0"/>
    <x v="3"/>
    <s v="Cardinal Holdit Data Disk Pockets"/>
    <n v="34.94"/>
    <n v="6"/>
    <x v="1402"/>
    <x v="10"/>
    <x v="1"/>
  </r>
  <r>
    <n v="44880"/>
    <x v="223"/>
    <x v="20"/>
    <x v="0"/>
    <x v="4"/>
    <s v="Newell 319"/>
    <n v="119.04"/>
    <n v="6"/>
    <x v="2609"/>
    <x v="10"/>
    <x v="1"/>
  </r>
  <r>
    <n v="44880"/>
    <x v="347"/>
    <x v="6"/>
    <x v="1"/>
    <x v="8"/>
    <s v="12-1/2 Diameter Round Wall Clock"/>
    <n v="39.96"/>
    <n v="2"/>
    <x v="2610"/>
    <x v="10"/>
    <x v="1"/>
  </r>
  <r>
    <n v="44880"/>
    <x v="379"/>
    <x v="10"/>
    <x v="0"/>
    <x v="3"/>
    <s v="Wilson Jones Elliptical Ring 3 1/2&quot; Capacity Binders, 800 sheets"/>
    <n v="166.92"/>
    <n v="13"/>
    <x v="2611"/>
    <x v="10"/>
    <x v="1"/>
  </r>
  <r>
    <n v="44881"/>
    <x v="675"/>
    <x v="20"/>
    <x v="0"/>
    <x v="12"/>
    <s v="Eureka The Boss Plus 12-Amp Hard Box Upright Vacuum, Red"/>
    <n v="523.25"/>
    <n v="5"/>
    <x v="2612"/>
    <x v="10"/>
    <x v="1"/>
  </r>
  <r>
    <n v="44881"/>
    <x v="109"/>
    <x v="21"/>
    <x v="0"/>
    <x v="0"/>
    <s v="Xerox 191"/>
    <n v="179.82"/>
    <n v="9"/>
    <x v="2613"/>
    <x v="10"/>
    <x v="1"/>
  </r>
  <r>
    <n v="44881"/>
    <x v="109"/>
    <x v="21"/>
    <x v="1"/>
    <x v="8"/>
    <s v="Advantus Employee of the Month Certificate Frame, 11 x 13-1/2"/>
    <n v="185.58"/>
    <n v="6"/>
    <x v="2614"/>
    <x v="10"/>
    <x v="1"/>
  </r>
  <r>
    <n v="44881"/>
    <x v="109"/>
    <x v="21"/>
    <x v="1"/>
    <x v="13"/>
    <s v="Lesro Sheffield Collection Coffee Table, End Table, Center Table, Corner Table"/>
    <n v="214.11"/>
    <n v="3"/>
    <x v="543"/>
    <x v="10"/>
    <x v="1"/>
  </r>
  <r>
    <n v="44881"/>
    <x v="109"/>
    <x v="21"/>
    <x v="2"/>
    <x v="9"/>
    <s v="Logitech diNovo Edge Keyboard"/>
    <n v="999.96"/>
    <n v="4"/>
    <x v="2615"/>
    <x v="10"/>
    <x v="1"/>
  </r>
  <r>
    <n v="44881"/>
    <x v="109"/>
    <x v="21"/>
    <x v="1"/>
    <x v="13"/>
    <s v="Chromcraft Bull-Nose Wood Round Conference Table Top, Wood Base"/>
    <n v="653.54999999999995"/>
    <n v="3"/>
    <x v="297"/>
    <x v="10"/>
    <x v="1"/>
  </r>
  <r>
    <n v="44881"/>
    <x v="252"/>
    <x v="34"/>
    <x v="1"/>
    <x v="13"/>
    <s v="Bretford CR4500 Series Slim Rectangular Table"/>
    <n v="696.42"/>
    <n v="2"/>
    <x v="2616"/>
    <x v="10"/>
    <x v="1"/>
  </r>
  <r>
    <n v="44881"/>
    <x v="252"/>
    <x v="34"/>
    <x v="2"/>
    <x v="6"/>
    <s v="Jabra BIZ 2300 Duo QD Duo CordedÂ Headset"/>
    <n v="304.77999999999997"/>
    <n v="3"/>
    <x v="2617"/>
    <x v="10"/>
    <x v="1"/>
  </r>
  <r>
    <n v="44881"/>
    <x v="91"/>
    <x v="1"/>
    <x v="0"/>
    <x v="2"/>
    <s v="Neat Ideas Personal Hanging Folder Files, Black"/>
    <n v="21.49"/>
    <n v="2"/>
    <x v="2121"/>
    <x v="10"/>
    <x v="1"/>
  </r>
  <r>
    <n v="44881"/>
    <x v="91"/>
    <x v="1"/>
    <x v="2"/>
    <x v="6"/>
    <s v="HTC One"/>
    <n v="239.98"/>
    <n v="3"/>
    <x v="2618"/>
    <x v="10"/>
    <x v="1"/>
  </r>
  <r>
    <n v="44881"/>
    <x v="91"/>
    <x v="1"/>
    <x v="1"/>
    <x v="8"/>
    <s v="Howard Miller 11-1/2&quot; Diameter Brentwood Wall Clock"/>
    <n v="34.5"/>
    <n v="2"/>
    <x v="2619"/>
    <x v="10"/>
    <x v="1"/>
  </r>
  <r>
    <n v="44881"/>
    <x v="130"/>
    <x v="3"/>
    <x v="0"/>
    <x v="1"/>
    <s v="Avery 51"/>
    <n v="18.899999999999999"/>
    <n v="3"/>
    <x v="1061"/>
    <x v="10"/>
    <x v="1"/>
  </r>
  <r>
    <n v="44882"/>
    <x v="714"/>
    <x v="1"/>
    <x v="0"/>
    <x v="14"/>
    <s v="Acme Box Cutter Scissors"/>
    <n v="40.92"/>
    <n v="5"/>
    <x v="2620"/>
    <x v="10"/>
    <x v="1"/>
  </r>
  <r>
    <n v="44882"/>
    <x v="267"/>
    <x v="3"/>
    <x v="2"/>
    <x v="6"/>
    <s v="RCA ViSYS 25825 Wireless digital phone"/>
    <n v="415.97"/>
    <n v="4"/>
    <x v="2621"/>
    <x v="10"/>
    <x v="1"/>
  </r>
  <r>
    <n v="44882"/>
    <x v="267"/>
    <x v="3"/>
    <x v="0"/>
    <x v="2"/>
    <s v="Carina Media Storage Towers in Natural &amp; Black"/>
    <n v="304.89999999999998"/>
    <n v="5"/>
    <x v="2622"/>
    <x v="10"/>
    <x v="1"/>
  </r>
  <r>
    <n v="44882"/>
    <x v="267"/>
    <x v="3"/>
    <x v="1"/>
    <x v="8"/>
    <s v="DAX Contemporary Wood Frame with Silver Metal Mat, Desktop, 11 x 14 Size"/>
    <n v="80.959999999999994"/>
    <n v="4"/>
    <x v="2233"/>
    <x v="10"/>
    <x v="1"/>
  </r>
  <r>
    <n v="44882"/>
    <x v="267"/>
    <x v="3"/>
    <x v="0"/>
    <x v="2"/>
    <s v="Fellowes Recycled Storage Drawers"/>
    <n v="777.21"/>
    <n v="7"/>
    <x v="1386"/>
    <x v="10"/>
    <x v="1"/>
  </r>
  <r>
    <n v="44882"/>
    <x v="267"/>
    <x v="3"/>
    <x v="0"/>
    <x v="0"/>
    <s v="Xerox 203"/>
    <n v="32.4"/>
    <n v="5"/>
    <x v="327"/>
    <x v="10"/>
    <x v="1"/>
  </r>
  <r>
    <n v="44882"/>
    <x v="267"/>
    <x v="3"/>
    <x v="1"/>
    <x v="5"/>
    <s v="Office Star - Contemporary Swivel Chair with Padded Adjustable Arms and Flex Back"/>
    <n v="225.57"/>
    <n v="2"/>
    <x v="1218"/>
    <x v="10"/>
    <x v="1"/>
  </r>
  <r>
    <n v="44882"/>
    <x v="267"/>
    <x v="3"/>
    <x v="1"/>
    <x v="8"/>
    <s v="Advantus Panel Wall Certificate Holder - 8.5x11"/>
    <n v="36.6"/>
    <n v="3"/>
    <x v="2623"/>
    <x v="10"/>
    <x v="1"/>
  </r>
  <r>
    <n v="44882"/>
    <x v="266"/>
    <x v="39"/>
    <x v="0"/>
    <x v="2"/>
    <s v="Tennsco Stur-D-Stor Boltless Shelving, 5 Shelves, 24&quot; Deep, Sand"/>
    <n v="541.24"/>
    <n v="4"/>
    <x v="2116"/>
    <x v="10"/>
    <x v="1"/>
  </r>
  <r>
    <n v="44882"/>
    <x v="266"/>
    <x v="39"/>
    <x v="0"/>
    <x v="0"/>
    <s v="Easy-staple paper"/>
    <n v="106.32"/>
    <n v="3"/>
    <x v="1624"/>
    <x v="10"/>
    <x v="1"/>
  </r>
  <r>
    <n v="44882"/>
    <x v="266"/>
    <x v="39"/>
    <x v="1"/>
    <x v="5"/>
    <s v="Hon Olson Stacker Chairs"/>
    <n v="1323.9"/>
    <n v="5"/>
    <x v="2624"/>
    <x v="10"/>
    <x v="1"/>
  </r>
  <r>
    <n v="44884"/>
    <x v="529"/>
    <x v="22"/>
    <x v="1"/>
    <x v="8"/>
    <s v="Tenex V2T-RE Standard Weight Series Chair Mat, 45&quot; x 53&quot;, Lip 25&quot; x 12&quot;"/>
    <n v="141.96"/>
    <n v="2"/>
    <x v="2625"/>
    <x v="10"/>
    <x v="1"/>
  </r>
  <r>
    <n v="44884"/>
    <x v="166"/>
    <x v="17"/>
    <x v="0"/>
    <x v="12"/>
    <s v="Hoover Commercial Soft Guard Upright Vacuum And Disposable Filtration Bags"/>
    <n v="31.08"/>
    <n v="4"/>
    <x v="332"/>
    <x v="10"/>
    <x v="1"/>
  </r>
  <r>
    <n v="44884"/>
    <x v="375"/>
    <x v="20"/>
    <x v="0"/>
    <x v="3"/>
    <s v="Accohide Poly Flexible Ring Binders"/>
    <n v="5.98"/>
    <n v="2"/>
    <x v="2446"/>
    <x v="10"/>
    <x v="1"/>
  </r>
  <r>
    <n v="44884"/>
    <x v="375"/>
    <x v="20"/>
    <x v="2"/>
    <x v="6"/>
    <s v="Aastra 6757i CT Wireless VoIP phone"/>
    <n v="861.76"/>
    <n v="4"/>
    <x v="2626"/>
    <x v="10"/>
    <x v="1"/>
  </r>
  <r>
    <n v="44885"/>
    <x v="291"/>
    <x v="20"/>
    <x v="0"/>
    <x v="4"/>
    <s v="Boston 19500 Mighty Mite Electric Pencil Sharpener"/>
    <n v="60.45"/>
    <n v="3"/>
    <x v="1200"/>
    <x v="10"/>
    <x v="1"/>
  </r>
  <r>
    <n v="44885"/>
    <x v="291"/>
    <x v="20"/>
    <x v="0"/>
    <x v="4"/>
    <s v="Newell 335"/>
    <n v="11.52"/>
    <n v="4"/>
    <x v="2627"/>
    <x v="10"/>
    <x v="1"/>
  </r>
  <r>
    <n v="44885"/>
    <x v="291"/>
    <x v="20"/>
    <x v="1"/>
    <x v="11"/>
    <s v="O'Sullivan 3-Shelf Heavy-Duty Bookcases"/>
    <n v="186.05"/>
    <n v="4"/>
    <x v="282"/>
    <x v="10"/>
    <x v="1"/>
  </r>
  <r>
    <n v="44885"/>
    <x v="659"/>
    <x v="3"/>
    <x v="0"/>
    <x v="4"/>
    <s v="Newell 333"/>
    <n v="19.46"/>
    <n v="7"/>
    <x v="2080"/>
    <x v="10"/>
    <x v="1"/>
  </r>
  <r>
    <n v="44885"/>
    <x v="275"/>
    <x v="20"/>
    <x v="0"/>
    <x v="0"/>
    <s v="Message Book, Phone, Wirebound Standard Line Memo, 2 3/4&quot; X 5&quot;"/>
    <n v="19.649999999999999"/>
    <n v="3"/>
    <x v="579"/>
    <x v="10"/>
    <x v="1"/>
  </r>
  <r>
    <n v="44885"/>
    <x v="164"/>
    <x v="3"/>
    <x v="2"/>
    <x v="6"/>
    <s v="Gear Head AU3700S Headset"/>
    <n v="72.739999999999995"/>
    <n v="7"/>
    <x v="2628"/>
    <x v="10"/>
    <x v="1"/>
  </r>
  <r>
    <n v="44885"/>
    <x v="164"/>
    <x v="3"/>
    <x v="1"/>
    <x v="5"/>
    <s v="Safco Contoured Stacking Chairs"/>
    <n v="572.16"/>
    <n v="3"/>
    <x v="1525"/>
    <x v="10"/>
    <x v="1"/>
  </r>
  <r>
    <n v="44885"/>
    <x v="715"/>
    <x v="3"/>
    <x v="0"/>
    <x v="3"/>
    <s v="Cardinal Poly Pocket Divider Pockets for Ring Binders"/>
    <n v="24.19"/>
    <n v="9"/>
    <x v="1982"/>
    <x v="10"/>
    <x v="1"/>
  </r>
  <r>
    <n v="44885"/>
    <x v="716"/>
    <x v="22"/>
    <x v="0"/>
    <x v="4"/>
    <s v="Newell 334"/>
    <n v="119.04"/>
    <n v="6"/>
    <x v="2629"/>
    <x v="10"/>
    <x v="1"/>
  </r>
  <r>
    <n v="44885"/>
    <x v="716"/>
    <x v="22"/>
    <x v="1"/>
    <x v="8"/>
    <s v="Eldon Expressions Wood Desk Accessories, Oak"/>
    <n v="22.14"/>
    <n v="3"/>
    <x v="2630"/>
    <x v="10"/>
    <x v="1"/>
  </r>
  <r>
    <n v="44885"/>
    <x v="716"/>
    <x v="22"/>
    <x v="2"/>
    <x v="9"/>
    <s v="AmazonBasics 3-Button USB Wired Mouse"/>
    <n v="13.98"/>
    <n v="2"/>
    <x v="1813"/>
    <x v="10"/>
    <x v="1"/>
  </r>
  <r>
    <n v="44885"/>
    <x v="295"/>
    <x v="10"/>
    <x v="1"/>
    <x v="8"/>
    <s v="Ultra Commercial Grade Dual Valve Door Closer"/>
    <n v="63.82"/>
    <n v="2"/>
    <x v="2631"/>
    <x v="10"/>
    <x v="1"/>
  </r>
  <r>
    <n v="44885"/>
    <x v="295"/>
    <x v="10"/>
    <x v="0"/>
    <x v="2"/>
    <s v="Belkin 19&quot; Center-Weighted Shelf, Gray"/>
    <n v="141.55000000000001"/>
    <n v="3"/>
    <x v="2632"/>
    <x v="10"/>
    <x v="1"/>
  </r>
  <r>
    <n v="44885"/>
    <x v="271"/>
    <x v="0"/>
    <x v="2"/>
    <x v="15"/>
    <s v="NeatDesk Desktop Scanner &amp; Digital Filing System"/>
    <n v="479.99"/>
    <n v="2"/>
    <x v="1262"/>
    <x v="10"/>
    <x v="1"/>
  </r>
  <r>
    <n v="44885"/>
    <x v="567"/>
    <x v="16"/>
    <x v="0"/>
    <x v="3"/>
    <s v="Wilson Jones Turn Tabs Binder Tool for Ring Binders"/>
    <n v="7.23"/>
    <n v="5"/>
    <x v="2072"/>
    <x v="10"/>
    <x v="1"/>
  </r>
  <r>
    <n v="44885"/>
    <x v="567"/>
    <x v="16"/>
    <x v="0"/>
    <x v="2"/>
    <s v="Crate-A-Files"/>
    <n v="17.440000000000001"/>
    <n v="2"/>
    <x v="660"/>
    <x v="10"/>
    <x v="1"/>
  </r>
  <r>
    <n v="44885"/>
    <x v="567"/>
    <x v="16"/>
    <x v="0"/>
    <x v="3"/>
    <s v="Ibico Laser Imprintable Binding System Covers"/>
    <n v="62.88"/>
    <n v="4"/>
    <x v="2633"/>
    <x v="10"/>
    <x v="1"/>
  </r>
  <r>
    <n v="44885"/>
    <x v="567"/>
    <x v="16"/>
    <x v="1"/>
    <x v="11"/>
    <s v="O'Sullivan Living Dimensions 2-Shelf Bookcases"/>
    <n v="290.35000000000002"/>
    <n v="3"/>
    <x v="1166"/>
    <x v="10"/>
    <x v="1"/>
  </r>
  <r>
    <n v="44885"/>
    <x v="1"/>
    <x v="2"/>
    <x v="1"/>
    <x v="5"/>
    <s v="Global High-Back Leather Tilter, Burgundy"/>
    <n v="344.37"/>
    <n v="4"/>
    <x v="2634"/>
    <x v="10"/>
    <x v="1"/>
  </r>
  <r>
    <n v="44885"/>
    <x v="147"/>
    <x v="26"/>
    <x v="0"/>
    <x v="3"/>
    <s v="Wilson Jones Custom Binder Spines &amp; Labels"/>
    <n v="4.9000000000000004"/>
    <n v="3"/>
    <x v="1929"/>
    <x v="10"/>
    <x v="1"/>
  </r>
  <r>
    <n v="44885"/>
    <x v="147"/>
    <x v="26"/>
    <x v="1"/>
    <x v="11"/>
    <s v="Sauder Barrister Bookcases"/>
    <n v="145.76"/>
    <n v="6"/>
    <x v="2635"/>
    <x v="10"/>
    <x v="1"/>
  </r>
  <r>
    <n v="44885"/>
    <x v="147"/>
    <x v="26"/>
    <x v="0"/>
    <x v="3"/>
    <s v="Wilson Jones 14 Line Acrylic Coated Pressboard Data Binders"/>
    <n v="9.61"/>
    <n v="6"/>
    <x v="2636"/>
    <x v="10"/>
    <x v="1"/>
  </r>
  <r>
    <n v="44885"/>
    <x v="10"/>
    <x v="3"/>
    <x v="0"/>
    <x v="3"/>
    <s v="Performers Binder/Pad Holder, Black"/>
    <n v="89.7"/>
    <n v="4"/>
    <x v="149"/>
    <x v="10"/>
    <x v="1"/>
  </r>
  <r>
    <n v="44885"/>
    <x v="10"/>
    <x v="3"/>
    <x v="0"/>
    <x v="1"/>
    <s v="Avery 485"/>
    <n v="50.12"/>
    <n v="4"/>
    <x v="2637"/>
    <x v="10"/>
    <x v="1"/>
  </r>
  <r>
    <n v="44885"/>
    <x v="439"/>
    <x v="3"/>
    <x v="1"/>
    <x v="8"/>
    <s v="Dana Swing-Arm Lamps"/>
    <n v="32.04"/>
    <n v="3"/>
    <x v="2638"/>
    <x v="10"/>
    <x v="1"/>
  </r>
  <r>
    <n v="44886"/>
    <x v="264"/>
    <x v="10"/>
    <x v="1"/>
    <x v="5"/>
    <s v="Padded Folding Chairs, Black, 4/Carton"/>
    <n v="396.8"/>
    <n v="7"/>
    <x v="2639"/>
    <x v="10"/>
    <x v="1"/>
  </r>
  <r>
    <n v="44886"/>
    <x v="264"/>
    <x v="10"/>
    <x v="0"/>
    <x v="14"/>
    <s v="Acme Rosewood Handle Letter Opener"/>
    <n v="15.88"/>
    <n v="5"/>
    <x v="1083"/>
    <x v="10"/>
    <x v="1"/>
  </r>
  <r>
    <n v="44886"/>
    <x v="262"/>
    <x v="17"/>
    <x v="1"/>
    <x v="11"/>
    <s v="Hon Metal Bookcases, Putty"/>
    <n v="141.96"/>
    <n v="2"/>
    <x v="2640"/>
    <x v="10"/>
    <x v="1"/>
  </r>
  <r>
    <n v="44886"/>
    <x v="262"/>
    <x v="17"/>
    <x v="0"/>
    <x v="3"/>
    <s v="Square Ring Data Binders, Rigid 75 Pt. Covers, 11&quot; x 14-7/8&quot;"/>
    <n v="66.05"/>
    <n v="4"/>
    <x v="2641"/>
    <x v="10"/>
    <x v="1"/>
  </r>
  <r>
    <n v="44886"/>
    <x v="27"/>
    <x v="0"/>
    <x v="1"/>
    <x v="11"/>
    <s v="O'Sullivan Manor Hill 2-Door Library in Brianna Oak"/>
    <n v="246.13"/>
    <n v="2"/>
    <x v="2642"/>
    <x v="10"/>
    <x v="1"/>
  </r>
  <r>
    <n v="44886"/>
    <x v="27"/>
    <x v="0"/>
    <x v="0"/>
    <x v="1"/>
    <s v="Self-Adhesive Address Labels for Typewriters by Universal"/>
    <n v="11.7"/>
    <n v="2"/>
    <x v="383"/>
    <x v="10"/>
    <x v="1"/>
  </r>
  <r>
    <n v="44886"/>
    <x v="27"/>
    <x v="0"/>
    <x v="2"/>
    <x v="16"/>
    <s v="Sharp 1540cs Digital Laser Copier"/>
    <n v="439.99"/>
    <n v="1"/>
    <x v="2495"/>
    <x v="10"/>
    <x v="1"/>
  </r>
  <r>
    <n v="44886"/>
    <x v="268"/>
    <x v="18"/>
    <x v="0"/>
    <x v="4"/>
    <s v="Crayola Anti Dust Chalk, 12/Pack"/>
    <n v="10.92"/>
    <n v="6"/>
    <x v="135"/>
    <x v="10"/>
    <x v="1"/>
  </r>
  <r>
    <n v="44886"/>
    <x v="268"/>
    <x v="18"/>
    <x v="2"/>
    <x v="15"/>
    <s v="Ricoh - Ink Collector Unit for GX3000 Series Printers"/>
    <n v="83.9"/>
    <n v="2"/>
    <x v="755"/>
    <x v="10"/>
    <x v="1"/>
  </r>
  <r>
    <n v="44886"/>
    <x v="268"/>
    <x v="18"/>
    <x v="0"/>
    <x v="12"/>
    <s v="Hoover Replacement Belts For Soft Guard &amp; Commercial Ltweight Upright Vacs, 2/Pk"/>
    <n v="19.75"/>
    <n v="5"/>
    <x v="175"/>
    <x v="10"/>
    <x v="1"/>
  </r>
  <r>
    <n v="44886"/>
    <x v="268"/>
    <x v="18"/>
    <x v="2"/>
    <x v="9"/>
    <s v="Imation Bio 2GB USBÂ Flash Drive ImationÂ Corp"/>
    <n v="393.54"/>
    <n v="3"/>
    <x v="2643"/>
    <x v="10"/>
    <x v="1"/>
  </r>
  <r>
    <n v="44886"/>
    <x v="673"/>
    <x v="12"/>
    <x v="0"/>
    <x v="12"/>
    <s v="Fellowes Command Center 5-outlet power strip"/>
    <n v="325.63"/>
    <n v="6"/>
    <x v="2644"/>
    <x v="10"/>
    <x v="1"/>
  </r>
  <r>
    <n v="44886"/>
    <x v="673"/>
    <x v="12"/>
    <x v="2"/>
    <x v="9"/>
    <s v="Belkin Standard 104 key USB Keyboard"/>
    <n v="23.34"/>
    <n v="2"/>
    <x v="2645"/>
    <x v="10"/>
    <x v="1"/>
  </r>
  <r>
    <n v="44886"/>
    <x v="673"/>
    <x v="12"/>
    <x v="0"/>
    <x v="1"/>
    <s v="Avery 506"/>
    <n v="16.52"/>
    <n v="5"/>
    <x v="193"/>
    <x v="10"/>
    <x v="1"/>
  </r>
  <r>
    <n v="44886"/>
    <x v="228"/>
    <x v="2"/>
    <x v="1"/>
    <x v="13"/>
    <s v="Bevis Oval Conference Table, Walnut"/>
    <n v="1252.7"/>
    <n v="8"/>
    <x v="2646"/>
    <x v="10"/>
    <x v="1"/>
  </r>
  <r>
    <n v="44886"/>
    <x v="228"/>
    <x v="2"/>
    <x v="2"/>
    <x v="6"/>
    <s v="Logitech B530 USBÂ HeadsetÂ -Â headsetÂ - Full size, Binaural"/>
    <n v="110.97"/>
    <n v="5"/>
    <x v="2647"/>
    <x v="10"/>
    <x v="1"/>
  </r>
  <r>
    <n v="44886"/>
    <x v="653"/>
    <x v="0"/>
    <x v="0"/>
    <x v="4"/>
    <s v="Eldon Spacemaker Box, Quick-Snap Lid, Clear"/>
    <n v="5.34"/>
    <n v="2"/>
    <x v="1881"/>
    <x v="10"/>
    <x v="1"/>
  </r>
  <r>
    <n v="44886"/>
    <x v="653"/>
    <x v="0"/>
    <x v="0"/>
    <x v="3"/>
    <s v="Storex DuraTech Recycled Plastic Frosted Binders"/>
    <n v="1.7"/>
    <n v="2"/>
    <x v="2648"/>
    <x v="10"/>
    <x v="1"/>
  </r>
  <r>
    <n v="44886"/>
    <x v="653"/>
    <x v="0"/>
    <x v="0"/>
    <x v="12"/>
    <s v="Kensington 6 Outlet SmartSocket Surge Protector"/>
    <n v="24.59"/>
    <n v="3"/>
    <x v="2649"/>
    <x v="10"/>
    <x v="1"/>
  </r>
  <r>
    <n v="44886"/>
    <x v="653"/>
    <x v="0"/>
    <x v="0"/>
    <x v="3"/>
    <s v="Cardinal Hold-It CD Pocket"/>
    <n v="7.98"/>
    <n v="5"/>
    <x v="1639"/>
    <x v="10"/>
    <x v="1"/>
  </r>
  <r>
    <n v="44886"/>
    <x v="209"/>
    <x v="25"/>
    <x v="1"/>
    <x v="8"/>
    <s v="Executive Impressions 14&quot; Two-Color Numerals Wall Clock"/>
    <n v="18.18"/>
    <n v="1"/>
    <x v="105"/>
    <x v="10"/>
    <x v="1"/>
  </r>
  <r>
    <n v="44887"/>
    <x v="187"/>
    <x v="0"/>
    <x v="0"/>
    <x v="12"/>
    <s v="Holmes Replacement Filter for HEPA Air Cleaner, Very Large Room, HEPA Filter"/>
    <n v="68.81"/>
    <n v="5"/>
    <x v="2650"/>
    <x v="10"/>
    <x v="1"/>
  </r>
  <r>
    <n v="44887"/>
    <x v="187"/>
    <x v="0"/>
    <x v="0"/>
    <x v="3"/>
    <s v="Storex DuraTech Recycled Plastic Frosted Binders"/>
    <n v="2.54"/>
    <n v="3"/>
    <x v="2651"/>
    <x v="10"/>
    <x v="1"/>
  </r>
  <r>
    <n v="44887"/>
    <x v="576"/>
    <x v="2"/>
    <x v="0"/>
    <x v="3"/>
    <s v="GBC Durable Plastic Covers"/>
    <n v="11.61"/>
    <n v="2"/>
    <x v="2652"/>
    <x v="10"/>
    <x v="1"/>
  </r>
  <r>
    <n v="44887"/>
    <x v="690"/>
    <x v="0"/>
    <x v="1"/>
    <x v="13"/>
    <s v="Hon 2111 Invitation Series Straight Table"/>
    <n v="206.96"/>
    <n v="2"/>
    <x v="2653"/>
    <x v="10"/>
    <x v="1"/>
  </r>
  <r>
    <n v="44887"/>
    <x v="539"/>
    <x v="32"/>
    <x v="0"/>
    <x v="0"/>
    <s v="Xerox 1970"/>
    <n v="14.94"/>
    <n v="3"/>
    <x v="162"/>
    <x v="10"/>
    <x v="1"/>
  </r>
  <r>
    <n v="44887"/>
    <x v="64"/>
    <x v="0"/>
    <x v="2"/>
    <x v="9"/>
    <s v="SanDisk Cruzer 8 GB USB Flash Drive"/>
    <n v="27.17"/>
    <n v="4"/>
    <x v="958"/>
    <x v="10"/>
    <x v="1"/>
  </r>
  <r>
    <n v="44887"/>
    <x v="387"/>
    <x v="15"/>
    <x v="0"/>
    <x v="3"/>
    <s v="Acco Pressboard Covers with Storage Hooks, 14 7/8&quot; x 11&quot;, Light Blue"/>
    <n v="2.95"/>
    <n v="2"/>
    <x v="2383"/>
    <x v="10"/>
    <x v="1"/>
  </r>
  <r>
    <n v="44887"/>
    <x v="387"/>
    <x v="15"/>
    <x v="0"/>
    <x v="7"/>
    <s v="Vinyl Coated Wire Paper Clips in Organizer Box, 800/Box"/>
    <n v="55.1"/>
    <n v="6"/>
    <x v="2654"/>
    <x v="10"/>
    <x v="1"/>
  </r>
  <r>
    <n v="44887"/>
    <x v="534"/>
    <x v="3"/>
    <x v="0"/>
    <x v="0"/>
    <s v="Xerox 1887"/>
    <n v="37.94"/>
    <n v="2"/>
    <x v="1912"/>
    <x v="10"/>
    <x v="1"/>
  </r>
  <r>
    <n v="44887"/>
    <x v="534"/>
    <x v="3"/>
    <x v="0"/>
    <x v="0"/>
    <s v="Xerox 1971"/>
    <n v="42.8"/>
    <n v="10"/>
    <x v="2655"/>
    <x v="10"/>
    <x v="1"/>
  </r>
  <r>
    <n v="44887"/>
    <x v="534"/>
    <x v="3"/>
    <x v="0"/>
    <x v="2"/>
    <s v="Personal Folder Holder, Ebony"/>
    <n v="33.630000000000003"/>
    <n v="3"/>
    <x v="2656"/>
    <x v="10"/>
    <x v="1"/>
  </r>
  <r>
    <n v="44887"/>
    <x v="248"/>
    <x v="16"/>
    <x v="2"/>
    <x v="15"/>
    <s v="Texas Instruments TI-34 Scientific Calculator"/>
    <n v="32.99"/>
    <n v="3"/>
    <x v="2657"/>
    <x v="10"/>
    <x v="1"/>
  </r>
  <r>
    <n v="44887"/>
    <x v="198"/>
    <x v="32"/>
    <x v="0"/>
    <x v="4"/>
    <s v="Newell 341"/>
    <n v="17.12"/>
    <n v="4"/>
    <x v="1281"/>
    <x v="10"/>
    <x v="1"/>
  </r>
  <r>
    <n v="44887"/>
    <x v="198"/>
    <x v="32"/>
    <x v="0"/>
    <x v="0"/>
    <s v="Xerox 1936"/>
    <n v="59.94"/>
    <n v="3"/>
    <x v="2200"/>
    <x v="10"/>
    <x v="1"/>
  </r>
  <r>
    <n v="44888"/>
    <x v="668"/>
    <x v="0"/>
    <x v="0"/>
    <x v="0"/>
    <s v="Xerox 1915"/>
    <n v="335.52"/>
    <n v="4"/>
    <x v="601"/>
    <x v="10"/>
    <x v="1"/>
  </r>
  <r>
    <n v="44888"/>
    <x v="668"/>
    <x v="0"/>
    <x v="0"/>
    <x v="3"/>
    <s v="GBC Recycled Regency Composition Covers"/>
    <n v="23.91"/>
    <n v="2"/>
    <x v="2658"/>
    <x v="10"/>
    <x v="1"/>
  </r>
  <r>
    <n v="44888"/>
    <x v="668"/>
    <x v="0"/>
    <x v="0"/>
    <x v="2"/>
    <s v="Tenex Personal Self-Stacking Standard File Box, Black/Gray"/>
    <n v="27.06"/>
    <n v="2"/>
    <x v="1036"/>
    <x v="10"/>
    <x v="1"/>
  </r>
  <r>
    <n v="44888"/>
    <x v="372"/>
    <x v="23"/>
    <x v="0"/>
    <x v="12"/>
    <s v="Sanyo Counter Height Refrigerator with Crisper, 3.6 Cubic Foot, Stainless Steel/Black"/>
    <n v="2625.12"/>
    <n v="8"/>
    <x v="2659"/>
    <x v="10"/>
    <x v="1"/>
  </r>
  <r>
    <n v="44888"/>
    <x v="372"/>
    <x v="23"/>
    <x v="0"/>
    <x v="4"/>
    <s v="Newell 315"/>
    <n v="17.940000000000001"/>
    <n v="3"/>
    <x v="630"/>
    <x v="10"/>
    <x v="1"/>
  </r>
  <r>
    <n v="44888"/>
    <x v="517"/>
    <x v="7"/>
    <x v="2"/>
    <x v="6"/>
    <s v="Nortel Meridian M3904 Professional Digital phone"/>
    <n v="307.98"/>
    <n v="2"/>
    <x v="2169"/>
    <x v="10"/>
    <x v="1"/>
  </r>
  <r>
    <n v="44888"/>
    <x v="517"/>
    <x v="7"/>
    <x v="0"/>
    <x v="0"/>
    <s v="1/4 Fold Party Design Invitations &amp; White Envelopes, 24 8-1/2&quot; X 11&quot; Cards, 25 Env./Pack"/>
    <n v="44.1"/>
    <n v="6"/>
    <x v="2660"/>
    <x v="10"/>
    <x v="1"/>
  </r>
  <r>
    <n v="44888"/>
    <x v="517"/>
    <x v="7"/>
    <x v="0"/>
    <x v="4"/>
    <s v="Sanford Colorific Eraseable Coloring Pencils, 12 Count"/>
    <n v="13.12"/>
    <n v="4"/>
    <x v="1291"/>
    <x v="10"/>
    <x v="1"/>
  </r>
  <r>
    <n v="44888"/>
    <x v="517"/>
    <x v="7"/>
    <x v="0"/>
    <x v="10"/>
    <s v="Staple envelope"/>
    <n v="16.559999999999999"/>
    <n v="2"/>
    <x v="1296"/>
    <x v="10"/>
    <x v="1"/>
  </r>
  <r>
    <n v="44888"/>
    <x v="517"/>
    <x v="7"/>
    <x v="0"/>
    <x v="0"/>
    <s v="Xerox 226"/>
    <n v="38.880000000000003"/>
    <n v="6"/>
    <x v="2107"/>
    <x v="10"/>
    <x v="1"/>
  </r>
  <r>
    <n v="44889"/>
    <x v="111"/>
    <x v="3"/>
    <x v="2"/>
    <x v="9"/>
    <s v="Verbatim 25 GB 6x Blu-ray Single Layer Recordable Disc, 3/Pack"/>
    <n v="13.98"/>
    <n v="2"/>
    <x v="2661"/>
    <x v="10"/>
    <x v="1"/>
  </r>
  <r>
    <n v="44889"/>
    <x v="111"/>
    <x v="3"/>
    <x v="0"/>
    <x v="3"/>
    <s v="Acco PRESSTEX Data Binder with Storage Hooks, Dark Blue, 14 7/8&quot; X 11&quot;"/>
    <n v="25.82"/>
    <n v="6"/>
    <x v="155"/>
    <x v="10"/>
    <x v="1"/>
  </r>
  <r>
    <n v="44889"/>
    <x v="111"/>
    <x v="3"/>
    <x v="0"/>
    <x v="0"/>
    <s v="Xerox 1943"/>
    <n v="146.72999999999999"/>
    <n v="3"/>
    <x v="1142"/>
    <x v="10"/>
    <x v="1"/>
  </r>
  <r>
    <n v="44889"/>
    <x v="111"/>
    <x v="3"/>
    <x v="1"/>
    <x v="8"/>
    <s v="Luxo Economy Swing Arm Lamp"/>
    <n v="79.760000000000005"/>
    <n v="4"/>
    <x v="2662"/>
    <x v="10"/>
    <x v="1"/>
  </r>
  <r>
    <n v="44889"/>
    <x v="0"/>
    <x v="3"/>
    <x v="0"/>
    <x v="0"/>
    <s v="Xerox 1919"/>
    <n v="368.91"/>
    <n v="9"/>
    <x v="2663"/>
    <x v="10"/>
    <x v="1"/>
  </r>
  <r>
    <n v="44889"/>
    <x v="0"/>
    <x v="3"/>
    <x v="0"/>
    <x v="4"/>
    <s v="Prang Colored Pencils"/>
    <n v="14.7"/>
    <n v="5"/>
    <x v="168"/>
    <x v="10"/>
    <x v="1"/>
  </r>
  <r>
    <n v="44889"/>
    <x v="18"/>
    <x v="3"/>
    <x v="0"/>
    <x v="3"/>
    <s v="Avery Reinforcements for Hole-Punch Pages"/>
    <n v="3.17"/>
    <n v="2"/>
    <x v="988"/>
    <x v="10"/>
    <x v="1"/>
  </r>
  <r>
    <n v="44889"/>
    <x v="18"/>
    <x v="3"/>
    <x v="0"/>
    <x v="0"/>
    <s v="Xerox 225"/>
    <n v="19.440000000000001"/>
    <n v="3"/>
    <x v="5"/>
    <x v="10"/>
    <x v="1"/>
  </r>
  <r>
    <n v="44889"/>
    <x v="18"/>
    <x v="3"/>
    <x v="0"/>
    <x v="2"/>
    <s v="Fellowes Bankers Box Staxonsteel Drawer File/Stacking System"/>
    <n v="454.86"/>
    <n v="7"/>
    <x v="2664"/>
    <x v="10"/>
    <x v="1"/>
  </r>
  <r>
    <n v="44889"/>
    <x v="18"/>
    <x v="3"/>
    <x v="0"/>
    <x v="3"/>
    <s v="Avery Premier Heavy-Duty Binder with Round Locking Rings"/>
    <n v="91.39"/>
    <n v="8"/>
    <x v="2665"/>
    <x v="10"/>
    <x v="1"/>
  </r>
  <r>
    <n v="44890"/>
    <x v="394"/>
    <x v="25"/>
    <x v="0"/>
    <x v="4"/>
    <s v="Newell 349"/>
    <n v="13.12"/>
    <n v="5"/>
    <x v="9"/>
    <x v="10"/>
    <x v="1"/>
  </r>
  <r>
    <n v="44891"/>
    <x v="133"/>
    <x v="32"/>
    <x v="0"/>
    <x v="3"/>
    <s v="Pressboard Covers with Storage Hooks, 9 1/2&quot; x 11&quot;, Light Blue"/>
    <n v="14.73"/>
    <n v="3"/>
    <x v="1028"/>
    <x v="10"/>
    <x v="1"/>
  </r>
  <r>
    <n v="44891"/>
    <x v="133"/>
    <x v="32"/>
    <x v="0"/>
    <x v="2"/>
    <s v="Tennsco Lockers, Sand"/>
    <n v="104.9"/>
    <n v="5"/>
    <x v="2666"/>
    <x v="10"/>
    <x v="1"/>
  </r>
  <r>
    <n v="44891"/>
    <x v="133"/>
    <x v="32"/>
    <x v="0"/>
    <x v="3"/>
    <s v="Aluminum Screw Posts"/>
    <n v="61.04"/>
    <n v="4"/>
    <x v="2667"/>
    <x v="10"/>
    <x v="1"/>
  </r>
  <r>
    <n v="44891"/>
    <x v="133"/>
    <x v="32"/>
    <x v="0"/>
    <x v="0"/>
    <s v="Loose Memo Sheets"/>
    <n v="10.95"/>
    <n v="3"/>
    <x v="2668"/>
    <x v="10"/>
    <x v="1"/>
  </r>
  <r>
    <n v="44891"/>
    <x v="572"/>
    <x v="15"/>
    <x v="1"/>
    <x v="8"/>
    <s v="Howard Miller 12-3/4 Diameter Accuwave DS  Wall Clock"/>
    <n v="692.47"/>
    <n v="11"/>
    <x v="2669"/>
    <x v="10"/>
    <x v="1"/>
  </r>
  <r>
    <n v="44891"/>
    <x v="400"/>
    <x v="24"/>
    <x v="2"/>
    <x v="16"/>
    <s v="Canon PC1080F Personal Copier"/>
    <n v="599.99"/>
    <n v="1"/>
    <x v="2670"/>
    <x v="10"/>
    <x v="1"/>
  </r>
  <r>
    <n v="44892"/>
    <x v="445"/>
    <x v="16"/>
    <x v="1"/>
    <x v="13"/>
    <s v="Hon Practical Foundations 30 x 60 Training Table, Light Gray/Charcoal"/>
    <n v="375.46"/>
    <n v="3"/>
    <x v="2671"/>
    <x v="10"/>
    <x v="1"/>
  </r>
  <r>
    <n v="44892"/>
    <x v="445"/>
    <x v="16"/>
    <x v="2"/>
    <x v="9"/>
    <s v="Logitech Media Keyboard K200"/>
    <n v="83.98"/>
    <n v="3"/>
    <x v="1539"/>
    <x v="10"/>
    <x v="1"/>
  </r>
  <r>
    <n v="44892"/>
    <x v="101"/>
    <x v="3"/>
    <x v="1"/>
    <x v="5"/>
    <s v="Situations Contoured Folding Chairs, 4/Set"/>
    <n v="283.92"/>
    <n v="5"/>
    <x v="140"/>
    <x v="10"/>
    <x v="1"/>
  </r>
  <r>
    <n v="44892"/>
    <x v="586"/>
    <x v="13"/>
    <x v="0"/>
    <x v="3"/>
    <s v="Zipper Ring Binder Pockets"/>
    <n v="6.24"/>
    <n v="2"/>
    <x v="269"/>
    <x v="10"/>
    <x v="1"/>
  </r>
  <r>
    <n v="44892"/>
    <x v="514"/>
    <x v="7"/>
    <x v="2"/>
    <x v="6"/>
    <s v="Apple EarPods with Remote and Mic"/>
    <n v="83.97"/>
    <n v="3"/>
    <x v="2672"/>
    <x v="10"/>
    <x v="1"/>
  </r>
  <r>
    <n v="44892"/>
    <x v="514"/>
    <x v="7"/>
    <x v="2"/>
    <x v="9"/>
    <s v="Perixx PERIBOARD-512B, Ergonomic Split Keyboard"/>
    <n v="104.97"/>
    <n v="3"/>
    <x v="2673"/>
    <x v="10"/>
    <x v="1"/>
  </r>
  <r>
    <n v="44892"/>
    <x v="617"/>
    <x v="20"/>
    <x v="0"/>
    <x v="4"/>
    <s v="Peel-Off China Markers"/>
    <n v="29.79"/>
    <n v="3"/>
    <x v="1765"/>
    <x v="10"/>
    <x v="1"/>
  </r>
  <r>
    <n v="44892"/>
    <x v="188"/>
    <x v="3"/>
    <x v="2"/>
    <x v="9"/>
    <s v="Sony 64GB Class 10 Micro SDHC R40 Memory Card"/>
    <n v="107.97"/>
    <n v="3"/>
    <x v="2674"/>
    <x v="10"/>
    <x v="1"/>
  </r>
  <r>
    <n v="44892"/>
    <x v="188"/>
    <x v="3"/>
    <x v="0"/>
    <x v="0"/>
    <s v="Snap-A-Way Black Print Carbonless Ruled Speed Letter, Triplicate"/>
    <n v="113.82"/>
    <n v="3"/>
    <x v="2675"/>
    <x v="10"/>
    <x v="1"/>
  </r>
  <r>
    <n v="44892"/>
    <x v="469"/>
    <x v="2"/>
    <x v="2"/>
    <x v="6"/>
    <s v="LG Exalt"/>
    <n v="748.75"/>
    <n v="8"/>
    <x v="2676"/>
    <x v="10"/>
    <x v="1"/>
  </r>
  <r>
    <n v="44892"/>
    <x v="338"/>
    <x v="32"/>
    <x v="0"/>
    <x v="0"/>
    <s v="Xerox 1977"/>
    <n v="40.08"/>
    <n v="6"/>
    <x v="61"/>
    <x v="10"/>
    <x v="1"/>
  </r>
  <r>
    <n v="44892"/>
    <x v="338"/>
    <x v="32"/>
    <x v="0"/>
    <x v="0"/>
    <s v="Xerox 1884"/>
    <n v="59.94"/>
    <n v="3"/>
    <x v="2200"/>
    <x v="10"/>
    <x v="1"/>
  </r>
  <r>
    <n v="44892"/>
    <x v="338"/>
    <x v="32"/>
    <x v="2"/>
    <x v="9"/>
    <s v="Logitech G35 7.1-Channel Surround Sound Headset"/>
    <n v="259.98"/>
    <n v="2"/>
    <x v="2677"/>
    <x v="10"/>
    <x v="1"/>
  </r>
  <r>
    <n v="44892"/>
    <x v="338"/>
    <x v="32"/>
    <x v="1"/>
    <x v="11"/>
    <s v="Rush Hierlooms Collection 1&quot; Thick Stackable Bookcases"/>
    <n v="170.98"/>
    <n v="1"/>
    <x v="2678"/>
    <x v="10"/>
    <x v="1"/>
  </r>
  <r>
    <n v="44892"/>
    <x v="338"/>
    <x v="32"/>
    <x v="1"/>
    <x v="8"/>
    <s v="Tensor &quot;Hersey Kiss&quot; Styled Floor Lamp"/>
    <n v="38.97"/>
    <n v="3"/>
    <x v="658"/>
    <x v="10"/>
    <x v="1"/>
  </r>
  <r>
    <n v="44892"/>
    <x v="338"/>
    <x v="32"/>
    <x v="0"/>
    <x v="0"/>
    <s v="Xerox 197"/>
    <n v="154.9"/>
    <n v="5"/>
    <x v="820"/>
    <x v="10"/>
    <x v="1"/>
  </r>
  <r>
    <n v="44892"/>
    <x v="338"/>
    <x v="32"/>
    <x v="1"/>
    <x v="13"/>
    <s v="Hon Non-Folding Utility Tables"/>
    <n v="446.07"/>
    <n v="4"/>
    <x v="62"/>
    <x v="10"/>
    <x v="1"/>
  </r>
  <r>
    <n v="44893"/>
    <x v="696"/>
    <x v="1"/>
    <x v="1"/>
    <x v="8"/>
    <s v="Eldon 100 Class Desk Accessories"/>
    <n v="12.13"/>
    <n v="9"/>
    <x v="2679"/>
    <x v="10"/>
    <x v="1"/>
  </r>
  <r>
    <n v="44893"/>
    <x v="696"/>
    <x v="1"/>
    <x v="0"/>
    <x v="2"/>
    <s v="Belkin 19&quot; Vented Equipment Shelf, Black"/>
    <n v="82.37"/>
    <n v="2"/>
    <x v="2017"/>
    <x v="10"/>
    <x v="1"/>
  </r>
  <r>
    <n v="44893"/>
    <x v="696"/>
    <x v="1"/>
    <x v="0"/>
    <x v="2"/>
    <s v="Tenex Personal Project File with Scoop Front Design, Black"/>
    <n v="53.92"/>
    <n v="5"/>
    <x v="1129"/>
    <x v="10"/>
    <x v="1"/>
  </r>
  <r>
    <n v="44893"/>
    <x v="696"/>
    <x v="1"/>
    <x v="2"/>
    <x v="6"/>
    <s v="Logitech Mobile Speakerphone P710e -Â speaker phone"/>
    <n v="647.9"/>
    <n v="6"/>
    <x v="2680"/>
    <x v="10"/>
    <x v="1"/>
  </r>
  <r>
    <n v="44893"/>
    <x v="164"/>
    <x v="1"/>
    <x v="1"/>
    <x v="8"/>
    <s v="Eldon &quot;L&quot; Workstation Diamond Chairmat"/>
    <n v="151.96"/>
    <n v="5"/>
    <x v="2681"/>
    <x v="10"/>
    <x v="1"/>
  </r>
  <r>
    <n v="44893"/>
    <x v="717"/>
    <x v="20"/>
    <x v="1"/>
    <x v="8"/>
    <s v="Tenex Contemporary Contur Chairmats for Low and Medium Pile Carpet, Computer, 39&quot; x 49&quot;"/>
    <n v="322.58999999999997"/>
    <n v="3"/>
    <x v="2682"/>
    <x v="10"/>
    <x v="1"/>
  </r>
  <r>
    <n v="44893"/>
    <x v="231"/>
    <x v="20"/>
    <x v="1"/>
    <x v="8"/>
    <s v="Executive Impressions 14&quot; Two-Color Numerals Wall Clock"/>
    <n v="68.16"/>
    <n v="3"/>
    <x v="2683"/>
    <x v="10"/>
    <x v="1"/>
  </r>
  <r>
    <n v="44893"/>
    <x v="231"/>
    <x v="20"/>
    <x v="0"/>
    <x v="10"/>
    <s v="Staple envelope"/>
    <n v="62.24"/>
    <n v="8"/>
    <x v="2684"/>
    <x v="10"/>
    <x v="1"/>
  </r>
  <r>
    <n v="44893"/>
    <x v="438"/>
    <x v="0"/>
    <x v="0"/>
    <x v="0"/>
    <s v="Xerox 1941"/>
    <n v="335.52"/>
    <n v="4"/>
    <x v="601"/>
    <x v="10"/>
    <x v="1"/>
  </r>
  <r>
    <n v="44893"/>
    <x v="415"/>
    <x v="31"/>
    <x v="0"/>
    <x v="4"/>
    <s v="BIC Brite Liner Highlighters"/>
    <n v="8.2799999999999994"/>
    <n v="2"/>
    <x v="994"/>
    <x v="10"/>
    <x v="1"/>
  </r>
  <r>
    <n v="44893"/>
    <x v="63"/>
    <x v="3"/>
    <x v="0"/>
    <x v="12"/>
    <s v="Holmes Visible Mist Ultrasonic Humidifier with 2.3-Gallon Output per Day, Replacement Filter"/>
    <n v="45.28"/>
    <n v="4"/>
    <x v="2685"/>
    <x v="10"/>
    <x v="1"/>
  </r>
  <r>
    <n v="44893"/>
    <x v="632"/>
    <x v="10"/>
    <x v="1"/>
    <x v="8"/>
    <s v="Seth Thomas 13 1/2&quot; Wall Clock"/>
    <n v="71.12"/>
    <n v="5"/>
    <x v="2686"/>
    <x v="10"/>
    <x v="1"/>
  </r>
  <r>
    <n v="44893"/>
    <x v="632"/>
    <x v="10"/>
    <x v="0"/>
    <x v="7"/>
    <s v="Staples"/>
    <n v="3.01"/>
    <n v="2"/>
    <x v="1759"/>
    <x v="10"/>
    <x v="1"/>
  </r>
  <r>
    <n v="44894"/>
    <x v="472"/>
    <x v="14"/>
    <x v="1"/>
    <x v="5"/>
    <s v="Global Manager's Adjustable Task Chair, Storm"/>
    <n v="301.95999999999998"/>
    <n v="2"/>
    <x v="2687"/>
    <x v="10"/>
    <x v="1"/>
  </r>
  <r>
    <n v="44894"/>
    <x v="472"/>
    <x v="14"/>
    <x v="0"/>
    <x v="12"/>
    <s v="Honeywell Enviracaire Portable HEPA Air Cleaner for up to 10 x 16 Room"/>
    <n v="555.21"/>
    <n v="5"/>
    <x v="2688"/>
    <x v="10"/>
    <x v="1"/>
  </r>
  <r>
    <n v="44894"/>
    <x v="472"/>
    <x v="14"/>
    <x v="0"/>
    <x v="2"/>
    <s v="Mini 13-1/2 Capacity Data Binder Rack, Pearl"/>
    <n v="523.48"/>
    <n v="4"/>
    <x v="2689"/>
    <x v="10"/>
    <x v="1"/>
  </r>
  <r>
    <n v="44894"/>
    <x v="472"/>
    <x v="14"/>
    <x v="0"/>
    <x v="4"/>
    <s v="BOSTON Model 1800 Electric Pencil Sharpeners, Putty/Woodgrain"/>
    <n v="161.82"/>
    <n v="9"/>
    <x v="2690"/>
    <x v="10"/>
    <x v="1"/>
  </r>
  <r>
    <n v="44894"/>
    <x v="478"/>
    <x v="14"/>
    <x v="0"/>
    <x v="0"/>
    <s v="Easy-staple paper"/>
    <n v="19.920000000000002"/>
    <n v="4"/>
    <x v="155"/>
    <x v="10"/>
    <x v="1"/>
  </r>
  <r>
    <n v="44894"/>
    <x v="478"/>
    <x v="14"/>
    <x v="1"/>
    <x v="5"/>
    <s v="Global High-Back Leather Tilter, Burgundy"/>
    <n v="1106.9100000000001"/>
    <n v="9"/>
    <x v="2691"/>
    <x v="10"/>
    <x v="1"/>
  </r>
  <r>
    <n v="44894"/>
    <x v="630"/>
    <x v="0"/>
    <x v="2"/>
    <x v="9"/>
    <s v="Kingston Digital DataTraveler 16GB USB 2.0"/>
    <n v="21.48"/>
    <n v="3"/>
    <x v="2692"/>
    <x v="10"/>
    <x v="1"/>
  </r>
  <r>
    <n v="44894"/>
    <x v="630"/>
    <x v="0"/>
    <x v="0"/>
    <x v="3"/>
    <s v="GBC Imprintable Covers"/>
    <n v="8.7799999999999994"/>
    <n v="4"/>
    <x v="2693"/>
    <x v="10"/>
    <x v="1"/>
  </r>
  <r>
    <n v="44894"/>
    <x v="1"/>
    <x v="3"/>
    <x v="0"/>
    <x v="3"/>
    <s v="Acco PRESSTEX Data Binder with Storage Hooks, Dark Blue, 14 7/8&quot; X 11&quot;"/>
    <n v="4.3"/>
    <n v="1"/>
    <x v="1630"/>
    <x v="10"/>
    <x v="1"/>
  </r>
  <r>
    <n v="44894"/>
    <x v="89"/>
    <x v="3"/>
    <x v="0"/>
    <x v="4"/>
    <s v="Boston Electric Pencil Sharpener, Model 1818, Charcoal Black"/>
    <n v="56.3"/>
    <n v="2"/>
    <x v="2006"/>
    <x v="10"/>
    <x v="1"/>
  </r>
  <r>
    <n v="44895"/>
    <x v="494"/>
    <x v="2"/>
    <x v="0"/>
    <x v="3"/>
    <s v="Fellowes PB200 Plastic Comb Binding Machine"/>
    <n v="152.99"/>
    <n v="3"/>
    <x v="2694"/>
    <x v="10"/>
    <x v="1"/>
  </r>
  <r>
    <n v="44895"/>
    <x v="494"/>
    <x v="2"/>
    <x v="0"/>
    <x v="7"/>
    <s v="Revere Boxed Rubber Bands by Revere"/>
    <n v="10.58"/>
    <n v="7"/>
    <x v="2695"/>
    <x v="10"/>
    <x v="1"/>
  </r>
  <r>
    <n v="44895"/>
    <x v="494"/>
    <x v="2"/>
    <x v="2"/>
    <x v="6"/>
    <s v="Motorla HX550 Universal Bluetooth Headset"/>
    <n v="94.92"/>
    <n v="4"/>
    <x v="2696"/>
    <x v="10"/>
    <x v="1"/>
  </r>
  <r>
    <n v="44895"/>
    <x v="35"/>
    <x v="0"/>
    <x v="0"/>
    <x v="3"/>
    <s v="GBC Instant Report Kit"/>
    <n v="3.88"/>
    <n v="3"/>
    <x v="2697"/>
    <x v="10"/>
    <x v="1"/>
  </r>
  <r>
    <n v="44895"/>
    <x v="152"/>
    <x v="5"/>
    <x v="0"/>
    <x v="10"/>
    <s v="#10- 4 1/8&quot; x 9 1/2&quot; Recycled Envelopes"/>
    <n v="17.48"/>
    <n v="2"/>
    <x v="1576"/>
    <x v="10"/>
    <x v="1"/>
  </r>
  <r>
    <n v="44895"/>
    <x v="152"/>
    <x v="5"/>
    <x v="0"/>
    <x v="10"/>
    <s v="Tyvek  Top-Opening Peel &amp; Seel  Envelopes, Gray"/>
    <n v="71.88"/>
    <n v="2"/>
    <x v="2698"/>
    <x v="10"/>
    <x v="1"/>
  </r>
  <r>
    <n v="44895"/>
    <x v="195"/>
    <x v="25"/>
    <x v="2"/>
    <x v="6"/>
    <s v="Avaya 4621SW VoIP phone"/>
    <n v="177.48"/>
    <n v="3"/>
    <x v="613"/>
    <x v="10"/>
    <x v="1"/>
  </r>
  <r>
    <n v="44895"/>
    <x v="219"/>
    <x v="20"/>
    <x v="0"/>
    <x v="0"/>
    <s v="Avoid Verbal Orders Carbonless Minifold Book"/>
    <n v="23.66"/>
    <n v="7"/>
    <x v="1005"/>
    <x v="10"/>
    <x v="1"/>
  </r>
  <r>
    <n v="44895"/>
    <x v="219"/>
    <x v="20"/>
    <x v="1"/>
    <x v="11"/>
    <s v="Hon Metal Bookcases, Black"/>
    <n v="681.41"/>
    <n v="12"/>
    <x v="2699"/>
    <x v="10"/>
    <x v="1"/>
  </r>
  <r>
    <n v="44895"/>
    <x v="522"/>
    <x v="17"/>
    <x v="1"/>
    <x v="8"/>
    <s v="DAX Contemporary Wood Frame with Silver Metal Mat, Desktop, 11 x 14 Size"/>
    <n v="80.959999999999994"/>
    <n v="4"/>
    <x v="2233"/>
    <x v="10"/>
    <x v="1"/>
  </r>
  <r>
    <n v="44895"/>
    <x v="522"/>
    <x v="17"/>
    <x v="0"/>
    <x v="0"/>
    <s v="Xerox 1997"/>
    <n v="25.92"/>
    <n v="4"/>
    <x v="496"/>
    <x v="10"/>
    <x v="1"/>
  </r>
  <r>
    <n v="44895"/>
    <x v="518"/>
    <x v="25"/>
    <x v="1"/>
    <x v="8"/>
    <s v="Dana Swing-Arm Lamps"/>
    <n v="17.09"/>
    <n v="2"/>
    <x v="130"/>
    <x v="10"/>
    <x v="1"/>
  </r>
  <r>
    <n v="44895"/>
    <x v="336"/>
    <x v="25"/>
    <x v="0"/>
    <x v="3"/>
    <s v="Avery Durable Binders"/>
    <n v="6.05"/>
    <n v="7"/>
    <x v="2700"/>
    <x v="10"/>
    <x v="1"/>
  </r>
  <r>
    <n v="44895"/>
    <x v="336"/>
    <x v="25"/>
    <x v="0"/>
    <x v="12"/>
    <s v="Belkin 8 Outlet Surge Protector"/>
    <n v="98.35"/>
    <n v="3"/>
    <x v="745"/>
    <x v="10"/>
    <x v="1"/>
  </r>
  <r>
    <n v="44895"/>
    <x v="336"/>
    <x v="25"/>
    <x v="1"/>
    <x v="8"/>
    <s v="Luxo Professional Fluorescent Magnifier Lamp with Clamp-Mount Base"/>
    <n v="335.74"/>
    <n v="2"/>
    <x v="2666"/>
    <x v="10"/>
    <x v="1"/>
  </r>
  <r>
    <n v="44896"/>
    <x v="391"/>
    <x v="22"/>
    <x v="0"/>
    <x v="3"/>
    <s v="Wilson Jones Heavy-Duty Casebound Ring Binders with Metal Hinges"/>
    <n v="55.42"/>
    <n v="2"/>
    <x v="2701"/>
    <x v="11"/>
    <x v="1"/>
  </r>
  <r>
    <n v="44896"/>
    <x v="685"/>
    <x v="0"/>
    <x v="1"/>
    <x v="8"/>
    <s v="Eldon Image Series Desk Accessories, Burgundy"/>
    <n v="6.69"/>
    <n v="4"/>
    <x v="2702"/>
    <x v="11"/>
    <x v="1"/>
  </r>
  <r>
    <n v="44896"/>
    <x v="165"/>
    <x v="22"/>
    <x v="0"/>
    <x v="4"/>
    <s v="Prang Drawing Pencil Set"/>
    <n v="13.9"/>
    <n v="5"/>
    <x v="2703"/>
    <x v="11"/>
    <x v="1"/>
  </r>
  <r>
    <n v="44896"/>
    <x v="435"/>
    <x v="6"/>
    <x v="0"/>
    <x v="2"/>
    <s v="Decoflex Hanging Personal Folder File, Blue"/>
    <n v="61.68"/>
    <n v="4"/>
    <x v="2599"/>
    <x v="11"/>
    <x v="1"/>
  </r>
  <r>
    <n v="44896"/>
    <x v="435"/>
    <x v="6"/>
    <x v="0"/>
    <x v="3"/>
    <s v="GBC Pre-Punched Binding Paper, Plastic, White, 8-1/2&quot; x 11&quot;"/>
    <n v="63.96"/>
    <n v="4"/>
    <x v="2704"/>
    <x v="11"/>
    <x v="1"/>
  </r>
  <r>
    <n v="44896"/>
    <x v="581"/>
    <x v="22"/>
    <x v="1"/>
    <x v="5"/>
    <s v="Global Troy Executive Leather Low-Back Tilter"/>
    <n v="2003.92"/>
    <n v="5"/>
    <x v="2705"/>
    <x v="11"/>
    <x v="1"/>
  </r>
  <r>
    <n v="44896"/>
    <x v="581"/>
    <x v="22"/>
    <x v="0"/>
    <x v="0"/>
    <s v="Xerox 219"/>
    <n v="32.4"/>
    <n v="5"/>
    <x v="327"/>
    <x v="11"/>
    <x v="1"/>
  </r>
  <r>
    <n v="44896"/>
    <x v="581"/>
    <x v="22"/>
    <x v="1"/>
    <x v="13"/>
    <s v="Bush Advantage Collection Round Conference Table"/>
    <n v="1913.4"/>
    <n v="9"/>
    <x v="2706"/>
    <x v="11"/>
    <x v="1"/>
  </r>
  <r>
    <n v="44896"/>
    <x v="581"/>
    <x v="22"/>
    <x v="0"/>
    <x v="2"/>
    <s v="Tennsco Industrial Shelving"/>
    <n v="146.72999999999999"/>
    <n v="3"/>
    <x v="1461"/>
    <x v="11"/>
    <x v="1"/>
  </r>
  <r>
    <n v="44896"/>
    <x v="581"/>
    <x v="22"/>
    <x v="0"/>
    <x v="0"/>
    <s v="Xerox Color Copier Paper, 11&quot; x 17&quot;, Ream"/>
    <n v="114.2"/>
    <n v="5"/>
    <x v="799"/>
    <x v="11"/>
    <x v="1"/>
  </r>
  <r>
    <n v="44896"/>
    <x v="607"/>
    <x v="3"/>
    <x v="1"/>
    <x v="5"/>
    <s v="GuestStacker Chair with Chrome Finish Legs"/>
    <n v="2676.67"/>
    <n v="9"/>
    <x v="2707"/>
    <x v="11"/>
    <x v="1"/>
  </r>
  <r>
    <n v="44896"/>
    <x v="338"/>
    <x v="14"/>
    <x v="0"/>
    <x v="0"/>
    <s v="Xerox 207"/>
    <n v="19.440000000000001"/>
    <n v="3"/>
    <x v="5"/>
    <x v="11"/>
    <x v="1"/>
  </r>
  <r>
    <n v="44896"/>
    <x v="338"/>
    <x v="14"/>
    <x v="0"/>
    <x v="4"/>
    <s v="Newell 307"/>
    <n v="3.64"/>
    <n v="2"/>
    <x v="2708"/>
    <x v="11"/>
    <x v="1"/>
  </r>
  <r>
    <n v="44896"/>
    <x v="338"/>
    <x v="14"/>
    <x v="0"/>
    <x v="0"/>
    <s v="Wirebound Message Books, Four 2 3/4&quot; x 5&quot; Forms per Page, 600 Sets per Book"/>
    <n v="18.54"/>
    <n v="2"/>
    <x v="2341"/>
    <x v="11"/>
    <x v="1"/>
  </r>
  <r>
    <n v="44898"/>
    <x v="78"/>
    <x v="2"/>
    <x v="2"/>
    <x v="15"/>
    <s v="Lexmark MarkNet N8150 Wireless Print Server"/>
    <n v="482.34"/>
    <n v="4"/>
    <x v="2709"/>
    <x v="11"/>
    <x v="1"/>
  </r>
  <r>
    <n v="44898"/>
    <x v="78"/>
    <x v="2"/>
    <x v="1"/>
    <x v="8"/>
    <s v="3M Hangers With Command Adhesive"/>
    <n v="2.96"/>
    <n v="1"/>
    <x v="2710"/>
    <x v="11"/>
    <x v="1"/>
  </r>
  <r>
    <n v="44898"/>
    <x v="114"/>
    <x v="20"/>
    <x v="0"/>
    <x v="3"/>
    <s v="Cardinal Poly Pocket Divider Pockets for Ring Binders"/>
    <n v="10.75"/>
    <n v="4"/>
    <x v="1220"/>
    <x v="11"/>
    <x v="1"/>
  </r>
  <r>
    <n v="44898"/>
    <x v="314"/>
    <x v="2"/>
    <x v="0"/>
    <x v="0"/>
    <s v="Message Book, Wirebound, Four 5 1/2&quot; X 4&quot; Forms/Pg., 200 Dupl. Sets/Book"/>
    <n v="16.45"/>
    <n v="2"/>
    <x v="0"/>
    <x v="11"/>
    <x v="1"/>
  </r>
  <r>
    <n v="44898"/>
    <x v="314"/>
    <x v="2"/>
    <x v="2"/>
    <x v="9"/>
    <s v="Verbatim 25 GB 6x Blu-ray Single Layer Recordable Disc, 25/Pack"/>
    <n v="36.78"/>
    <n v="2"/>
    <x v="2711"/>
    <x v="11"/>
    <x v="1"/>
  </r>
  <r>
    <n v="44898"/>
    <x v="544"/>
    <x v="20"/>
    <x v="0"/>
    <x v="3"/>
    <s v="GBC Therma-A-Bind 250T Electric Binding System"/>
    <n v="590.35"/>
    <n v="6"/>
    <x v="2712"/>
    <x v="11"/>
    <x v="1"/>
  </r>
  <r>
    <n v="44898"/>
    <x v="517"/>
    <x v="3"/>
    <x v="1"/>
    <x v="11"/>
    <s v="Sauder Forest Hills Library, Woodland Oak Finish"/>
    <n v="359.5"/>
    <n v="3"/>
    <x v="2713"/>
    <x v="11"/>
    <x v="1"/>
  </r>
  <r>
    <n v="44898"/>
    <x v="419"/>
    <x v="25"/>
    <x v="1"/>
    <x v="8"/>
    <s v="Seth Thomas 16&quot; Steel Case Clock"/>
    <n v="77.95"/>
    <n v="3"/>
    <x v="2714"/>
    <x v="11"/>
    <x v="1"/>
  </r>
  <r>
    <n v="44898"/>
    <x v="419"/>
    <x v="25"/>
    <x v="0"/>
    <x v="3"/>
    <s v="GBC DocuBind P50 Personal Binding Machine"/>
    <n v="95.97"/>
    <n v="5"/>
    <x v="2715"/>
    <x v="11"/>
    <x v="1"/>
  </r>
  <r>
    <n v="44898"/>
    <x v="419"/>
    <x v="25"/>
    <x v="2"/>
    <x v="6"/>
    <s v="Panasonic KX-TG6844B Expandable Digital Cordless Telephone"/>
    <n v="105.58"/>
    <n v="2"/>
    <x v="321"/>
    <x v="11"/>
    <x v="1"/>
  </r>
  <r>
    <n v="44898"/>
    <x v="419"/>
    <x v="25"/>
    <x v="0"/>
    <x v="4"/>
    <s v="Newell 312"/>
    <n v="9.34"/>
    <n v="2"/>
    <x v="16"/>
    <x v="11"/>
    <x v="1"/>
  </r>
  <r>
    <n v="44898"/>
    <x v="187"/>
    <x v="38"/>
    <x v="0"/>
    <x v="0"/>
    <s v="Xerox 1935"/>
    <n v="184.66"/>
    <n v="7"/>
    <x v="2716"/>
    <x v="11"/>
    <x v="1"/>
  </r>
  <r>
    <n v="44899"/>
    <x v="718"/>
    <x v="16"/>
    <x v="0"/>
    <x v="3"/>
    <s v="SpineVue Locking Slant-D Ring Binders by Cardinal"/>
    <n v="8.23"/>
    <n v="3"/>
    <x v="587"/>
    <x v="11"/>
    <x v="1"/>
  </r>
  <r>
    <n v="44899"/>
    <x v="703"/>
    <x v="20"/>
    <x v="1"/>
    <x v="8"/>
    <s v="DAX Two-Tone Rosewood/Black Document Frame, Desktop, 5 x 7"/>
    <n v="28.44"/>
    <n v="3"/>
    <x v="2717"/>
    <x v="11"/>
    <x v="1"/>
  </r>
  <r>
    <n v="44899"/>
    <x v="703"/>
    <x v="20"/>
    <x v="1"/>
    <x v="5"/>
    <s v="Office Star - Ergonomically Designed Knee Chair"/>
    <n v="364.41"/>
    <n v="5"/>
    <x v="2718"/>
    <x v="11"/>
    <x v="1"/>
  </r>
  <r>
    <n v="44899"/>
    <x v="703"/>
    <x v="20"/>
    <x v="2"/>
    <x v="6"/>
    <s v="Square Credit Card Reader"/>
    <n v="39.96"/>
    <n v="4"/>
    <x v="1156"/>
    <x v="11"/>
    <x v="1"/>
  </r>
  <r>
    <n v="44899"/>
    <x v="703"/>
    <x v="20"/>
    <x v="1"/>
    <x v="5"/>
    <s v="Global Leather Highback Executive Chair with Pneumatic Height Adjustment, Black"/>
    <n v="361.76"/>
    <n v="2"/>
    <x v="2719"/>
    <x v="11"/>
    <x v="1"/>
  </r>
  <r>
    <n v="44899"/>
    <x v="389"/>
    <x v="20"/>
    <x v="0"/>
    <x v="10"/>
    <s v="Wausau Papers Astrobrights Colored Envelopes"/>
    <n v="17.940000000000001"/>
    <n v="3"/>
    <x v="450"/>
    <x v="11"/>
    <x v="1"/>
  </r>
  <r>
    <n v="44899"/>
    <x v="389"/>
    <x v="20"/>
    <x v="1"/>
    <x v="5"/>
    <s v="Global Armless Task Chair, Royal Blue"/>
    <n v="384.17"/>
    <n v="7"/>
    <x v="2720"/>
    <x v="11"/>
    <x v="1"/>
  </r>
  <r>
    <n v="44899"/>
    <x v="389"/>
    <x v="20"/>
    <x v="2"/>
    <x v="6"/>
    <s v="Wilson SignalBoost 841262 DB PRO Amplifier Kit"/>
    <n v="1799.75"/>
    <n v="5"/>
    <x v="2721"/>
    <x v="11"/>
    <x v="1"/>
  </r>
  <r>
    <n v="44899"/>
    <x v="279"/>
    <x v="24"/>
    <x v="0"/>
    <x v="0"/>
    <s v="Xerox 1881"/>
    <n v="85.96"/>
    <n v="7"/>
    <x v="1397"/>
    <x v="11"/>
    <x v="1"/>
  </r>
  <r>
    <n v="44899"/>
    <x v="644"/>
    <x v="15"/>
    <x v="0"/>
    <x v="3"/>
    <s v="GBC Ibimaster 500 Manual ProClick Binding System"/>
    <n v="1598.06"/>
    <n v="7"/>
    <x v="2722"/>
    <x v="11"/>
    <x v="1"/>
  </r>
  <r>
    <n v="44899"/>
    <x v="644"/>
    <x v="15"/>
    <x v="0"/>
    <x v="4"/>
    <s v="Deluxe Chalkboard Eraser Cleaner"/>
    <n v="36.96"/>
    <n v="4"/>
    <x v="2723"/>
    <x v="11"/>
    <x v="1"/>
  </r>
  <r>
    <n v="44899"/>
    <x v="312"/>
    <x v="3"/>
    <x v="0"/>
    <x v="10"/>
    <s v="Tyvek Side-Opening Peel &amp; Seel Expanding Envelopes"/>
    <n v="271.44"/>
    <n v="3"/>
    <x v="2724"/>
    <x v="11"/>
    <x v="1"/>
  </r>
  <r>
    <n v="44899"/>
    <x v="312"/>
    <x v="3"/>
    <x v="2"/>
    <x v="6"/>
    <s v="Jensen SMPS-640 -Â speaker phone"/>
    <n v="110.35"/>
    <n v="3"/>
    <x v="1187"/>
    <x v="11"/>
    <x v="1"/>
  </r>
  <r>
    <n v="44899"/>
    <x v="312"/>
    <x v="3"/>
    <x v="1"/>
    <x v="8"/>
    <s v="Master Caster Door Stop, Large Brown"/>
    <n v="36.4"/>
    <n v="5"/>
    <x v="2725"/>
    <x v="11"/>
    <x v="1"/>
  </r>
  <r>
    <n v="44899"/>
    <x v="501"/>
    <x v="3"/>
    <x v="0"/>
    <x v="4"/>
    <s v="Avery Hi-Liter Fluorescent Desk Style Markers"/>
    <n v="16.899999999999999"/>
    <n v="5"/>
    <x v="795"/>
    <x v="11"/>
    <x v="1"/>
  </r>
  <r>
    <n v="44899"/>
    <x v="501"/>
    <x v="3"/>
    <x v="1"/>
    <x v="8"/>
    <s v="Eldon Image Series Desk Accessories, Burgundy"/>
    <n v="25.08"/>
    <n v="6"/>
    <x v="2726"/>
    <x v="11"/>
    <x v="1"/>
  </r>
  <r>
    <n v="44900"/>
    <x v="719"/>
    <x v="3"/>
    <x v="1"/>
    <x v="8"/>
    <s v="Executive Impressions 14&quot; Contract Wall Clock"/>
    <n v="44.46"/>
    <n v="2"/>
    <x v="1489"/>
    <x v="11"/>
    <x v="1"/>
  </r>
  <r>
    <n v="44900"/>
    <x v="308"/>
    <x v="2"/>
    <x v="2"/>
    <x v="9"/>
    <s v="Belkin F8E887 USB Wired Ergonomic Keyboard"/>
    <n v="47.98"/>
    <n v="2"/>
    <x v="537"/>
    <x v="11"/>
    <x v="1"/>
  </r>
  <r>
    <n v="44900"/>
    <x v="308"/>
    <x v="2"/>
    <x v="0"/>
    <x v="3"/>
    <s v="GBC White Gloss Covers, Plain Front"/>
    <n v="26.06"/>
    <n v="6"/>
    <x v="2727"/>
    <x v="11"/>
    <x v="1"/>
  </r>
  <r>
    <n v="44900"/>
    <x v="720"/>
    <x v="14"/>
    <x v="0"/>
    <x v="3"/>
    <s v="Surelock Post Binders"/>
    <n v="152.80000000000001"/>
    <n v="5"/>
    <x v="2728"/>
    <x v="11"/>
    <x v="1"/>
  </r>
  <r>
    <n v="44900"/>
    <x v="394"/>
    <x v="0"/>
    <x v="0"/>
    <x v="4"/>
    <s v="Boston Electric Pencil Sharpener, Model 1818, Charcoal Black"/>
    <n v="45.04"/>
    <n v="2"/>
    <x v="704"/>
    <x v="11"/>
    <x v="1"/>
  </r>
  <r>
    <n v="44900"/>
    <x v="449"/>
    <x v="20"/>
    <x v="0"/>
    <x v="3"/>
    <s v="Avery Arch Ring Binders"/>
    <n v="232.4"/>
    <n v="5"/>
    <x v="2729"/>
    <x v="11"/>
    <x v="1"/>
  </r>
  <r>
    <n v="44900"/>
    <x v="449"/>
    <x v="20"/>
    <x v="1"/>
    <x v="5"/>
    <s v="Global Armless Task Chair, Royal Blue"/>
    <n v="164.65"/>
    <n v="3"/>
    <x v="2730"/>
    <x v="11"/>
    <x v="1"/>
  </r>
  <r>
    <n v="44900"/>
    <x v="449"/>
    <x v="20"/>
    <x v="0"/>
    <x v="0"/>
    <s v="Xerox 188"/>
    <n v="22.68"/>
    <n v="2"/>
    <x v="2731"/>
    <x v="11"/>
    <x v="1"/>
  </r>
  <r>
    <n v="44900"/>
    <x v="169"/>
    <x v="3"/>
    <x v="2"/>
    <x v="9"/>
    <s v="Memorex Micro Travel Drive 8 GB"/>
    <n v="39"/>
    <n v="3"/>
    <x v="1622"/>
    <x v="11"/>
    <x v="1"/>
  </r>
  <r>
    <n v="44900"/>
    <x v="169"/>
    <x v="3"/>
    <x v="0"/>
    <x v="1"/>
    <s v="Avery 488"/>
    <n v="12.6"/>
    <n v="4"/>
    <x v="1587"/>
    <x v="11"/>
    <x v="1"/>
  </r>
  <r>
    <n v="44900"/>
    <x v="390"/>
    <x v="15"/>
    <x v="1"/>
    <x v="5"/>
    <s v="Global Push Button Manager's Chair, Indigo"/>
    <n v="97.42"/>
    <n v="2"/>
    <x v="1301"/>
    <x v="11"/>
    <x v="1"/>
  </r>
  <r>
    <n v="44900"/>
    <x v="560"/>
    <x v="1"/>
    <x v="0"/>
    <x v="10"/>
    <s v="Security-Tint Envelopes"/>
    <n v="12.22"/>
    <n v="2"/>
    <x v="97"/>
    <x v="11"/>
    <x v="1"/>
  </r>
  <r>
    <n v="44901"/>
    <x v="201"/>
    <x v="3"/>
    <x v="0"/>
    <x v="4"/>
    <s v="Stanley Contemporary Battery Pencil Sharpeners"/>
    <n v="120.15"/>
    <n v="9"/>
    <x v="149"/>
    <x v="11"/>
    <x v="1"/>
  </r>
  <r>
    <n v="44901"/>
    <x v="201"/>
    <x v="3"/>
    <x v="2"/>
    <x v="6"/>
    <s v="AT&amp;T 1080 Corded phone"/>
    <n v="219.18"/>
    <n v="2"/>
    <x v="412"/>
    <x v="11"/>
    <x v="1"/>
  </r>
  <r>
    <n v="44901"/>
    <x v="682"/>
    <x v="0"/>
    <x v="0"/>
    <x v="3"/>
    <s v="Avery Reinforcements for Hole-Punch Pages"/>
    <n v="2.77"/>
    <n v="7"/>
    <x v="915"/>
    <x v="11"/>
    <x v="1"/>
  </r>
  <r>
    <n v="44901"/>
    <x v="258"/>
    <x v="12"/>
    <x v="1"/>
    <x v="8"/>
    <s v="Howard Miller 13&quot; Diameter Pewter Finish Round Wall Clock"/>
    <n v="206.11"/>
    <n v="6"/>
    <x v="2732"/>
    <x v="11"/>
    <x v="1"/>
  </r>
  <r>
    <n v="44901"/>
    <x v="258"/>
    <x v="12"/>
    <x v="0"/>
    <x v="0"/>
    <s v="Xerox 1970"/>
    <n v="19.920000000000002"/>
    <n v="5"/>
    <x v="1690"/>
    <x v="11"/>
    <x v="1"/>
  </r>
  <r>
    <n v="44901"/>
    <x v="258"/>
    <x v="12"/>
    <x v="0"/>
    <x v="0"/>
    <s v="Xerox 1960"/>
    <n v="198.27"/>
    <n v="8"/>
    <x v="2733"/>
    <x v="11"/>
    <x v="1"/>
  </r>
  <r>
    <n v="44901"/>
    <x v="258"/>
    <x v="12"/>
    <x v="0"/>
    <x v="2"/>
    <s v="Belkin 19&quot; Vented Equipment Shelf, Black"/>
    <n v="247.1"/>
    <n v="6"/>
    <x v="2734"/>
    <x v="11"/>
    <x v="1"/>
  </r>
  <r>
    <n v="44901"/>
    <x v="258"/>
    <x v="12"/>
    <x v="0"/>
    <x v="4"/>
    <s v="BOSTON Model 1800 Electric Pencil Sharpeners, Putty/Woodgrain"/>
    <n v="86.3"/>
    <n v="6"/>
    <x v="2320"/>
    <x v="11"/>
    <x v="1"/>
  </r>
  <r>
    <n v="44901"/>
    <x v="380"/>
    <x v="10"/>
    <x v="2"/>
    <x v="6"/>
    <s v="Polycom SoundStation2 EX ConferenceÂ phone"/>
    <n v="485.94"/>
    <n v="2"/>
    <x v="2735"/>
    <x v="11"/>
    <x v="1"/>
  </r>
  <r>
    <n v="44901"/>
    <x v="380"/>
    <x v="10"/>
    <x v="0"/>
    <x v="4"/>
    <s v="Newell 312"/>
    <n v="37.380000000000003"/>
    <n v="8"/>
    <x v="1444"/>
    <x v="11"/>
    <x v="1"/>
  </r>
  <r>
    <n v="44901"/>
    <x v="380"/>
    <x v="10"/>
    <x v="1"/>
    <x v="5"/>
    <s v="Global Low Back Tilter Chair"/>
    <n v="70.69"/>
    <n v="1"/>
    <x v="2736"/>
    <x v="11"/>
    <x v="1"/>
  </r>
  <r>
    <n v="44901"/>
    <x v="307"/>
    <x v="3"/>
    <x v="0"/>
    <x v="0"/>
    <s v="Message Book, Phone, Wirebound Standard Line Memo, 2 3/4&quot; X 5&quot;"/>
    <n v="32.75"/>
    <n v="5"/>
    <x v="1270"/>
    <x v="11"/>
    <x v="1"/>
  </r>
  <r>
    <n v="44901"/>
    <x v="25"/>
    <x v="20"/>
    <x v="0"/>
    <x v="0"/>
    <s v="Xerox 219"/>
    <n v="6.48"/>
    <n v="1"/>
    <x v="1006"/>
    <x v="11"/>
    <x v="1"/>
  </r>
  <r>
    <n v="44901"/>
    <x v="25"/>
    <x v="20"/>
    <x v="0"/>
    <x v="0"/>
    <s v="Xerox 1903"/>
    <n v="41.86"/>
    <n v="7"/>
    <x v="2737"/>
    <x v="11"/>
    <x v="1"/>
  </r>
  <r>
    <n v="44901"/>
    <x v="25"/>
    <x v="20"/>
    <x v="2"/>
    <x v="9"/>
    <s v="LogitechÂ VX Revolution Cordless Laser Mouse for Notebooks (Black)"/>
    <n v="1619.91"/>
    <n v="9"/>
    <x v="337"/>
    <x v="11"/>
    <x v="1"/>
  </r>
  <r>
    <n v="44901"/>
    <x v="25"/>
    <x v="20"/>
    <x v="1"/>
    <x v="8"/>
    <s v="Seth Thomas 14&quot; Day/Date Wall Clock"/>
    <n v="113.92"/>
    <n v="4"/>
    <x v="2738"/>
    <x v="11"/>
    <x v="1"/>
  </r>
  <r>
    <n v="44901"/>
    <x v="70"/>
    <x v="18"/>
    <x v="2"/>
    <x v="16"/>
    <s v="Hewlett Packard 610 Color Digital Copier / Printer"/>
    <n v="999.98"/>
    <n v="2"/>
    <x v="2739"/>
    <x v="11"/>
    <x v="1"/>
  </r>
  <r>
    <n v="44901"/>
    <x v="325"/>
    <x v="17"/>
    <x v="0"/>
    <x v="0"/>
    <s v="Xerox 20"/>
    <n v="6.48"/>
    <n v="1"/>
    <x v="1006"/>
    <x v="11"/>
    <x v="1"/>
  </r>
  <r>
    <n v="44901"/>
    <x v="325"/>
    <x v="17"/>
    <x v="0"/>
    <x v="2"/>
    <s v="Tennsco 6- and 18-Compartment Lockers"/>
    <n v="1325.85"/>
    <n v="5"/>
    <x v="27"/>
    <x v="11"/>
    <x v="1"/>
  </r>
  <r>
    <n v="44901"/>
    <x v="325"/>
    <x v="17"/>
    <x v="0"/>
    <x v="1"/>
    <s v="Avery 483"/>
    <n v="14.94"/>
    <n v="3"/>
    <x v="96"/>
    <x v="11"/>
    <x v="1"/>
  </r>
  <r>
    <n v="44901"/>
    <x v="721"/>
    <x v="3"/>
    <x v="0"/>
    <x v="12"/>
    <s v="Commercial WindTunnel Clean Air Upright Vacuum, Replacement Belts, Filtration Bags"/>
    <n v="7.78"/>
    <n v="2"/>
    <x v="1275"/>
    <x v="11"/>
    <x v="1"/>
  </r>
  <r>
    <n v="44901"/>
    <x v="644"/>
    <x v="6"/>
    <x v="2"/>
    <x v="6"/>
    <s v="AT&amp;T CL82213"/>
    <n v="173.94"/>
    <n v="6"/>
    <x v="2740"/>
    <x v="11"/>
    <x v="1"/>
  </r>
  <r>
    <n v="44901"/>
    <x v="109"/>
    <x v="10"/>
    <x v="0"/>
    <x v="3"/>
    <s v="Ibico Standard Transparent Covers"/>
    <n v="14.83"/>
    <n v="3"/>
    <x v="2741"/>
    <x v="11"/>
    <x v="1"/>
  </r>
  <r>
    <n v="44901"/>
    <x v="639"/>
    <x v="3"/>
    <x v="0"/>
    <x v="0"/>
    <s v="Spiral Phone Message Books with Labels by Adams"/>
    <n v="8.9600000000000009"/>
    <n v="2"/>
    <x v="652"/>
    <x v="11"/>
    <x v="1"/>
  </r>
  <r>
    <n v="44902"/>
    <x v="536"/>
    <x v="5"/>
    <x v="0"/>
    <x v="12"/>
    <s v="Eureka The Boss Cordless Rechargeable Stick Vac"/>
    <n v="152.94"/>
    <n v="3"/>
    <x v="2742"/>
    <x v="11"/>
    <x v="1"/>
  </r>
  <r>
    <n v="44902"/>
    <x v="536"/>
    <x v="5"/>
    <x v="1"/>
    <x v="5"/>
    <s v="Situations Contoured Folding Chairs, 4/Set"/>
    <n v="283.92"/>
    <n v="4"/>
    <x v="2743"/>
    <x v="11"/>
    <x v="1"/>
  </r>
  <r>
    <n v="44902"/>
    <x v="467"/>
    <x v="22"/>
    <x v="0"/>
    <x v="7"/>
    <s v="Alliance Big Bands Rubber Bands, 12/Pack"/>
    <n v="3.96"/>
    <n v="2"/>
    <x v="62"/>
    <x v="11"/>
    <x v="1"/>
  </r>
  <r>
    <n v="44902"/>
    <x v="467"/>
    <x v="22"/>
    <x v="0"/>
    <x v="1"/>
    <s v="Avery 509"/>
    <n v="2.61"/>
    <n v="1"/>
    <x v="217"/>
    <x v="11"/>
    <x v="1"/>
  </r>
  <r>
    <n v="44902"/>
    <x v="7"/>
    <x v="3"/>
    <x v="1"/>
    <x v="8"/>
    <s v="12-1/2 Diameter Round Wall Clock"/>
    <n v="79.92"/>
    <n v="4"/>
    <x v="1589"/>
    <x v="11"/>
    <x v="1"/>
  </r>
  <r>
    <n v="44902"/>
    <x v="545"/>
    <x v="20"/>
    <x v="0"/>
    <x v="3"/>
    <s v="Pressboard Data Binders by Wilson Jones"/>
    <n v="21.36"/>
    <n v="5"/>
    <x v="106"/>
    <x v="11"/>
    <x v="1"/>
  </r>
  <r>
    <n v="44902"/>
    <x v="545"/>
    <x v="20"/>
    <x v="0"/>
    <x v="3"/>
    <s v="Avery Durable Slant Ring Binders With Label Holder"/>
    <n v="6.69"/>
    <n v="2"/>
    <x v="115"/>
    <x v="11"/>
    <x v="1"/>
  </r>
  <r>
    <n v="44902"/>
    <x v="545"/>
    <x v="20"/>
    <x v="2"/>
    <x v="6"/>
    <s v="Digium D40 VoIP phone"/>
    <n v="773.94"/>
    <n v="6"/>
    <x v="2744"/>
    <x v="11"/>
    <x v="1"/>
  </r>
  <r>
    <n v="44902"/>
    <x v="94"/>
    <x v="3"/>
    <x v="0"/>
    <x v="0"/>
    <s v="Xerox 218"/>
    <n v="12.96"/>
    <n v="2"/>
    <x v="113"/>
    <x v="11"/>
    <x v="1"/>
  </r>
  <r>
    <n v="44903"/>
    <x v="722"/>
    <x v="0"/>
    <x v="0"/>
    <x v="0"/>
    <s v="Xerox 1945"/>
    <n v="360.71"/>
    <n v="11"/>
    <x v="2745"/>
    <x v="11"/>
    <x v="1"/>
  </r>
  <r>
    <n v="44903"/>
    <x v="722"/>
    <x v="0"/>
    <x v="2"/>
    <x v="6"/>
    <s v="Wilson Electronics DB Pro Signal Booster"/>
    <n v="1718.4"/>
    <n v="6"/>
    <x v="2746"/>
    <x v="11"/>
    <x v="1"/>
  </r>
  <r>
    <n v="44903"/>
    <x v="701"/>
    <x v="0"/>
    <x v="2"/>
    <x v="6"/>
    <s v="Nokia Lumia 521 (T-Mobile)"/>
    <n v="119.96"/>
    <n v="5"/>
    <x v="1471"/>
    <x v="11"/>
    <x v="1"/>
  </r>
  <r>
    <n v="44903"/>
    <x v="598"/>
    <x v="3"/>
    <x v="0"/>
    <x v="2"/>
    <s v="Stur-D-Stor Shelving, Vertical 5-Shelf: 72&quot;H x 36&quot;W x 18 1/2&quot;D"/>
    <n v="221.96"/>
    <n v="2"/>
    <x v="823"/>
    <x v="11"/>
    <x v="1"/>
  </r>
  <r>
    <n v="44903"/>
    <x v="598"/>
    <x v="3"/>
    <x v="2"/>
    <x v="9"/>
    <s v="WD My Passport Ultra 500GB Portable External Hard Drive"/>
    <n v="236"/>
    <n v="4"/>
    <x v="2747"/>
    <x v="11"/>
    <x v="1"/>
  </r>
  <r>
    <n v="44903"/>
    <x v="418"/>
    <x v="26"/>
    <x v="0"/>
    <x v="0"/>
    <s v="Southworth Parchment Paper &amp; Envelopes"/>
    <n v="15.7"/>
    <n v="3"/>
    <x v="1194"/>
    <x v="11"/>
    <x v="1"/>
  </r>
  <r>
    <n v="44904"/>
    <x v="590"/>
    <x v="18"/>
    <x v="0"/>
    <x v="0"/>
    <s v="Xerox 188"/>
    <n v="34.020000000000003"/>
    <n v="3"/>
    <x v="2748"/>
    <x v="11"/>
    <x v="1"/>
  </r>
  <r>
    <n v="44905"/>
    <x v="435"/>
    <x v="14"/>
    <x v="0"/>
    <x v="4"/>
    <s v="Avery Hi-Liter Comfort Grip Fluorescent Highlighter, Yellow Ink"/>
    <n v="3.9"/>
    <n v="2"/>
    <x v="1257"/>
    <x v="11"/>
    <x v="1"/>
  </r>
  <r>
    <n v="44905"/>
    <x v="435"/>
    <x v="14"/>
    <x v="1"/>
    <x v="13"/>
    <s v="Bretford CR8500 Series Meeting Room Furniture"/>
    <n v="801.96"/>
    <n v="2"/>
    <x v="2313"/>
    <x v="11"/>
    <x v="1"/>
  </r>
  <r>
    <n v="44905"/>
    <x v="435"/>
    <x v="14"/>
    <x v="1"/>
    <x v="5"/>
    <s v="Global Super Steno Chair"/>
    <n v="191.96"/>
    <n v="2"/>
    <x v="2749"/>
    <x v="11"/>
    <x v="1"/>
  </r>
  <r>
    <n v="44905"/>
    <x v="435"/>
    <x v="14"/>
    <x v="0"/>
    <x v="1"/>
    <s v="Permanent Self-Adhesive File Folder Labels for Typewriters by Universal"/>
    <n v="2.61"/>
    <n v="1"/>
    <x v="217"/>
    <x v="11"/>
    <x v="1"/>
  </r>
  <r>
    <n v="44905"/>
    <x v="580"/>
    <x v="4"/>
    <x v="0"/>
    <x v="4"/>
    <s v="Staples in misc. colors"/>
    <n v="1.78"/>
    <n v="1"/>
    <x v="1538"/>
    <x v="11"/>
    <x v="1"/>
  </r>
  <r>
    <n v="44905"/>
    <x v="580"/>
    <x v="4"/>
    <x v="0"/>
    <x v="0"/>
    <s v="Xerox 201"/>
    <n v="25.92"/>
    <n v="4"/>
    <x v="496"/>
    <x v="11"/>
    <x v="1"/>
  </r>
  <r>
    <n v="44905"/>
    <x v="580"/>
    <x v="4"/>
    <x v="2"/>
    <x v="9"/>
    <s v="Memorex 25GB 6X Branded Blu-Ray Recordable Disc, 15/Pack"/>
    <n v="101.94"/>
    <n v="6"/>
    <x v="2750"/>
    <x v="11"/>
    <x v="1"/>
  </r>
  <r>
    <n v="44905"/>
    <x v="338"/>
    <x v="20"/>
    <x v="0"/>
    <x v="1"/>
    <s v="Avery 486"/>
    <n v="7.31"/>
    <n v="1"/>
    <x v="951"/>
    <x v="11"/>
    <x v="1"/>
  </r>
  <r>
    <n v="44905"/>
    <x v="338"/>
    <x v="20"/>
    <x v="2"/>
    <x v="16"/>
    <s v="Hewlett Packard 610 Color Digital Copier / Printer"/>
    <n v="799.98"/>
    <n v="2"/>
    <x v="2751"/>
    <x v="11"/>
    <x v="1"/>
  </r>
  <r>
    <n v="44905"/>
    <x v="338"/>
    <x v="20"/>
    <x v="0"/>
    <x v="0"/>
    <s v="Adams Phone Message Book, 200 Message Capacity, 8 1/16Â” x 11Â”"/>
    <n v="41.28"/>
    <n v="6"/>
    <x v="2752"/>
    <x v="11"/>
    <x v="1"/>
  </r>
  <r>
    <n v="44905"/>
    <x v="338"/>
    <x v="20"/>
    <x v="0"/>
    <x v="0"/>
    <s v="Xerox 1883"/>
    <n v="184.66"/>
    <n v="7"/>
    <x v="2716"/>
    <x v="11"/>
    <x v="1"/>
  </r>
  <r>
    <n v="44905"/>
    <x v="666"/>
    <x v="36"/>
    <x v="0"/>
    <x v="4"/>
    <s v="Manco Dry-Lighter Erasable Highlighter"/>
    <n v="27.36"/>
    <n v="9"/>
    <x v="282"/>
    <x v="11"/>
    <x v="1"/>
  </r>
  <r>
    <n v="44905"/>
    <x v="666"/>
    <x v="36"/>
    <x v="0"/>
    <x v="0"/>
    <s v="Recycled Desk Saver Line &quot;While You Were Out&quot; Book, 5 1/2&quot; X 4&quot;"/>
    <n v="44.75"/>
    <n v="5"/>
    <x v="2753"/>
    <x v="11"/>
    <x v="1"/>
  </r>
  <r>
    <n v="44905"/>
    <x v="666"/>
    <x v="36"/>
    <x v="2"/>
    <x v="6"/>
    <s v="Cisco 8x8 Inc. 6753i IP Business Phone System"/>
    <n v="134.99"/>
    <n v="1"/>
    <x v="1504"/>
    <x v="11"/>
    <x v="1"/>
  </r>
  <r>
    <n v="44905"/>
    <x v="666"/>
    <x v="36"/>
    <x v="0"/>
    <x v="0"/>
    <s v="Astroparche Fine Business Paper"/>
    <n v="26.4"/>
    <n v="5"/>
    <x v="2714"/>
    <x v="11"/>
    <x v="1"/>
  </r>
  <r>
    <n v="44905"/>
    <x v="666"/>
    <x v="36"/>
    <x v="1"/>
    <x v="5"/>
    <s v="Global Ergonomic Managers Chair"/>
    <n v="542.94000000000005"/>
    <n v="3"/>
    <x v="2353"/>
    <x v="11"/>
    <x v="1"/>
  </r>
  <r>
    <n v="44905"/>
    <x v="658"/>
    <x v="3"/>
    <x v="0"/>
    <x v="4"/>
    <s v="Boston Electric Pencil Sharpener, Model 1818, Charcoal Black"/>
    <n v="56.3"/>
    <n v="2"/>
    <x v="2006"/>
    <x v="11"/>
    <x v="1"/>
  </r>
  <r>
    <n v="44905"/>
    <x v="621"/>
    <x v="1"/>
    <x v="0"/>
    <x v="12"/>
    <s v="3M Replacement Filter for Office Air Cleaner for 20' x 33' Room"/>
    <n v="53.09"/>
    <n v="7"/>
    <x v="2754"/>
    <x v="11"/>
    <x v="1"/>
  </r>
  <r>
    <n v="44905"/>
    <x v="711"/>
    <x v="3"/>
    <x v="0"/>
    <x v="1"/>
    <s v="Avery File Folder Labels"/>
    <n v="5.76"/>
    <n v="2"/>
    <x v="1218"/>
    <x v="11"/>
    <x v="1"/>
  </r>
  <r>
    <n v="44905"/>
    <x v="371"/>
    <x v="10"/>
    <x v="2"/>
    <x v="9"/>
    <s v="Maxell 4.7GB DVD-RW 3/Pack"/>
    <n v="25.49"/>
    <n v="2"/>
    <x v="519"/>
    <x v="11"/>
    <x v="1"/>
  </r>
  <r>
    <n v="44906"/>
    <x v="661"/>
    <x v="6"/>
    <x v="0"/>
    <x v="1"/>
    <s v="Dot Matrix Printer Tape Reel Labels, White, 5000/Box"/>
    <n v="196.62"/>
    <n v="2"/>
    <x v="1372"/>
    <x v="11"/>
    <x v="1"/>
  </r>
  <r>
    <n v="44906"/>
    <x v="723"/>
    <x v="0"/>
    <x v="2"/>
    <x v="9"/>
    <s v="Logitech Wireless Performance Mouse MX for PC and Mac"/>
    <n v="159.97999999999999"/>
    <n v="2"/>
    <x v="1586"/>
    <x v="11"/>
    <x v="1"/>
  </r>
  <r>
    <n v="44906"/>
    <x v="723"/>
    <x v="0"/>
    <x v="0"/>
    <x v="2"/>
    <s v="Eldon ProFile File 'N Store Portable File Tub Letter/Legal Size Black"/>
    <n v="46.34"/>
    <n v="3"/>
    <x v="1070"/>
    <x v="11"/>
    <x v="1"/>
  </r>
  <r>
    <n v="44906"/>
    <x v="258"/>
    <x v="16"/>
    <x v="0"/>
    <x v="3"/>
    <s v="Acco D-Ring Binder w/DublLock"/>
    <n v="12.83"/>
    <n v="2"/>
    <x v="2203"/>
    <x v="11"/>
    <x v="1"/>
  </r>
  <r>
    <n v="44906"/>
    <x v="576"/>
    <x v="26"/>
    <x v="0"/>
    <x v="4"/>
    <s v="Newell 313"/>
    <n v="13.12"/>
    <n v="5"/>
    <x v="805"/>
    <x v="11"/>
    <x v="1"/>
  </r>
  <r>
    <n v="44906"/>
    <x v="576"/>
    <x v="26"/>
    <x v="1"/>
    <x v="11"/>
    <s v="Bush Westfield Collection Bookcases, Dark Cherry Finish"/>
    <n v="69.58"/>
    <n v="4"/>
    <x v="2755"/>
    <x v="11"/>
    <x v="1"/>
  </r>
  <r>
    <n v="44906"/>
    <x v="576"/>
    <x v="26"/>
    <x v="0"/>
    <x v="4"/>
    <s v="Newell 326"/>
    <n v="4.22"/>
    <n v="3"/>
    <x v="1294"/>
    <x v="11"/>
    <x v="1"/>
  </r>
  <r>
    <n v="44906"/>
    <x v="576"/>
    <x v="26"/>
    <x v="2"/>
    <x v="9"/>
    <s v="Logitech Keyboard K120"/>
    <n v="58.08"/>
    <n v="4"/>
    <x v="2756"/>
    <x v="11"/>
    <x v="1"/>
  </r>
  <r>
    <n v="44906"/>
    <x v="576"/>
    <x v="26"/>
    <x v="1"/>
    <x v="8"/>
    <s v="Master Caster Door Stop, Large Neon Orange"/>
    <n v="52.42"/>
    <n v="9"/>
    <x v="1270"/>
    <x v="11"/>
    <x v="1"/>
  </r>
  <r>
    <n v="44906"/>
    <x v="576"/>
    <x v="26"/>
    <x v="1"/>
    <x v="8"/>
    <s v="DAX Wood Document Frame"/>
    <n v="54.92"/>
    <n v="5"/>
    <x v="2757"/>
    <x v="11"/>
    <x v="1"/>
  </r>
  <r>
    <n v="44906"/>
    <x v="576"/>
    <x v="26"/>
    <x v="1"/>
    <x v="13"/>
    <s v="Bevis Rectangular Conference Tables"/>
    <n v="364.95"/>
    <n v="5"/>
    <x v="2758"/>
    <x v="11"/>
    <x v="1"/>
  </r>
  <r>
    <n v="44906"/>
    <x v="576"/>
    <x v="26"/>
    <x v="0"/>
    <x v="0"/>
    <s v="Xerox 1932"/>
    <n v="85.06"/>
    <n v="3"/>
    <x v="1975"/>
    <x v="11"/>
    <x v="1"/>
  </r>
  <r>
    <n v="44906"/>
    <x v="576"/>
    <x v="26"/>
    <x v="0"/>
    <x v="0"/>
    <s v="Avery Personal Creations Heavyweight Cards"/>
    <n v="27.7"/>
    <n v="3"/>
    <x v="2759"/>
    <x v="11"/>
    <x v="1"/>
  </r>
  <r>
    <n v="44906"/>
    <x v="164"/>
    <x v="10"/>
    <x v="0"/>
    <x v="3"/>
    <s v="GBC Plasticlear Binding Covers"/>
    <n v="10.33"/>
    <n v="3"/>
    <x v="2760"/>
    <x v="11"/>
    <x v="1"/>
  </r>
  <r>
    <n v="44906"/>
    <x v="412"/>
    <x v="3"/>
    <x v="0"/>
    <x v="3"/>
    <s v="GBC Recycled Grain Textured Covers"/>
    <n v="110.53"/>
    <n v="4"/>
    <x v="2761"/>
    <x v="11"/>
    <x v="1"/>
  </r>
  <r>
    <n v="44906"/>
    <x v="273"/>
    <x v="14"/>
    <x v="2"/>
    <x v="9"/>
    <s v="Maxell 4.7GB DVD+RW 3/Pack"/>
    <n v="175.23"/>
    <n v="11"/>
    <x v="2762"/>
    <x v="11"/>
    <x v="1"/>
  </r>
  <r>
    <n v="44906"/>
    <x v="273"/>
    <x v="14"/>
    <x v="2"/>
    <x v="6"/>
    <s v="BlackBerry Q10"/>
    <n v="125.99"/>
    <n v="1"/>
    <x v="2763"/>
    <x v="11"/>
    <x v="1"/>
  </r>
  <r>
    <n v="44906"/>
    <x v="273"/>
    <x v="14"/>
    <x v="0"/>
    <x v="3"/>
    <s v="Ibico Covers for Plastic or Wire Binding Elements"/>
    <n v="23"/>
    <n v="2"/>
    <x v="381"/>
    <x v="11"/>
    <x v="1"/>
  </r>
  <r>
    <n v="44907"/>
    <x v="235"/>
    <x v="3"/>
    <x v="1"/>
    <x v="5"/>
    <s v="Lifetime Advantage Folding Chairs, 4/Carton"/>
    <n v="348.93"/>
    <n v="2"/>
    <x v="2764"/>
    <x v="11"/>
    <x v="1"/>
  </r>
  <r>
    <n v="44907"/>
    <x v="380"/>
    <x v="3"/>
    <x v="0"/>
    <x v="7"/>
    <s v="Staples"/>
    <n v="7.86"/>
    <n v="2"/>
    <x v="1561"/>
    <x v="11"/>
    <x v="1"/>
  </r>
  <r>
    <n v="44907"/>
    <x v="380"/>
    <x v="3"/>
    <x v="0"/>
    <x v="3"/>
    <s v="Recycled Premium Regency Composition Covers"/>
    <n v="24.45"/>
    <n v="2"/>
    <x v="2346"/>
    <x v="11"/>
    <x v="1"/>
  </r>
  <r>
    <n v="44907"/>
    <x v="699"/>
    <x v="36"/>
    <x v="0"/>
    <x v="4"/>
    <s v="Rogers Handheld Barrel Pencil Sharpener"/>
    <n v="8.2200000000000006"/>
    <n v="3"/>
    <x v="635"/>
    <x v="11"/>
    <x v="1"/>
  </r>
  <r>
    <n v="44907"/>
    <x v="557"/>
    <x v="0"/>
    <x v="2"/>
    <x v="9"/>
    <s v="AmazonBasics 3-Button USB Wired Mouse"/>
    <n v="22.37"/>
    <n v="4"/>
    <x v="2765"/>
    <x v="11"/>
    <x v="1"/>
  </r>
  <r>
    <n v="44907"/>
    <x v="21"/>
    <x v="3"/>
    <x v="0"/>
    <x v="4"/>
    <s v="Newell 311"/>
    <n v="2.21"/>
    <n v="1"/>
    <x v="537"/>
    <x v="11"/>
    <x v="1"/>
  </r>
  <r>
    <n v="44907"/>
    <x v="21"/>
    <x v="3"/>
    <x v="0"/>
    <x v="10"/>
    <s v="Peel &amp; Seel Envelopes"/>
    <n v="15.52"/>
    <n v="4"/>
    <x v="2766"/>
    <x v="11"/>
    <x v="1"/>
  </r>
  <r>
    <n v="44907"/>
    <x v="21"/>
    <x v="3"/>
    <x v="0"/>
    <x v="0"/>
    <s v="Black Print Carbonless Snap-Off Rapid Letter, 8 1/2&quot; x 7&quot;"/>
    <n v="36.44"/>
    <n v="4"/>
    <x v="2767"/>
    <x v="11"/>
    <x v="1"/>
  </r>
  <r>
    <n v="44907"/>
    <x v="276"/>
    <x v="3"/>
    <x v="1"/>
    <x v="8"/>
    <s v="Eldon Cleatmat Chair Mats for Medium Pile Carpets"/>
    <n v="166.5"/>
    <n v="3"/>
    <x v="2768"/>
    <x v="11"/>
    <x v="1"/>
  </r>
  <r>
    <n v="44907"/>
    <x v="276"/>
    <x v="3"/>
    <x v="0"/>
    <x v="2"/>
    <s v="Standard Rollaway File with Lock"/>
    <n v="360.38"/>
    <n v="2"/>
    <x v="2769"/>
    <x v="11"/>
    <x v="1"/>
  </r>
  <r>
    <n v="44907"/>
    <x v="104"/>
    <x v="17"/>
    <x v="0"/>
    <x v="0"/>
    <s v="Xerox 1930"/>
    <n v="32.4"/>
    <n v="5"/>
    <x v="2770"/>
    <x v="11"/>
    <x v="1"/>
  </r>
  <r>
    <n v="44907"/>
    <x v="104"/>
    <x v="17"/>
    <x v="0"/>
    <x v="0"/>
    <s v="Xerox 1916"/>
    <n v="97.88"/>
    <n v="2"/>
    <x v="2215"/>
    <x v="11"/>
    <x v="1"/>
  </r>
  <r>
    <n v="44907"/>
    <x v="502"/>
    <x v="3"/>
    <x v="2"/>
    <x v="9"/>
    <s v="Logitech Wireless Marathon Mouse M705"/>
    <n v="299.94"/>
    <n v="6"/>
    <x v="2771"/>
    <x v="11"/>
    <x v="1"/>
  </r>
  <r>
    <n v="44907"/>
    <x v="502"/>
    <x v="3"/>
    <x v="0"/>
    <x v="14"/>
    <s v="Staple remover"/>
    <n v="25.76"/>
    <n v="7"/>
    <x v="1763"/>
    <x v="11"/>
    <x v="1"/>
  </r>
  <r>
    <n v="44908"/>
    <x v="468"/>
    <x v="3"/>
    <x v="0"/>
    <x v="0"/>
    <s v="Xerox 213"/>
    <n v="12.96"/>
    <n v="2"/>
    <x v="113"/>
    <x v="11"/>
    <x v="1"/>
  </r>
  <r>
    <n v="44908"/>
    <x v="468"/>
    <x v="3"/>
    <x v="0"/>
    <x v="12"/>
    <s v="Fellowes 8 Outlet Superior Workstation Surge Protector w/o Phone/Fax/Modem Protection"/>
    <n v="134.47999999999999"/>
    <n v="4"/>
    <x v="2772"/>
    <x v="11"/>
    <x v="1"/>
  </r>
  <r>
    <n v="44908"/>
    <x v="550"/>
    <x v="3"/>
    <x v="0"/>
    <x v="1"/>
    <s v="Avery 513"/>
    <n v="9.9600000000000009"/>
    <n v="2"/>
    <x v="290"/>
    <x v="11"/>
    <x v="1"/>
  </r>
  <r>
    <n v="44908"/>
    <x v="122"/>
    <x v="3"/>
    <x v="2"/>
    <x v="6"/>
    <s v="Plantronics Voyager Pro Legend"/>
    <n v="494.38"/>
    <n v="3"/>
    <x v="2103"/>
    <x v="11"/>
    <x v="1"/>
  </r>
  <r>
    <n v="44908"/>
    <x v="122"/>
    <x v="3"/>
    <x v="0"/>
    <x v="3"/>
    <s v="Angle-D Binders with Locking Rings, Label Holders"/>
    <n v="29.2"/>
    <n v="5"/>
    <x v="2773"/>
    <x v="11"/>
    <x v="1"/>
  </r>
  <r>
    <n v="44908"/>
    <x v="122"/>
    <x v="3"/>
    <x v="2"/>
    <x v="9"/>
    <s v="Logitech K350 2.4Ghz Wireless Keyboard"/>
    <n v="248.85"/>
    <n v="5"/>
    <x v="2774"/>
    <x v="11"/>
    <x v="1"/>
  </r>
  <r>
    <n v="44908"/>
    <x v="122"/>
    <x v="3"/>
    <x v="2"/>
    <x v="9"/>
    <s v="Memorex Mini Travel Drive 64 GB USB 2.0 Flash Drive"/>
    <n v="36.24"/>
    <n v="1"/>
    <x v="95"/>
    <x v="11"/>
    <x v="1"/>
  </r>
  <r>
    <n v="44908"/>
    <x v="222"/>
    <x v="32"/>
    <x v="0"/>
    <x v="0"/>
    <s v="Xerox 222"/>
    <n v="19.440000000000001"/>
    <n v="3"/>
    <x v="5"/>
    <x v="11"/>
    <x v="1"/>
  </r>
  <r>
    <n v="44908"/>
    <x v="222"/>
    <x v="32"/>
    <x v="0"/>
    <x v="3"/>
    <s v="Flexible Leather- Look Classic Collection Ring Binder"/>
    <n v="37.880000000000003"/>
    <n v="2"/>
    <x v="2775"/>
    <x v="11"/>
    <x v="1"/>
  </r>
  <r>
    <n v="44909"/>
    <x v="22"/>
    <x v="4"/>
    <x v="0"/>
    <x v="3"/>
    <s v="3-ring staple pack"/>
    <n v="3.76"/>
    <n v="2"/>
    <x v="1666"/>
    <x v="11"/>
    <x v="1"/>
  </r>
  <r>
    <n v="44909"/>
    <x v="724"/>
    <x v="11"/>
    <x v="2"/>
    <x v="6"/>
    <s v="HTC One"/>
    <n v="319.97000000000003"/>
    <n v="4"/>
    <x v="1586"/>
    <x v="11"/>
    <x v="1"/>
  </r>
  <r>
    <n v="44909"/>
    <x v="247"/>
    <x v="3"/>
    <x v="0"/>
    <x v="3"/>
    <s v="Wilson Jones Standard D-Ring Binders"/>
    <n v="8.1"/>
    <n v="2"/>
    <x v="892"/>
    <x v="11"/>
    <x v="1"/>
  </r>
  <r>
    <n v="44909"/>
    <x v="435"/>
    <x v="29"/>
    <x v="1"/>
    <x v="8"/>
    <s v="Stackable Trays"/>
    <n v="6.16"/>
    <n v="2"/>
    <x v="532"/>
    <x v="11"/>
    <x v="1"/>
  </r>
  <r>
    <n v="44909"/>
    <x v="435"/>
    <x v="29"/>
    <x v="0"/>
    <x v="4"/>
    <s v="Boston Electric Pencil Sharpener, Model 1818, Charcoal Black"/>
    <n v="56.3"/>
    <n v="2"/>
    <x v="2006"/>
    <x v="11"/>
    <x v="1"/>
  </r>
  <r>
    <n v="44909"/>
    <x v="367"/>
    <x v="3"/>
    <x v="1"/>
    <x v="8"/>
    <s v="Master Caster Door Stop, Gray"/>
    <n v="15.24"/>
    <n v="3"/>
    <x v="510"/>
    <x v="11"/>
    <x v="1"/>
  </r>
  <r>
    <n v="44909"/>
    <x v="281"/>
    <x v="3"/>
    <x v="1"/>
    <x v="8"/>
    <s v="Staple-based wall hangings"/>
    <n v="29.22"/>
    <n v="3"/>
    <x v="899"/>
    <x v="11"/>
    <x v="1"/>
  </r>
  <r>
    <n v="44909"/>
    <x v="63"/>
    <x v="3"/>
    <x v="2"/>
    <x v="9"/>
    <s v="Micro Innovations USB RF Wireless Keyboard with Mouse"/>
    <n v="50"/>
    <n v="2"/>
    <x v="554"/>
    <x v="11"/>
    <x v="1"/>
  </r>
  <r>
    <n v="44909"/>
    <x v="504"/>
    <x v="3"/>
    <x v="0"/>
    <x v="3"/>
    <s v="Ibico Recycled Grain-Textured Covers"/>
    <n v="55.26"/>
    <n v="2"/>
    <x v="2028"/>
    <x v="11"/>
    <x v="1"/>
  </r>
  <r>
    <n v="44909"/>
    <x v="504"/>
    <x v="3"/>
    <x v="0"/>
    <x v="0"/>
    <s v="Xerox 23"/>
    <n v="6.48"/>
    <n v="1"/>
    <x v="1006"/>
    <x v="11"/>
    <x v="1"/>
  </r>
  <r>
    <n v="44909"/>
    <x v="504"/>
    <x v="3"/>
    <x v="0"/>
    <x v="3"/>
    <s v="GBC Laser Imprintable Binding System Covers, Desert Sand"/>
    <n v="34.25"/>
    <n v="3"/>
    <x v="1920"/>
    <x v="11"/>
    <x v="1"/>
  </r>
  <r>
    <n v="44909"/>
    <x v="504"/>
    <x v="3"/>
    <x v="1"/>
    <x v="13"/>
    <s v="Bush Andora Conference Table, Maple/Graphite Gray Finish"/>
    <n v="273.57"/>
    <n v="2"/>
    <x v="2776"/>
    <x v="11"/>
    <x v="1"/>
  </r>
  <r>
    <n v="44910"/>
    <x v="412"/>
    <x v="20"/>
    <x v="0"/>
    <x v="4"/>
    <s v="Sanford Colorific Eraseable Coloring Pencils, 12 Count"/>
    <n v="3.28"/>
    <n v="1"/>
    <x v="631"/>
    <x v="11"/>
    <x v="1"/>
  </r>
  <r>
    <n v="44910"/>
    <x v="343"/>
    <x v="22"/>
    <x v="0"/>
    <x v="12"/>
    <s v="3M Office Air Cleaner"/>
    <n v="103.92"/>
    <n v="4"/>
    <x v="2777"/>
    <x v="11"/>
    <x v="1"/>
  </r>
  <r>
    <n v="44910"/>
    <x v="343"/>
    <x v="22"/>
    <x v="2"/>
    <x v="9"/>
    <s v="Logitech G700s Rechargeable Gaming Mouse"/>
    <n v="899.91"/>
    <n v="9"/>
    <x v="2778"/>
    <x v="11"/>
    <x v="1"/>
  </r>
  <r>
    <n v="44910"/>
    <x v="343"/>
    <x v="22"/>
    <x v="0"/>
    <x v="3"/>
    <s v="Acco D-Ring Binder w/DublLock"/>
    <n v="51.31"/>
    <n v="3"/>
    <x v="2654"/>
    <x v="11"/>
    <x v="1"/>
  </r>
  <r>
    <n v="44910"/>
    <x v="40"/>
    <x v="10"/>
    <x v="2"/>
    <x v="9"/>
    <s v="Plantronics Savi W720 Multi-Device Wireless Headset System"/>
    <n v="2025.36"/>
    <n v="6"/>
    <x v="2779"/>
    <x v="11"/>
    <x v="1"/>
  </r>
  <r>
    <n v="44910"/>
    <x v="40"/>
    <x v="10"/>
    <x v="2"/>
    <x v="15"/>
    <s v="Cubify CubeX 3D Printer Double Head Print"/>
    <n v="1799.99"/>
    <n v="2"/>
    <x v="2780"/>
    <x v="11"/>
    <x v="1"/>
  </r>
  <r>
    <n v="44910"/>
    <x v="40"/>
    <x v="10"/>
    <x v="2"/>
    <x v="6"/>
    <s v="Panasonic KX TS3282W Corded phone"/>
    <n v="101.99"/>
    <n v="2"/>
    <x v="2781"/>
    <x v="11"/>
    <x v="1"/>
  </r>
  <r>
    <n v="44910"/>
    <x v="40"/>
    <x v="10"/>
    <x v="1"/>
    <x v="8"/>
    <s v="Howard Miller 13&quot; Diameter Goldtone Round Wall Clock"/>
    <n v="262.86"/>
    <n v="7"/>
    <x v="2782"/>
    <x v="11"/>
    <x v="1"/>
  </r>
  <r>
    <n v="44910"/>
    <x v="390"/>
    <x v="25"/>
    <x v="2"/>
    <x v="6"/>
    <s v="Cisco Small Business SPA 502G VoIP phone"/>
    <n v="246.17"/>
    <n v="3"/>
    <x v="2783"/>
    <x v="11"/>
    <x v="1"/>
  </r>
  <r>
    <n v="44911"/>
    <x v="707"/>
    <x v="22"/>
    <x v="0"/>
    <x v="0"/>
    <s v="Xerox 190"/>
    <n v="4.9800000000000004"/>
    <n v="1"/>
    <x v="115"/>
    <x v="11"/>
    <x v="1"/>
  </r>
  <r>
    <n v="44912"/>
    <x v="154"/>
    <x v="14"/>
    <x v="0"/>
    <x v="3"/>
    <s v="GBC Plastic Binding Combs"/>
    <n v="29.52"/>
    <n v="4"/>
    <x v="2784"/>
    <x v="11"/>
    <x v="1"/>
  </r>
  <r>
    <n v="44912"/>
    <x v="154"/>
    <x v="14"/>
    <x v="1"/>
    <x v="5"/>
    <s v="Hon Valutask Swivel Chairs"/>
    <n v="302.94"/>
    <n v="3"/>
    <x v="2785"/>
    <x v="11"/>
    <x v="1"/>
  </r>
  <r>
    <n v="44912"/>
    <x v="154"/>
    <x v="14"/>
    <x v="1"/>
    <x v="5"/>
    <s v="Harbour Creations 67200 Series Stacking Chairs"/>
    <n v="142.36000000000001"/>
    <n v="2"/>
    <x v="2786"/>
    <x v="11"/>
    <x v="1"/>
  </r>
  <r>
    <n v="44912"/>
    <x v="154"/>
    <x v="14"/>
    <x v="1"/>
    <x v="5"/>
    <s v="Global Value Steno Chair, Gray"/>
    <n v="546.66"/>
    <n v="9"/>
    <x v="2787"/>
    <x v="11"/>
    <x v="1"/>
  </r>
  <r>
    <n v="44912"/>
    <x v="154"/>
    <x v="14"/>
    <x v="1"/>
    <x v="8"/>
    <s v="Tenex Carpeted, Granite-Look or Clear Contemporary Contour Shape Chair Mats"/>
    <n v="212.13"/>
    <n v="3"/>
    <x v="2788"/>
    <x v="11"/>
    <x v="1"/>
  </r>
  <r>
    <n v="44912"/>
    <x v="260"/>
    <x v="1"/>
    <x v="0"/>
    <x v="2"/>
    <s v="Tennsco Double-Tier Lockers"/>
    <n v="180.02"/>
    <n v="1"/>
    <x v="2789"/>
    <x v="11"/>
    <x v="1"/>
  </r>
  <r>
    <n v="44912"/>
    <x v="260"/>
    <x v="1"/>
    <x v="1"/>
    <x v="8"/>
    <s v="Howard Miller 11-1/2&quot; Diameter Ridgewood Wall Clock"/>
    <n v="41.55"/>
    <n v="2"/>
    <x v="2790"/>
    <x v="11"/>
    <x v="1"/>
  </r>
  <r>
    <n v="44912"/>
    <x v="260"/>
    <x v="1"/>
    <x v="0"/>
    <x v="4"/>
    <s v="Newell 35"/>
    <n v="13.12"/>
    <n v="5"/>
    <x v="9"/>
    <x v="11"/>
    <x v="1"/>
  </r>
  <r>
    <n v="44912"/>
    <x v="194"/>
    <x v="3"/>
    <x v="0"/>
    <x v="4"/>
    <s v="Sanford 52201 APSCO Electric Pencil Sharpener"/>
    <n v="204.85"/>
    <n v="5"/>
    <x v="746"/>
    <x v="11"/>
    <x v="1"/>
  </r>
  <r>
    <n v="44912"/>
    <x v="194"/>
    <x v="3"/>
    <x v="2"/>
    <x v="6"/>
    <s v="Panasonic KX TS3282W Corded phone"/>
    <n v="135.97999999999999"/>
    <n v="2"/>
    <x v="2791"/>
    <x v="11"/>
    <x v="1"/>
  </r>
  <r>
    <n v="44912"/>
    <x v="194"/>
    <x v="3"/>
    <x v="0"/>
    <x v="4"/>
    <s v="Sanford Colorific Eraseable Coloring Pencils, 12 Count"/>
    <n v="16.399999999999999"/>
    <n v="5"/>
    <x v="634"/>
    <x v="11"/>
    <x v="1"/>
  </r>
  <r>
    <n v="44912"/>
    <x v="194"/>
    <x v="3"/>
    <x v="0"/>
    <x v="3"/>
    <s v="Avery Arch Ring Binders"/>
    <n v="92.96"/>
    <n v="2"/>
    <x v="2792"/>
    <x v="11"/>
    <x v="1"/>
  </r>
  <r>
    <n v="44913"/>
    <x v="272"/>
    <x v="10"/>
    <x v="0"/>
    <x v="2"/>
    <s v="Fellowes Officeware Wire Shelving"/>
    <n v="646.78"/>
    <n v="9"/>
    <x v="2793"/>
    <x v="11"/>
    <x v="1"/>
  </r>
  <r>
    <n v="44913"/>
    <x v="363"/>
    <x v="20"/>
    <x v="2"/>
    <x v="9"/>
    <s v="Imation Bio 8GB USBÂ Flash Drive ImationÂ Corp"/>
    <n v="166.24"/>
    <n v="1"/>
    <x v="1769"/>
    <x v="11"/>
    <x v="1"/>
  </r>
  <r>
    <n v="44913"/>
    <x v="521"/>
    <x v="26"/>
    <x v="0"/>
    <x v="4"/>
    <s v="Newell 320"/>
    <n v="6.85"/>
    <n v="2"/>
    <x v="537"/>
    <x v="11"/>
    <x v="1"/>
  </r>
  <r>
    <n v="44913"/>
    <x v="357"/>
    <x v="15"/>
    <x v="0"/>
    <x v="10"/>
    <s v="#10- 4 1/8&quot; x 9 1/2&quot; Recycled Envelopes"/>
    <n v="55.94"/>
    <n v="8"/>
    <x v="2794"/>
    <x v="11"/>
    <x v="1"/>
  </r>
  <r>
    <n v="44913"/>
    <x v="357"/>
    <x v="15"/>
    <x v="0"/>
    <x v="1"/>
    <s v="Avery 507"/>
    <n v="18.43"/>
    <n v="8"/>
    <x v="2795"/>
    <x v="11"/>
    <x v="1"/>
  </r>
  <r>
    <n v="44913"/>
    <x v="357"/>
    <x v="15"/>
    <x v="1"/>
    <x v="8"/>
    <s v="Master Caster Door Stop, Brown"/>
    <n v="20.32"/>
    <n v="5"/>
    <x v="1242"/>
    <x v="11"/>
    <x v="1"/>
  </r>
  <r>
    <n v="44913"/>
    <x v="412"/>
    <x v="10"/>
    <x v="0"/>
    <x v="0"/>
    <s v="Xerox 226"/>
    <n v="20.74"/>
    <n v="4"/>
    <x v="416"/>
    <x v="11"/>
    <x v="1"/>
  </r>
  <r>
    <n v="44914"/>
    <x v="229"/>
    <x v="3"/>
    <x v="2"/>
    <x v="6"/>
    <s v="ShoreTel ShorePhone IP 230 VoIP phone"/>
    <n v="675.96"/>
    <n v="5"/>
    <x v="2796"/>
    <x v="11"/>
    <x v="1"/>
  </r>
  <r>
    <n v="44914"/>
    <x v="229"/>
    <x v="3"/>
    <x v="2"/>
    <x v="9"/>
    <s v="Plantronics Savi W720 Multi-Device Wireless Headset System"/>
    <n v="1265.8499999999999"/>
    <n v="3"/>
    <x v="2797"/>
    <x v="11"/>
    <x v="1"/>
  </r>
  <r>
    <n v="44914"/>
    <x v="144"/>
    <x v="2"/>
    <x v="0"/>
    <x v="12"/>
    <s v="Avanti 4.4 Cu. Ft. Refrigerator"/>
    <n v="434.35"/>
    <n v="3"/>
    <x v="2798"/>
    <x v="11"/>
    <x v="1"/>
  </r>
  <r>
    <n v="44914"/>
    <x v="144"/>
    <x v="2"/>
    <x v="0"/>
    <x v="12"/>
    <s v="Hoover Replacement Belt for Commercial Guardsman Heavy-Duty Upright Vacuum"/>
    <n v="3.55"/>
    <n v="2"/>
    <x v="1699"/>
    <x v="11"/>
    <x v="1"/>
  </r>
  <r>
    <n v="44914"/>
    <x v="144"/>
    <x v="2"/>
    <x v="0"/>
    <x v="12"/>
    <s v="Fellowes Advanced 8 Outlet Surge Suppressor with Phone/Fax Protection"/>
    <n v="88.83"/>
    <n v="4"/>
    <x v="1182"/>
    <x v="11"/>
    <x v="1"/>
  </r>
  <r>
    <n v="44914"/>
    <x v="436"/>
    <x v="40"/>
    <x v="0"/>
    <x v="3"/>
    <s v="Self-Adhesive Ring Binder Labels"/>
    <n v="7.04"/>
    <n v="2"/>
    <x v="2799"/>
    <x v="11"/>
    <x v="1"/>
  </r>
  <r>
    <n v="44914"/>
    <x v="436"/>
    <x v="40"/>
    <x v="0"/>
    <x v="7"/>
    <s v="Bagged Rubber Bands"/>
    <n v="5.04"/>
    <n v="4"/>
    <x v="1546"/>
    <x v="11"/>
    <x v="1"/>
  </r>
  <r>
    <n v="44914"/>
    <x v="436"/>
    <x v="40"/>
    <x v="0"/>
    <x v="0"/>
    <s v="White Computer Printout Paper by Universal"/>
    <n v="116.28"/>
    <n v="3"/>
    <x v="463"/>
    <x v="11"/>
    <x v="1"/>
  </r>
  <r>
    <n v="44914"/>
    <x v="378"/>
    <x v="1"/>
    <x v="2"/>
    <x v="6"/>
    <s v="Samsung Rugby III"/>
    <n v="158.38"/>
    <n v="3"/>
    <x v="1895"/>
    <x v="11"/>
    <x v="1"/>
  </r>
  <r>
    <n v="44914"/>
    <x v="725"/>
    <x v="38"/>
    <x v="0"/>
    <x v="0"/>
    <s v="Xerox 1903"/>
    <n v="29.9"/>
    <n v="5"/>
    <x v="2800"/>
    <x v="11"/>
    <x v="1"/>
  </r>
  <r>
    <n v="44914"/>
    <x v="725"/>
    <x v="38"/>
    <x v="2"/>
    <x v="9"/>
    <s v="Logitech diNovo Edge Keyboard"/>
    <n v="2249.91"/>
    <n v="9"/>
    <x v="2801"/>
    <x v="11"/>
    <x v="1"/>
  </r>
  <r>
    <n v="44914"/>
    <x v="725"/>
    <x v="38"/>
    <x v="1"/>
    <x v="13"/>
    <s v="Bretford Rectangular Conference Table Tops"/>
    <n v="1053.1600000000001"/>
    <n v="4"/>
    <x v="2802"/>
    <x v="11"/>
    <x v="1"/>
  </r>
  <r>
    <n v="44914"/>
    <x v="89"/>
    <x v="1"/>
    <x v="2"/>
    <x v="9"/>
    <s v="Maxell 4.7GB DVD+RW 3/Pack"/>
    <n v="25.49"/>
    <n v="2"/>
    <x v="741"/>
    <x v="11"/>
    <x v="1"/>
  </r>
  <r>
    <n v="44914"/>
    <x v="316"/>
    <x v="2"/>
    <x v="0"/>
    <x v="1"/>
    <s v="Avery 474"/>
    <n v="6.91"/>
    <n v="3"/>
    <x v="368"/>
    <x v="11"/>
    <x v="1"/>
  </r>
  <r>
    <n v="44915"/>
    <x v="330"/>
    <x v="0"/>
    <x v="0"/>
    <x v="2"/>
    <s v="Fellowes Super Stor/Drawer"/>
    <n v="88.8"/>
    <n v="4"/>
    <x v="2803"/>
    <x v="11"/>
    <x v="1"/>
  </r>
  <r>
    <n v="44915"/>
    <x v="223"/>
    <x v="20"/>
    <x v="0"/>
    <x v="0"/>
    <s v="Eaton Premium Continuous-Feed Paper, 25% Cotton, Letter Size, White, 1000 Shts/Box"/>
    <n v="55.48"/>
    <n v="1"/>
    <x v="284"/>
    <x v="11"/>
    <x v="1"/>
  </r>
  <r>
    <n v="44915"/>
    <x v="375"/>
    <x v="1"/>
    <x v="2"/>
    <x v="6"/>
    <s v="Apple iPhone 5C"/>
    <n v="159.97999999999999"/>
    <n v="2"/>
    <x v="1471"/>
    <x v="11"/>
    <x v="1"/>
  </r>
  <r>
    <n v="44915"/>
    <x v="375"/>
    <x v="1"/>
    <x v="2"/>
    <x v="9"/>
    <s v="Logitech G600 MMO Gaming Mouse"/>
    <n v="255.97"/>
    <n v="4"/>
    <x v="2804"/>
    <x v="11"/>
    <x v="1"/>
  </r>
  <r>
    <n v="44915"/>
    <x v="375"/>
    <x v="1"/>
    <x v="1"/>
    <x v="11"/>
    <s v="Sauder Facets Collection Library, Sky Alder Finish"/>
    <n v="359.06"/>
    <n v="3"/>
    <x v="2805"/>
    <x v="11"/>
    <x v="1"/>
  </r>
  <r>
    <n v="44915"/>
    <x v="333"/>
    <x v="12"/>
    <x v="0"/>
    <x v="10"/>
    <s v="#6 3/4 Gummed Flap White Envelopes"/>
    <n v="7.92"/>
    <n v="1"/>
    <x v="2210"/>
    <x v="11"/>
    <x v="1"/>
  </r>
  <r>
    <n v="44915"/>
    <x v="333"/>
    <x v="12"/>
    <x v="1"/>
    <x v="8"/>
    <s v="Nu-Dell Float Frame 11 x 14 1/2"/>
    <n v="14.37"/>
    <n v="2"/>
    <x v="383"/>
    <x v="11"/>
    <x v="1"/>
  </r>
  <r>
    <n v="44915"/>
    <x v="726"/>
    <x v="16"/>
    <x v="0"/>
    <x v="1"/>
    <s v="Avery 486"/>
    <n v="11.7"/>
    <n v="2"/>
    <x v="383"/>
    <x v="11"/>
    <x v="1"/>
  </r>
  <r>
    <n v="44915"/>
    <x v="170"/>
    <x v="3"/>
    <x v="0"/>
    <x v="0"/>
    <s v="Easy-staple paper"/>
    <n v="17.12"/>
    <n v="4"/>
    <x v="472"/>
    <x v="11"/>
    <x v="1"/>
  </r>
  <r>
    <n v="44915"/>
    <x v="522"/>
    <x v="6"/>
    <x v="0"/>
    <x v="12"/>
    <s v="Acco 6 Outlet Guardian Standard Surge Suppressor"/>
    <n v="36.270000000000003"/>
    <n v="3"/>
    <x v="1005"/>
    <x v="11"/>
    <x v="1"/>
  </r>
  <r>
    <n v="44915"/>
    <x v="341"/>
    <x v="0"/>
    <x v="2"/>
    <x v="9"/>
    <s v="Hypercom P1300 Pinpad"/>
    <n v="100.8"/>
    <n v="2"/>
    <x v="2806"/>
    <x v="11"/>
    <x v="1"/>
  </r>
  <r>
    <n v="44916"/>
    <x v="143"/>
    <x v="22"/>
    <x v="1"/>
    <x v="13"/>
    <s v="Bevis 36 x 72 Conference Tables"/>
    <n v="1618.37"/>
    <n v="13"/>
    <x v="2807"/>
    <x v="11"/>
    <x v="1"/>
  </r>
  <r>
    <n v="44916"/>
    <x v="143"/>
    <x v="22"/>
    <x v="2"/>
    <x v="9"/>
    <s v="Enermax Acrylux Wireless Keyboard"/>
    <n v="99.6"/>
    <n v="1"/>
    <x v="1844"/>
    <x v="11"/>
    <x v="1"/>
  </r>
  <r>
    <n v="44916"/>
    <x v="727"/>
    <x v="26"/>
    <x v="0"/>
    <x v="12"/>
    <s v="Belkin 6 Outlet Metallic Surge Strip"/>
    <n v="60.98"/>
    <n v="7"/>
    <x v="1838"/>
    <x v="11"/>
    <x v="1"/>
  </r>
  <r>
    <n v="44916"/>
    <x v="462"/>
    <x v="25"/>
    <x v="2"/>
    <x v="6"/>
    <s v="Anker 36W 4-Port USB Wall Charger Travel Power Adapter for iPhone 5s 5c 5"/>
    <n v="47.98"/>
    <n v="3"/>
    <x v="2808"/>
    <x v="11"/>
    <x v="1"/>
  </r>
  <r>
    <n v="44916"/>
    <x v="310"/>
    <x v="16"/>
    <x v="2"/>
    <x v="9"/>
    <s v="Memorex Micro Travel Drive 4 GB"/>
    <n v="50.88"/>
    <n v="6"/>
    <x v="2317"/>
    <x v="11"/>
    <x v="1"/>
  </r>
  <r>
    <n v="44916"/>
    <x v="310"/>
    <x v="16"/>
    <x v="0"/>
    <x v="10"/>
    <s v="Recycled Interoffice Envelopes with Re-Use-A-Seal Closure, 10 x 13"/>
    <n v="27.31"/>
    <n v="2"/>
    <x v="2229"/>
    <x v="11"/>
    <x v="1"/>
  </r>
  <r>
    <n v="44916"/>
    <x v="512"/>
    <x v="10"/>
    <x v="0"/>
    <x v="4"/>
    <s v="OIC #2 Pencils, Medium Soft"/>
    <n v="3.01"/>
    <n v="2"/>
    <x v="2809"/>
    <x v="11"/>
    <x v="1"/>
  </r>
  <r>
    <n v="44916"/>
    <x v="381"/>
    <x v="1"/>
    <x v="2"/>
    <x v="15"/>
    <s v="Star Micronics TSP800 TSP847IIU Receipt Printer"/>
    <n v="600.53"/>
    <n v="2"/>
    <x v="2810"/>
    <x v="11"/>
    <x v="1"/>
  </r>
  <r>
    <n v="44916"/>
    <x v="381"/>
    <x v="1"/>
    <x v="0"/>
    <x v="4"/>
    <s v="Sanford Prismacolor Professional Thick Lead Art Pencils, 36-Color Set"/>
    <n v="59.9"/>
    <n v="2"/>
    <x v="1897"/>
    <x v="11"/>
    <x v="1"/>
  </r>
  <r>
    <n v="44916"/>
    <x v="381"/>
    <x v="1"/>
    <x v="2"/>
    <x v="9"/>
    <s v="Enermax Acrylux Wireless Keyboard"/>
    <n v="637.44000000000005"/>
    <n v="8"/>
    <x v="2811"/>
    <x v="11"/>
    <x v="1"/>
  </r>
  <r>
    <n v="44916"/>
    <x v="381"/>
    <x v="1"/>
    <x v="1"/>
    <x v="8"/>
    <s v="Howard Miller 11-1/2&quot; Diameter Grantwood Wall Clock"/>
    <n v="51.76"/>
    <n v="3"/>
    <x v="2812"/>
    <x v="11"/>
    <x v="1"/>
  </r>
  <r>
    <n v="44917"/>
    <x v="165"/>
    <x v="21"/>
    <x v="0"/>
    <x v="4"/>
    <s v="Newell 336"/>
    <n v="17.12"/>
    <n v="4"/>
    <x v="1281"/>
    <x v="11"/>
    <x v="1"/>
  </r>
  <r>
    <n v="44917"/>
    <x v="535"/>
    <x v="2"/>
    <x v="0"/>
    <x v="2"/>
    <s v="Tennsco Lockers, Sand"/>
    <n v="33.57"/>
    <n v="2"/>
    <x v="967"/>
    <x v="11"/>
    <x v="1"/>
  </r>
  <r>
    <n v="44917"/>
    <x v="535"/>
    <x v="2"/>
    <x v="1"/>
    <x v="5"/>
    <s v="Harbour Creations Steel Folding Chair"/>
    <n v="422.63"/>
    <n v="7"/>
    <x v="62"/>
    <x v="11"/>
    <x v="1"/>
  </r>
  <r>
    <n v="44918"/>
    <x v="32"/>
    <x v="6"/>
    <x v="0"/>
    <x v="12"/>
    <s v="Belkin Premiere Surge Master II 8-outlet surge protector"/>
    <n v="194.32"/>
    <n v="4"/>
    <x v="2813"/>
    <x v="11"/>
    <x v="1"/>
  </r>
  <r>
    <n v="44919"/>
    <x v="557"/>
    <x v="10"/>
    <x v="0"/>
    <x v="7"/>
    <s v="OIC Bulk Pack Metal Binder Clips"/>
    <n v="5.58"/>
    <n v="2"/>
    <x v="1534"/>
    <x v="11"/>
    <x v="1"/>
  </r>
  <r>
    <n v="44919"/>
    <x v="557"/>
    <x v="10"/>
    <x v="0"/>
    <x v="0"/>
    <s v="While You Were Out Pads, 50 per Pad, 4 x 5 1/4, Green Cycle"/>
    <n v="22.7"/>
    <n v="6"/>
    <x v="1228"/>
    <x v="11"/>
    <x v="1"/>
  </r>
  <r>
    <n v="44919"/>
    <x v="557"/>
    <x v="10"/>
    <x v="0"/>
    <x v="3"/>
    <s v="Ibico Standard Transparent Covers"/>
    <n v="19.78"/>
    <n v="4"/>
    <x v="2814"/>
    <x v="11"/>
    <x v="1"/>
  </r>
  <r>
    <n v="44919"/>
    <x v="557"/>
    <x v="10"/>
    <x v="1"/>
    <x v="8"/>
    <s v="Executive Impressions 14&quot; Two-Color Numerals Wall Clock"/>
    <n v="72.7"/>
    <n v="4"/>
    <x v="2815"/>
    <x v="11"/>
    <x v="1"/>
  </r>
  <r>
    <n v="44919"/>
    <x v="557"/>
    <x v="10"/>
    <x v="2"/>
    <x v="15"/>
    <s v="Swingline SM12-08 MicroCut Jam Free Shredder"/>
    <n v="479.99"/>
    <n v="4"/>
    <x v="2816"/>
    <x v="11"/>
    <x v="1"/>
  </r>
  <r>
    <n v="44919"/>
    <x v="557"/>
    <x v="10"/>
    <x v="0"/>
    <x v="4"/>
    <s v="Stanley Bostitch Contemporary Electric Pencil Sharpeners"/>
    <n v="27.17"/>
    <n v="2"/>
    <x v="397"/>
    <x v="11"/>
    <x v="1"/>
  </r>
  <r>
    <n v="44919"/>
    <x v="639"/>
    <x v="20"/>
    <x v="0"/>
    <x v="0"/>
    <s v="Xerox 1887"/>
    <n v="132.79"/>
    <n v="7"/>
    <x v="2817"/>
    <x v="11"/>
    <x v="1"/>
  </r>
  <r>
    <n v="44919"/>
    <x v="639"/>
    <x v="20"/>
    <x v="0"/>
    <x v="0"/>
    <s v="Xerox 1967"/>
    <n v="12.96"/>
    <n v="2"/>
    <x v="113"/>
    <x v="11"/>
    <x v="1"/>
  </r>
  <r>
    <n v="44919"/>
    <x v="639"/>
    <x v="20"/>
    <x v="0"/>
    <x v="1"/>
    <s v="Smead Alpha-Z Color-Coded Second Alphabetical Labels and Starter Set"/>
    <n v="21.56"/>
    <n v="7"/>
    <x v="381"/>
    <x v="11"/>
    <x v="1"/>
  </r>
  <r>
    <n v="44919"/>
    <x v="728"/>
    <x v="26"/>
    <x v="1"/>
    <x v="11"/>
    <s v="Atlantic Metals Mobile 4-Shelf Bookcases, Custom Colors"/>
    <n v="590.05999999999995"/>
    <n v="7"/>
    <x v="2818"/>
    <x v="11"/>
    <x v="1"/>
  </r>
  <r>
    <n v="44919"/>
    <x v="728"/>
    <x v="26"/>
    <x v="0"/>
    <x v="4"/>
    <s v="Dixon My First Ticonderoga Pencil, #2"/>
    <n v="14.04"/>
    <n v="3"/>
    <x v="2286"/>
    <x v="11"/>
    <x v="1"/>
  </r>
  <r>
    <n v="44919"/>
    <x v="389"/>
    <x v="12"/>
    <x v="0"/>
    <x v="0"/>
    <s v="Computer Printout Paper with Letter-Trim Perforations"/>
    <n v="106.23"/>
    <n v="7"/>
    <x v="2819"/>
    <x v="11"/>
    <x v="1"/>
  </r>
  <r>
    <n v="44919"/>
    <x v="389"/>
    <x v="12"/>
    <x v="2"/>
    <x v="6"/>
    <s v="ClearSounds CSC500 Amplified Spirit Phone Corded phone"/>
    <n v="111.98"/>
    <n v="2"/>
    <x v="592"/>
    <x v="11"/>
    <x v="1"/>
  </r>
  <r>
    <n v="44919"/>
    <x v="389"/>
    <x v="12"/>
    <x v="1"/>
    <x v="8"/>
    <s v="Magna Visual Magnetic Picture Hangers"/>
    <n v="7.71"/>
    <n v="2"/>
    <x v="803"/>
    <x v="11"/>
    <x v="1"/>
  </r>
  <r>
    <n v="44919"/>
    <x v="535"/>
    <x v="12"/>
    <x v="1"/>
    <x v="5"/>
    <s v="SAFCO Arco Folding Chair"/>
    <n v="883.84"/>
    <n v="4"/>
    <x v="2605"/>
    <x v="11"/>
    <x v="1"/>
  </r>
  <r>
    <n v="44919"/>
    <x v="388"/>
    <x v="3"/>
    <x v="0"/>
    <x v="3"/>
    <s v="Avery Hole Reinforcements"/>
    <n v="19.940000000000001"/>
    <n v="4"/>
    <x v="2820"/>
    <x v="11"/>
    <x v="1"/>
  </r>
  <r>
    <n v="44919"/>
    <x v="388"/>
    <x v="3"/>
    <x v="0"/>
    <x v="7"/>
    <s v="Vinyl Coated Wire Paper Clips in Organizer Box, 800/Box"/>
    <n v="45.92"/>
    <n v="4"/>
    <x v="2821"/>
    <x v="11"/>
    <x v="1"/>
  </r>
  <r>
    <n v="44919"/>
    <x v="312"/>
    <x v="24"/>
    <x v="1"/>
    <x v="8"/>
    <s v="Eldon Regeneration Recycled Desk Accessories, Black"/>
    <n v="9.68"/>
    <n v="2"/>
    <x v="2822"/>
    <x v="11"/>
    <x v="1"/>
  </r>
  <r>
    <n v="44919"/>
    <x v="312"/>
    <x v="24"/>
    <x v="2"/>
    <x v="16"/>
    <s v="Canon PC1060 Personal Laser Copier"/>
    <n v="4899.93"/>
    <n v="7"/>
    <x v="2823"/>
    <x v="11"/>
    <x v="1"/>
  </r>
  <r>
    <n v="44920"/>
    <x v="514"/>
    <x v="2"/>
    <x v="1"/>
    <x v="8"/>
    <s v="Tenex Antistatic Computer Chair Mats"/>
    <n v="547.14"/>
    <n v="4"/>
    <x v="1797"/>
    <x v="11"/>
    <x v="1"/>
  </r>
  <r>
    <n v="44920"/>
    <x v="337"/>
    <x v="15"/>
    <x v="0"/>
    <x v="1"/>
    <s v="Avery 474"/>
    <n v="9.2200000000000006"/>
    <n v="4"/>
    <x v="2627"/>
    <x v="11"/>
    <x v="1"/>
  </r>
  <r>
    <n v="44920"/>
    <x v="337"/>
    <x v="15"/>
    <x v="0"/>
    <x v="0"/>
    <s v="Xerox 227"/>
    <n v="10.37"/>
    <n v="2"/>
    <x v="316"/>
    <x v="11"/>
    <x v="1"/>
  </r>
  <r>
    <n v="44920"/>
    <x v="729"/>
    <x v="14"/>
    <x v="2"/>
    <x v="6"/>
    <s v="Logitech B530 USBÂ HeadsetÂ -Â headsetÂ - Full size, Binaural"/>
    <n v="73.98"/>
    <n v="2"/>
    <x v="613"/>
    <x v="11"/>
    <x v="1"/>
  </r>
  <r>
    <n v="44920"/>
    <x v="729"/>
    <x v="14"/>
    <x v="1"/>
    <x v="11"/>
    <s v="Rush Hierlooms Collection Rich Wood Bookcases"/>
    <n v="160.97999999999999"/>
    <n v="1"/>
    <x v="2824"/>
    <x v="11"/>
    <x v="1"/>
  </r>
  <r>
    <n v="44920"/>
    <x v="729"/>
    <x v="14"/>
    <x v="0"/>
    <x v="0"/>
    <s v="Xerox 1978"/>
    <n v="17.34"/>
    <n v="3"/>
    <x v="838"/>
    <x v="11"/>
    <x v="1"/>
  </r>
  <r>
    <n v="44920"/>
    <x v="729"/>
    <x v="14"/>
    <x v="0"/>
    <x v="4"/>
    <s v="Newell 351"/>
    <n v="3.28"/>
    <n v="1"/>
    <x v="2825"/>
    <x v="11"/>
    <x v="1"/>
  </r>
  <r>
    <n v="44920"/>
    <x v="412"/>
    <x v="20"/>
    <x v="0"/>
    <x v="12"/>
    <s v="Kensington 7 Outlet MasterPiece Power Center with Fax/Phone Line Protection"/>
    <n v="414.96"/>
    <n v="2"/>
    <x v="2505"/>
    <x v="11"/>
    <x v="1"/>
  </r>
  <r>
    <n v="44920"/>
    <x v="565"/>
    <x v="3"/>
    <x v="2"/>
    <x v="16"/>
    <s v="Brother DCP1000 Digital 3 in 1 Multifunction Machine"/>
    <n v="1199.96"/>
    <n v="5"/>
    <x v="2826"/>
    <x v="11"/>
    <x v="1"/>
  </r>
  <r>
    <n v="44920"/>
    <x v="565"/>
    <x v="3"/>
    <x v="0"/>
    <x v="0"/>
    <s v="Important Message Pads, 50 4-1/4 x 5-1/2 Forms per Pad"/>
    <n v="12.6"/>
    <n v="3"/>
    <x v="2459"/>
    <x v="11"/>
    <x v="1"/>
  </r>
  <r>
    <n v="44920"/>
    <x v="565"/>
    <x v="3"/>
    <x v="0"/>
    <x v="0"/>
    <s v="Great White Multi-Use Recycled Paper (20Lb. and 84 Bright)"/>
    <n v="17.940000000000001"/>
    <n v="3"/>
    <x v="858"/>
    <x v="11"/>
    <x v="1"/>
  </r>
  <r>
    <n v="44920"/>
    <x v="352"/>
    <x v="4"/>
    <x v="1"/>
    <x v="8"/>
    <s v="Tenex B1-RE Series Chair Mats for Low Pile Carpets"/>
    <n v="275.88"/>
    <n v="6"/>
    <x v="2827"/>
    <x v="11"/>
    <x v="1"/>
  </r>
  <r>
    <n v="44920"/>
    <x v="352"/>
    <x v="4"/>
    <x v="0"/>
    <x v="3"/>
    <s v="Tuf-Vin Binders"/>
    <n v="157.9"/>
    <n v="5"/>
    <x v="2828"/>
    <x v="11"/>
    <x v="1"/>
  </r>
  <r>
    <n v="44920"/>
    <x v="232"/>
    <x v="20"/>
    <x v="2"/>
    <x v="9"/>
    <s v="Plantronics Savi W720 Multi-Device Wireless Headset System"/>
    <n v="843.9"/>
    <n v="2"/>
    <x v="2829"/>
    <x v="11"/>
    <x v="1"/>
  </r>
  <r>
    <n v="44920"/>
    <x v="232"/>
    <x v="20"/>
    <x v="1"/>
    <x v="11"/>
    <s v="Atlantic Metals Mobile 4-Shelf Bookcases, Custom Colors"/>
    <n v="449.57"/>
    <n v="2"/>
    <x v="462"/>
    <x v="11"/>
    <x v="1"/>
  </r>
  <r>
    <n v="44920"/>
    <x v="88"/>
    <x v="3"/>
    <x v="0"/>
    <x v="0"/>
    <s v="Xerox 1949"/>
    <n v="9.9600000000000009"/>
    <n v="2"/>
    <x v="4"/>
    <x v="11"/>
    <x v="1"/>
  </r>
  <r>
    <n v="44921"/>
    <x v="12"/>
    <x v="32"/>
    <x v="0"/>
    <x v="7"/>
    <s v="Staples"/>
    <n v="22.2"/>
    <n v="5"/>
    <x v="2368"/>
    <x v="11"/>
    <x v="1"/>
  </r>
  <r>
    <n v="44921"/>
    <x v="260"/>
    <x v="10"/>
    <x v="1"/>
    <x v="13"/>
    <s v="KI Adjustable-Height Table"/>
    <n v="51.59"/>
    <n v="1"/>
    <x v="2830"/>
    <x v="11"/>
    <x v="1"/>
  </r>
  <r>
    <n v="44921"/>
    <x v="680"/>
    <x v="0"/>
    <x v="1"/>
    <x v="5"/>
    <s v="Office Star - Contemporary Task Swivel chair with 2-way adjustable arms, Plum"/>
    <n v="275.06"/>
    <n v="3"/>
    <x v="2831"/>
    <x v="11"/>
    <x v="1"/>
  </r>
  <r>
    <n v="44921"/>
    <x v="447"/>
    <x v="20"/>
    <x v="0"/>
    <x v="0"/>
    <s v="Xerox 1906"/>
    <n v="212.64"/>
    <n v="6"/>
    <x v="1774"/>
    <x v="11"/>
    <x v="1"/>
  </r>
  <r>
    <n v="44922"/>
    <x v="188"/>
    <x v="0"/>
    <x v="0"/>
    <x v="10"/>
    <s v="#10-4 1/8&quot; x 9 1/2&quot; Premium Diagonal Seam Envelopes"/>
    <n v="113.33"/>
    <n v="9"/>
    <x v="2832"/>
    <x v="11"/>
    <x v="1"/>
  </r>
  <r>
    <n v="44922"/>
    <x v="188"/>
    <x v="0"/>
    <x v="1"/>
    <x v="11"/>
    <s v="Atlantic Metals Mobile 3-Shelf Bookcases, Custom Colors"/>
    <n v="532.4"/>
    <n v="3"/>
    <x v="2833"/>
    <x v="11"/>
    <x v="1"/>
  </r>
  <r>
    <n v="44922"/>
    <x v="188"/>
    <x v="0"/>
    <x v="1"/>
    <x v="5"/>
    <s v="Global Fabric Manager's Chair, Dark Gray"/>
    <n v="212.06"/>
    <n v="3"/>
    <x v="2834"/>
    <x v="11"/>
    <x v="1"/>
  </r>
  <r>
    <n v="44922"/>
    <x v="188"/>
    <x v="0"/>
    <x v="2"/>
    <x v="6"/>
    <s v="Plantronics HL10 Handset Lifter"/>
    <n v="371.17"/>
    <n v="4"/>
    <x v="2835"/>
    <x v="11"/>
    <x v="1"/>
  </r>
  <r>
    <n v="44922"/>
    <x v="496"/>
    <x v="13"/>
    <x v="0"/>
    <x v="10"/>
    <s v="Strathmore #10 Envelopes, Ultimate White"/>
    <n v="105.42"/>
    <n v="2"/>
    <x v="2836"/>
    <x v="11"/>
    <x v="1"/>
  </r>
  <r>
    <n v="44922"/>
    <x v="730"/>
    <x v="36"/>
    <x v="0"/>
    <x v="0"/>
    <s v="Xerox 1950"/>
    <n v="28.9"/>
    <n v="5"/>
    <x v="2294"/>
    <x v="11"/>
    <x v="1"/>
  </r>
  <r>
    <n v="44922"/>
    <x v="730"/>
    <x v="36"/>
    <x v="0"/>
    <x v="12"/>
    <s v="Kensington 7 Outlet MasterPiece Power Center"/>
    <n v="355.96"/>
    <n v="2"/>
    <x v="2837"/>
    <x v="11"/>
    <x v="1"/>
  </r>
  <r>
    <n v="44922"/>
    <x v="316"/>
    <x v="3"/>
    <x v="0"/>
    <x v="12"/>
    <s v="Belkin F9G930V10-GRY 9 Outlet Surge"/>
    <n v="106.96"/>
    <n v="2"/>
    <x v="334"/>
    <x v="11"/>
    <x v="1"/>
  </r>
  <r>
    <n v="44922"/>
    <x v="316"/>
    <x v="3"/>
    <x v="0"/>
    <x v="1"/>
    <s v="Avery 497"/>
    <n v="21.56"/>
    <n v="7"/>
    <x v="381"/>
    <x v="11"/>
    <x v="1"/>
  </r>
  <r>
    <n v="44922"/>
    <x v="108"/>
    <x v="1"/>
    <x v="0"/>
    <x v="2"/>
    <s v="Sterilite Show Offs Storage Containers"/>
    <n v="12.67"/>
    <n v="3"/>
    <x v="2838"/>
    <x v="11"/>
    <x v="1"/>
  </r>
  <r>
    <n v="44922"/>
    <x v="148"/>
    <x v="3"/>
    <x v="2"/>
    <x v="9"/>
    <s v="Maxell 4.7GB DVD-R 5/Pack"/>
    <n v="7.92"/>
    <n v="8"/>
    <x v="994"/>
    <x v="11"/>
    <x v="1"/>
  </r>
  <r>
    <n v="44922"/>
    <x v="238"/>
    <x v="21"/>
    <x v="0"/>
    <x v="0"/>
    <s v="Xerox 1917"/>
    <n v="195.64"/>
    <n v="4"/>
    <x v="1602"/>
    <x v="11"/>
    <x v="1"/>
  </r>
  <r>
    <n v="44922"/>
    <x v="238"/>
    <x v="21"/>
    <x v="2"/>
    <x v="6"/>
    <s v="Cisco SPA 502G IP Phone"/>
    <n v="239.9"/>
    <n v="2"/>
    <x v="2839"/>
    <x v="11"/>
    <x v="1"/>
  </r>
  <r>
    <n v="44922"/>
    <x v="639"/>
    <x v="10"/>
    <x v="1"/>
    <x v="13"/>
    <s v="Riverside Furniture Oval Coffee Table, Oval End Table, End Table with Drawer"/>
    <n v="1548.99"/>
    <n v="9"/>
    <x v="2840"/>
    <x v="11"/>
    <x v="1"/>
  </r>
  <r>
    <n v="44922"/>
    <x v="639"/>
    <x v="10"/>
    <x v="0"/>
    <x v="10"/>
    <s v="Staple envelope"/>
    <n v="19.87"/>
    <n v="3"/>
    <x v="2499"/>
    <x v="11"/>
    <x v="1"/>
  </r>
  <r>
    <n v="44922"/>
    <x v="569"/>
    <x v="15"/>
    <x v="2"/>
    <x v="9"/>
    <s v="Maxell CD-R Discs"/>
    <n v="4.7300000000000004"/>
    <n v="3"/>
    <x v="2841"/>
    <x v="11"/>
    <x v="1"/>
  </r>
  <r>
    <n v="44922"/>
    <x v="569"/>
    <x v="15"/>
    <x v="1"/>
    <x v="8"/>
    <s v="Executive Impressions 14&quot; Contract Wall Clock with Quartz Movement"/>
    <n v="53.35"/>
    <n v="3"/>
    <x v="841"/>
    <x v="11"/>
    <x v="1"/>
  </r>
  <r>
    <n v="44922"/>
    <x v="569"/>
    <x v="15"/>
    <x v="1"/>
    <x v="11"/>
    <s v="O'Sullivan 5-Shelf Heavy-Duty Bookcases"/>
    <n v="131.1"/>
    <n v="2"/>
    <x v="2842"/>
    <x v="11"/>
    <x v="1"/>
  </r>
  <r>
    <n v="44922"/>
    <x v="569"/>
    <x v="15"/>
    <x v="0"/>
    <x v="2"/>
    <s v="Staple magnet"/>
    <n v="22.51"/>
    <n v="3"/>
    <x v="281"/>
    <x v="11"/>
    <x v="1"/>
  </r>
  <r>
    <n v="44922"/>
    <x v="569"/>
    <x v="15"/>
    <x v="2"/>
    <x v="9"/>
    <s v="SanDisk Ultra 16 GB MicroSDHC Class 10 Memory Card"/>
    <n v="72.739999999999995"/>
    <n v="7"/>
    <x v="2843"/>
    <x v="11"/>
    <x v="1"/>
  </r>
  <r>
    <n v="44922"/>
    <x v="160"/>
    <x v="3"/>
    <x v="0"/>
    <x v="2"/>
    <s v="Fellowes Super Stor/Drawer Files"/>
    <n v="323.10000000000002"/>
    <n v="2"/>
    <x v="1983"/>
    <x v="11"/>
    <x v="1"/>
  </r>
  <r>
    <n v="44922"/>
    <x v="160"/>
    <x v="3"/>
    <x v="2"/>
    <x v="6"/>
    <s v="Geemarc AmpliPOWER60"/>
    <n v="668.16"/>
    <n v="9"/>
    <x v="2844"/>
    <x v="11"/>
    <x v="1"/>
  </r>
  <r>
    <n v="44923"/>
    <x v="699"/>
    <x v="2"/>
    <x v="2"/>
    <x v="9"/>
    <s v="Lenovo 17-Key USB Numeric Keypad"/>
    <n v="54.38"/>
    <n v="2"/>
    <x v="18"/>
    <x v="11"/>
    <x v="1"/>
  </r>
  <r>
    <n v="44923"/>
    <x v="681"/>
    <x v="1"/>
    <x v="0"/>
    <x v="2"/>
    <s v="Tenex Personal Filing Tote With Secure Closure Lid, Black/Frost"/>
    <n v="24.82"/>
    <n v="2"/>
    <x v="839"/>
    <x v="11"/>
    <x v="1"/>
  </r>
  <r>
    <n v="44924"/>
    <x v="503"/>
    <x v="20"/>
    <x v="0"/>
    <x v="14"/>
    <s v="Acme Serrated Blade Letter Opener"/>
    <n v="6.36"/>
    <n v="2"/>
    <x v="1164"/>
    <x v="11"/>
    <x v="1"/>
  </r>
  <r>
    <n v="44925"/>
    <x v="68"/>
    <x v="3"/>
    <x v="0"/>
    <x v="0"/>
    <s v="Xerox 1929"/>
    <n v="68.52"/>
    <n v="3"/>
    <x v="2845"/>
    <x v="11"/>
    <x v="1"/>
  </r>
  <r>
    <n v="44925"/>
    <x v="68"/>
    <x v="3"/>
    <x v="0"/>
    <x v="2"/>
    <s v="2300 Heavy-Duty Transfer File Systems by Perma"/>
    <n v="74.94"/>
    <n v="3"/>
    <x v="2846"/>
    <x v="11"/>
    <x v="1"/>
  </r>
  <r>
    <n v="44925"/>
    <x v="68"/>
    <x v="3"/>
    <x v="2"/>
    <x v="15"/>
    <s v="Zebra GX420t Direct Thermal/Thermal Transfer Printer"/>
    <n v="2548.56"/>
    <n v="6"/>
    <x v="2847"/>
    <x v="11"/>
    <x v="1"/>
  </r>
  <r>
    <n v="44925"/>
    <x v="68"/>
    <x v="3"/>
    <x v="0"/>
    <x v="10"/>
    <s v="Tyvek Side-Opening Peel &amp; Seel Expanding Envelopes"/>
    <n v="271.44"/>
    <n v="3"/>
    <x v="2724"/>
    <x v="11"/>
    <x v="1"/>
  </r>
  <r>
    <n v="44925"/>
    <x v="68"/>
    <x v="3"/>
    <x v="2"/>
    <x v="6"/>
    <s v="Cisco SPA 502G IP Phone"/>
    <n v="287.88"/>
    <n v="3"/>
    <x v="1992"/>
    <x v="11"/>
    <x v="1"/>
  </r>
  <r>
    <n v="44926"/>
    <x v="117"/>
    <x v="35"/>
    <x v="0"/>
    <x v="3"/>
    <s v="Ibico Hi-Tech Manual Binding System"/>
    <n v="487.98"/>
    <n v="2"/>
    <x v="1511"/>
    <x v="11"/>
    <x v="1"/>
  </r>
  <r>
    <n v="44926"/>
    <x v="335"/>
    <x v="0"/>
    <x v="1"/>
    <x v="8"/>
    <s v="Eldon Expressions Wood Desk Accessories, Oak"/>
    <n v="14.76"/>
    <n v="5"/>
    <x v="2151"/>
    <x v="11"/>
    <x v="1"/>
  </r>
  <r>
    <n v="44926"/>
    <x v="335"/>
    <x v="0"/>
    <x v="0"/>
    <x v="3"/>
    <s v="Newell 3-Hole Punched Plastic Slotted Magazine Holders for Binders"/>
    <n v="3.66"/>
    <n v="4"/>
    <x v="2848"/>
    <x v="11"/>
    <x v="1"/>
  </r>
  <r>
    <n v="44926"/>
    <x v="385"/>
    <x v="5"/>
    <x v="0"/>
    <x v="3"/>
    <s v="Tuf-Vin Binders"/>
    <n v="94.74"/>
    <n v="3"/>
    <x v="2849"/>
    <x v="11"/>
    <x v="1"/>
  </r>
  <r>
    <n v="44926"/>
    <x v="385"/>
    <x v="5"/>
    <x v="0"/>
    <x v="3"/>
    <s v="GBC Clear Cover, 8-1/2 x 11, unpunched, 25 covers per pack"/>
    <n v="60.64"/>
    <n v="4"/>
    <x v="2850"/>
    <x v="11"/>
    <x v="1"/>
  </r>
  <r>
    <n v="44926"/>
    <x v="385"/>
    <x v="5"/>
    <x v="0"/>
    <x v="3"/>
    <s v="Aluminum Screw Posts"/>
    <n v="76.3"/>
    <n v="5"/>
    <x v="2851"/>
    <x v="11"/>
    <x v="1"/>
  </r>
  <r>
    <n v="44926"/>
    <x v="385"/>
    <x v="5"/>
    <x v="0"/>
    <x v="3"/>
    <s v="Ibico Plastic Spiral Binding Combs"/>
    <n v="364.8"/>
    <n v="12"/>
    <x v="2852"/>
    <x v="11"/>
    <x v="1"/>
  </r>
  <r>
    <n v="44926"/>
    <x v="497"/>
    <x v="0"/>
    <x v="0"/>
    <x v="2"/>
    <s v="Fellowes Stor/Drawer Steel Plus Storage Drawers"/>
    <n v="152.69"/>
    <n v="2"/>
    <x v="2853"/>
    <x v="11"/>
    <x v="1"/>
  </r>
  <r>
    <n v="44926"/>
    <x v="497"/>
    <x v="0"/>
    <x v="0"/>
    <x v="7"/>
    <s v="Stockwell Push Pins"/>
    <n v="3.49"/>
    <n v="2"/>
    <x v="651"/>
    <x v="11"/>
    <x v="1"/>
  </r>
  <r>
    <n v="44926"/>
    <x v="497"/>
    <x v="0"/>
    <x v="0"/>
    <x v="14"/>
    <s v="Staple remover"/>
    <n v="5.89"/>
    <n v="2"/>
    <x v="2854"/>
    <x v="11"/>
    <x v="1"/>
  </r>
  <r>
    <n v="44926"/>
    <x v="123"/>
    <x v="14"/>
    <x v="0"/>
    <x v="3"/>
    <s v="Fellowes Presentation Covers for Comb Binding Machines"/>
    <n v="116.4"/>
    <n v="8"/>
    <x v="2855"/>
    <x v="11"/>
    <x v="1"/>
  </r>
  <r>
    <n v="44928"/>
    <x v="688"/>
    <x v="36"/>
    <x v="1"/>
    <x v="11"/>
    <s v="Bush Westfield Collection Bookcases, Medium Cherry Finish"/>
    <n v="173.94"/>
    <n v="3"/>
    <x v="2856"/>
    <x v="0"/>
    <x v="2"/>
  </r>
  <r>
    <n v="44928"/>
    <x v="688"/>
    <x v="36"/>
    <x v="2"/>
    <x v="6"/>
    <s v="GE 30522EE2"/>
    <n v="231.98"/>
    <n v="2"/>
    <x v="2857"/>
    <x v="0"/>
    <x v="2"/>
  </r>
  <r>
    <n v="44929"/>
    <x v="336"/>
    <x v="3"/>
    <x v="0"/>
    <x v="2"/>
    <s v="Recycled Steel Personal File for Hanging File Folders"/>
    <n v="114.46"/>
    <n v="2"/>
    <x v="2858"/>
    <x v="0"/>
    <x v="2"/>
  </r>
  <r>
    <n v="44929"/>
    <x v="305"/>
    <x v="0"/>
    <x v="2"/>
    <x v="9"/>
    <s v="ImationÂ Clip USBÂ flash driveÂ - 8 GB"/>
    <n v="30.08"/>
    <n v="2"/>
    <x v="2197"/>
    <x v="0"/>
    <x v="2"/>
  </r>
  <r>
    <n v="44929"/>
    <x v="305"/>
    <x v="0"/>
    <x v="2"/>
    <x v="9"/>
    <s v="WD My Passport Ultra 1TB Portable External Hard Drive"/>
    <n v="165.6"/>
    <n v="3"/>
    <x v="2859"/>
    <x v="0"/>
    <x v="2"/>
  </r>
  <r>
    <n v="44929"/>
    <x v="305"/>
    <x v="0"/>
    <x v="2"/>
    <x v="6"/>
    <s v="AT&amp;T 17929 Lendline Telephone"/>
    <n v="180.96"/>
    <n v="5"/>
    <x v="79"/>
    <x v="0"/>
    <x v="2"/>
  </r>
  <r>
    <n v="44929"/>
    <x v="731"/>
    <x v="39"/>
    <x v="1"/>
    <x v="13"/>
    <s v="Hon Practical Foundations 30 x 60 Training Table, Light Gray/Charcoal"/>
    <n v="1592.85"/>
    <n v="7"/>
    <x v="2860"/>
    <x v="0"/>
    <x v="2"/>
  </r>
  <r>
    <n v="44929"/>
    <x v="731"/>
    <x v="39"/>
    <x v="0"/>
    <x v="3"/>
    <s v="Storex Dura Pro Binders"/>
    <n v="11.88"/>
    <n v="2"/>
    <x v="394"/>
    <x v="0"/>
    <x v="2"/>
  </r>
  <r>
    <n v="44930"/>
    <x v="732"/>
    <x v="25"/>
    <x v="2"/>
    <x v="16"/>
    <s v="Hewlett Packard 310 Color Digital Copier"/>
    <n v="959.97"/>
    <n v="4"/>
    <x v="2861"/>
    <x v="0"/>
    <x v="2"/>
  </r>
  <r>
    <n v="44930"/>
    <x v="624"/>
    <x v="2"/>
    <x v="0"/>
    <x v="4"/>
    <s v="Newell 312"/>
    <n v="4.67"/>
    <n v="1"/>
    <x v="2292"/>
    <x v="0"/>
    <x v="2"/>
  </r>
  <r>
    <n v="44930"/>
    <x v="624"/>
    <x v="2"/>
    <x v="0"/>
    <x v="3"/>
    <s v="Avery Arch Ring Binders"/>
    <n v="104.58"/>
    <n v="6"/>
    <x v="2862"/>
    <x v="0"/>
    <x v="2"/>
  </r>
  <r>
    <n v="44931"/>
    <x v="202"/>
    <x v="16"/>
    <x v="2"/>
    <x v="9"/>
    <s v="LogitechÂ MX Performance Wireless Mouse"/>
    <n v="191.47"/>
    <n v="6"/>
    <x v="2863"/>
    <x v="0"/>
    <x v="2"/>
  </r>
  <r>
    <n v="44931"/>
    <x v="202"/>
    <x v="16"/>
    <x v="0"/>
    <x v="4"/>
    <s v="Newell 337"/>
    <n v="5.25"/>
    <n v="2"/>
    <x v="1908"/>
    <x v="0"/>
    <x v="2"/>
  </r>
  <r>
    <n v="44931"/>
    <x v="202"/>
    <x v="16"/>
    <x v="2"/>
    <x v="6"/>
    <s v="Logitech B530 USBÂ HeadsetÂ -Â headsetÂ - Full size, Binaural"/>
    <n v="59.18"/>
    <n v="2"/>
    <x v="510"/>
    <x v="0"/>
    <x v="2"/>
  </r>
  <r>
    <n v="44933"/>
    <x v="233"/>
    <x v="3"/>
    <x v="0"/>
    <x v="4"/>
    <s v="Panasonic KP-350BK Electric Pencil Sharpener with Auto Stop"/>
    <n v="34.58"/>
    <n v="1"/>
    <x v="2864"/>
    <x v="0"/>
    <x v="2"/>
  </r>
  <r>
    <n v="44933"/>
    <x v="685"/>
    <x v="0"/>
    <x v="1"/>
    <x v="8"/>
    <s v="Executive Impressions 13&quot; Clairmont Wall Clock"/>
    <n v="23.08"/>
    <n v="3"/>
    <x v="2865"/>
    <x v="0"/>
    <x v="2"/>
  </r>
  <r>
    <n v="44933"/>
    <x v="685"/>
    <x v="0"/>
    <x v="0"/>
    <x v="0"/>
    <s v="Xerox 212"/>
    <n v="25.92"/>
    <n v="5"/>
    <x v="278"/>
    <x v="0"/>
    <x v="2"/>
  </r>
  <r>
    <n v="44934"/>
    <x v="4"/>
    <x v="21"/>
    <x v="1"/>
    <x v="11"/>
    <s v="Atlantic Metals Mobile 3-Shelf Bookcases, Custom Colors"/>
    <n v="1565.88"/>
    <n v="6"/>
    <x v="2866"/>
    <x v="0"/>
    <x v="2"/>
  </r>
  <r>
    <n v="44934"/>
    <x v="4"/>
    <x v="21"/>
    <x v="0"/>
    <x v="3"/>
    <s v="Plastic Binding Combs"/>
    <n v="106.05"/>
    <n v="7"/>
    <x v="2867"/>
    <x v="0"/>
    <x v="2"/>
  </r>
  <r>
    <n v="44934"/>
    <x v="6"/>
    <x v="25"/>
    <x v="0"/>
    <x v="3"/>
    <s v="XtraLife ClearVue Slant-D Ring Binder, White, 3&quot;"/>
    <n v="30.83"/>
    <n v="7"/>
    <x v="2868"/>
    <x v="0"/>
    <x v="2"/>
  </r>
  <r>
    <n v="44934"/>
    <x v="6"/>
    <x v="25"/>
    <x v="0"/>
    <x v="4"/>
    <s v="Newell 319"/>
    <n v="47.62"/>
    <n v="3"/>
    <x v="2869"/>
    <x v="0"/>
    <x v="2"/>
  </r>
  <r>
    <n v="44934"/>
    <x v="6"/>
    <x v="25"/>
    <x v="2"/>
    <x v="6"/>
    <s v="Avaya 5410 Digital phone"/>
    <n v="108.78"/>
    <n v="2"/>
    <x v="1005"/>
    <x v="0"/>
    <x v="2"/>
  </r>
  <r>
    <n v="44935"/>
    <x v="174"/>
    <x v="3"/>
    <x v="2"/>
    <x v="9"/>
    <s v="Logitech G500s Laser Gaming Mouse with Adjustable Weight Tuning"/>
    <n v="349.95"/>
    <n v="5"/>
    <x v="2870"/>
    <x v="0"/>
    <x v="2"/>
  </r>
  <r>
    <n v="44935"/>
    <x v="174"/>
    <x v="3"/>
    <x v="2"/>
    <x v="6"/>
    <s v="netTALK DUO VoIP Telephone Service"/>
    <n v="377.93"/>
    <n v="9"/>
    <x v="2871"/>
    <x v="0"/>
    <x v="2"/>
  </r>
  <r>
    <n v="44935"/>
    <x v="591"/>
    <x v="10"/>
    <x v="1"/>
    <x v="8"/>
    <s v="DAX Two-Tone Rosewood/Black Document Frame, Desktop, 5 x 7"/>
    <n v="15.17"/>
    <n v="2"/>
    <x v="1158"/>
    <x v="0"/>
    <x v="2"/>
  </r>
  <r>
    <n v="44936"/>
    <x v="127"/>
    <x v="22"/>
    <x v="1"/>
    <x v="8"/>
    <s v="24-Hour Round Wall Clock"/>
    <n v="79.92"/>
    <n v="4"/>
    <x v="2872"/>
    <x v="0"/>
    <x v="2"/>
  </r>
  <r>
    <n v="44936"/>
    <x v="127"/>
    <x v="22"/>
    <x v="2"/>
    <x v="9"/>
    <s v="Logitech Media Keyboard K200"/>
    <n v="69.98"/>
    <n v="2"/>
    <x v="1574"/>
    <x v="0"/>
    <x v="2"/>
  </r>
  <r>
    <n v="44936"/>
    <x v="733"/>
    <x v="22"/>
    <x v="1"/>
    <x v="8"/>
    <s v="DAX Value U-Channel Document Frames, Easel Back"/>
    <n v="24.85"/>
    <n v="5"/>
    <x v="472"/>
    <x v="0"/>
    <x v="2"/>
  </r>
  <r>
    <n v="44937"/>
    <x v="354"/>
    <x v="10"/>
    <x v="0"/>
    <x v="0"/>
    <s v="Xerox 2"/>
    <n v="15.55"/>
    <n v="3"/>
    <x v="192"/>
    <x v="0"/>
    <x v="2"/>
  </r>
  <r>
    <n v="44937"/>
    <x v="354"/>
    <x v="10"/>
    <x v="0"/>
    <x v="0"/>
    <s v="Xerox 1935"/>
    <n v="63.31"/>
    <n v="3"/>
    <x v="2608"/>
    <x v="0"/>
    <x v="2"/>
  </r>
  <r>
    <n v="44937"/>
    <x v="354"/>
    <x v="10"/>
    <x v="2"/>
    <x v="6"/>
    <s v="Cyber Acoustics AC-202b Speech Recognition Stereo Headset"/>
    <n v="15.59"/>
    <n v="2"/>
    <x v="2873"/>
    <x v="0"/>
    <x v="2"/>
  </r>
  <r>
    <n v="44937"/>
    <x v="114"/>
    <x v="10"/>
    <x v="1"/>
    <x v="8"/>
    <s v="Ultra Door Push Plate"/>
    <n v="54.99"/>
    <n v="14"/>
    <x v="2874"/>
    <x v="0"/>
    <x v="2"/>
  </r>
  <r>
    <n v="44940"/>
    <x v="643"/>
    <x v="25"/>
    <x v="0"/>
    <x v="0"/>
    <s v="Xerox 1882"/>
    <n v="89.57"/>
    <n v="2"/>
    <x v="2875"/>
    <x v="0"/>
    <x v="2"/>
  </r>
  <r>
    <n v="44940"/>
    <x v="643"/>
    <x v="25"/>
    <x v="1"/>
    <x v="8"/>
    <s v="Electrix Fluorescent Magnifier Lamps &amp; Weighted Base"/>
    <n v="315.77999999999997"/>
    <n v="8"/>
    <x v="1147"/>
    <x v="0"/>
    <x v="2"/>
  </r>
  <r>
    <n v="44941"/>
    <x v="222"/>
    <x v="23"/>
    <x v="0"/>
    <x v="10"/>
    <s v="Quality Park Security Envelopes"/>
    <n v="52.34"/>
    <n v="2"/>
    <x v="2876"/>
    <x v="0"/>
    <x v="2"/>
  </r>
  <r>
    <n v="44941"/>
    <x v="222"/>
    <x v="23"/>
    <x v="0"/>
    <x v="4"/>
    <s v="American Pencil"/>
    <n v="4.66"/>
    <n v="2"/>
    <x v="2877"/>
    <x v="0"/>
    <x v="2"/>
  </r>
  <r>
    <n v="44941"/>
    <x v="222"/>
    <x v="23"/>
    <x v="2"/>
    <x v="9"/>
    <s v="LogitechÂ Gaming G510s - Keyboard"/>
    <n v="254.97"/>
    <n v="3"/>
    <x v="2878"/>
    <x v="0"/>
    <x v="2"/>
  </r>
  <r>
    <n v="44941"/>
    <x v="554"/>
    <x v="37"/>
    <x v="1"/>
    <x v="13"/>
    <s v="Bevis Round Bullnose 29&quot; High Table Top"/>
    <n v="181.8"/>
    <n v="1"/>
    <x v="2879"/>
    <x v="0"/>
    <x v="2"/>
  </r>
  <r>
    <n v="44941"/>
    <x v="494"/>
    <x v="20"/>
    <x v="0"/>
    <x v="10"/>
    <s v="#10 Gummed Flap White Envelopes, 100/Box"/>
    <n v="16.52"/>
    <n v="4"/>
    <x v="920"/>
    <x v="0"/>
    <x v="2"/>
  </r>
  <r>
    <n v="44941"/>
    <x v="494"/>
    <x v="20"/>
    <x v="0"/>
    <x v="0"/>
    <s v="Xerox 1959"/>
    <n v="60.12"/>
    <n v="9"/>
    <x v="2345"/>
    <x v="0"/>
    <x v="2"/>
  </r>
  <r>
    <n v="44941"/>
    <x v="494"/>
    <x v="20"/>
    <x v="0"/>
    <x v="3"/>
    <s v="Square Ring Data Binders, Rigid 75 Pt. Covers, 11&quot; x 14-7/8&quot;"/>
    <n v="49.54"/>
    <n v="3"/>
    <x v="2880"/>
    <x v="0"/>
    <x v="2"/>
  </r>
  <r>
    <n v="44941"/>
    <x v="734"/>
    <x v="20"/>
    <x v="0"/>
    <x v="0"/>
    <s v="Xerox 1893"/>
    <n v="81.98"/>
    <n v="2"/>
    <x v="1045"/>
    <x v="0"/>
    <x v="2"/>
  </r>
  <r>
    <n v="44942"/>
    <x v="281"/>
    <x v="3"/>
    <x v="0"/>
    <x v="3"/>
    <s v="Wilson Jones Active Use Binders"/>
    <n v="11.65"/>
    <n v="2"/>
    <x v="2881"/>
    <x v="0"/>
    <x v="2"/>
  </r>
  <r>
    <n v="44942"/>
    <x v="281"/>
    <x v="3"/>
    <x v="2"/>
    <x v="9"/>
    <s v="ImationÂ 8GB Mini TravelDrive USB 2.0Â Flash Drive"/>
    <n v="90.57"/>
    <n v="3"/>
    <x v="2882"/>
    <x v="0"/>
    <x v="2"/>
  </r>
  <r>
    <n v="44943"/>
    <x v="684"/>
    <x v="38"/>
    <x v="1"/>
    <x v="8"/>
    <s v="Tenex Contemporary Contur Chairmats for Low and Medium Pile Carpet, Computer, 39&quot; x 49&quot;"/>
    <n v="322.58999999999997"/>
    <n v="3"/>
    <x v="2682"/>
    <x v="0"/>
    <x v="2"/>
  </r>
  <r>
    <n v="44943"/>
    <x v="684"/>
    <x v="38"/>
    <x v="2"/>
    <x v="9"/>
    <s v="Logitech 910-002974 M325 Wireless Mouse for Web Scrolling"/>
    <n v="29.99"/>
    <n v="1"/>
    <x v="966"/>
    <x v="0"/>
    <x v="2"/>
  </r>
  <r>
    <n v="44943"/>
    <x v="684"/>
    <x v="38"/>
    <x v="2"/>
    <x v="9"/>
    <s v="Logitech G19 Programmable Gaming Keyboard"/>
    <n v="371.97"/>
    <n v="3"/>
    <x v="2548"/>
    <x v="0"/>
    <x v="2"/>
  </r>
  <r>
    <n v="44943"/>
    <x v="729"/>
    <x v="4"/>
    <x v="2"/>
    <x v="9"/>
    <s v="First Data FD10 PIN Pad"/>
    <n v="316"/>
    <n v="4"/>
    <x v="2883"/>
    <x v="0"/>
    <x v="2"/>
  </r>
  <r>
    <n v="44947"/>
    <x v="210"/>
    <x v="3"/>
    <x v="1"/>
    <x v="5"/>
    <s v="Global Super Steno Chair"/>
    <n v="153.57"/>
    <n v="2"/>
    <x v="2884"/>
    <x v="0"/>
    <x v="2"/>
  </r>
  <r>
    <n v="44947"/>
    <x v="210"/>
    <x v="3"/>
    <x v="1"/>
    <x v="5"/>
    <s v="Global Ergonomic Managers Chair"/>
    <n v="1013.49"/>
    <n v="7"/>
    <x v="2885"/>
    <x v="0"/>
    <x v="2"/>
  </r>
  <r>
    <n v="44948"/>
    <x v="194"/>
    <x v="23"/>
    <x v="0"/>
    <x v="7"/>
    <s v="Bagged Rubber Bands"/>
    <n v="7.56"/>
    <n v="6"/>
    <x v="1481"/>
    <x v="0"/>
    <x v="2"/>
  </r>
  <r>
    <n v="44948"/>
    <x v="695"/>
    <x v="25"/>
    <x v="1"/>
    <x v="8"/>
    <s v="Eldon Pizzaz Desk Accessories"/>
    <n v="14.27"/>
    <n v="8"/>
    <x v="1180"/>
    <x v="0"/>
    <x v="2"/>
  </r>
  <r>
    <n v="44948"/>
    <x v="695"/>
    <x v="25"/>
    <x v="1"/>
    <x v="11"/>
    <s v="Sauder Forest Hills Library, Woodland Oak Finish"/>
    <n v="451.14"/>
    <n v="4"/>
    <x v="1745"/>
    <x v="0"/>
    <x v="2"/>
  </r>
  <r>
    <n v="44948"/>
    <x v="695"/>
    <x v="25"/>
    <x v="0"/>
    <x v="12"/>
    <s v="Fellowes Mighty 8 Compact Surge Protector"/>
    <n v="64.86"/>
    <n v="4"/>
    <x v="38"/>
    <x v="0"/>
    <x v="2"/>
  </r>
  <r>
    <n v="44948"/>
    <x v="202"/>
    <x v="22"/>
    <x v="1"/>
    <x v="8"/>
    <s v="Contract Clock, 14&quot;, Brown"/>
    <n v="109.9"/>
    <n v="5"/>
    <x v="2886"/>
    <x v="0"/>
    <x v="2"/>
  </r>
  <r>
    <n v="44948"/>
    <x v="387"/>
    <x v="22"/>
    <x v="0"/>
    <x v="0"/>
    <s v="Xerox 218"/>
    <n v="12.96"/>
    <n v="2"/>
    <x v="113"/>
    <x v="0"/>
    <x v="2"/>
  </r>
  <r>
    <n v="44948"/>
    <x v="558"/>
    <x v="3"/>
    <x v="0"/>
    <x v="1"/>
    <s v="Avery 475"/>
    <n v="44.4"/>
    <n v="3"/>
    <x v="224"/>
    <x v="0"/>
    <x v="2"/>
  </r>
  <r>
    <n v="44948"/>
    <x v="558"/>
    <x v="3"/>
    <x v="0"/>
    <x v="1"/>
    <s v="Avery 476"/>
    <n v="20.65"/>
    <n v="5"/>
    <x v="150"/>
    <x v="0"/>
    <x v="2"/>
  </r>
  <r>
    <n v="44948"/>
    <x v="214"/>
    <x v="10"/>
    <x v="2"/>
    <x v="6"/>
    <s v="Panasonic Kx-TS550"/>
    <n v="110.38"/>
    <n v="4"/>
    <x v="2887"/>
    <x v="0"/>
    <x v="2"/>
  </r>
  <r>
    <n v="44948"/>
    <x v="214"/>
    <x v="10"/>
    <x v="2"/>
    <x v="9"/>
    <s v="Verbatim 25 GB 6x Blu-ray Single Layer Recordable Disc, 25/Pack"/>
    <n v="55.18"/>
    <n v="3"/>
    <x v="2182"/>
    <x v="0"/>
    <x v="2"/>
  </r>
  <r>
    <n v="44948"/>
    <x v="263"/>
    <x v="20"/>
    <x v="0"/>
    <x v="3"/>
    <s v="Wilson Jones data.warehouse D-Ring Binders with DublLock"/>
    <n v="26.34"/>
    <n v="4"/>
    <x v="2229"/>
    <x v="0"/>
    <x v="2"/>
  </r>
  <r>
    <n v="44949"/>
    <x v="710"/>
    <x v="3"/>
    <x v="1"/>
    <x v="8"/>
    <s v="DAX Cubicle Frames, 8-1/2 x 11"/>
    <n v="59.99"/>
    <n v="7"/>
    <x v="903"/>
    <x v="0"/>
    <x v="2"/>
  </r>
  <r>
    <n v="44949"/>
    <x v="595"/>
    <x v="45"/>
    <x v="2"/>
    <x v="9"/>
    <s v="Logitech Wireless Marathon Mouse M705"/>
    <n v="99.98"/>
    <n v="2"/>
    <x v="283"/>
    <x v="0"/>
    <x v="2"/>
  </r>
  <r>
    <n v="44949"/>
    <x v="595"/>
    <x v="45"/>
    <x v="0"/>
    <x v="4"/>
    <s v="4009 Highlighters"/>
    <n v="8.0399999999999991"/>
    <n v="6"/>
    <x v="892"/>
    <x v="0"/>
    <x v="2"/>
  </r>
  <r>
    <n v="44949"/>
    <x v="595"/>
    <x v="45"/>
    <x v="0"/>
    <x v="2"/>
    <s v="Iceberg Mobile Mega Data/Printer Cart"/>
    <n v="1564.29"/>
    <n v="13"/>
    <x v="2888"/>
    <x v="0"/>
    <x v="2"/>
  </r>
  <r>
    <n v="44950"/>
    <x v="418"/>
    <x v="29"/>
    <x v="0"/>
    <x v="3"/>
    <s v="XtraLife ClearVue Slant-D Ring Binders by Cardinal"/>
    <n v="31.36"/>
    <n v="4"/>
    <x v="1181"/>
    <x v="0"/>
    <x v="2"/>
  </r>
  <r>
    <n v="44951"/>
    <x v="735"/>
    <x v="23"/>
    <x v="0"/>
    <x v="4"/>
    <s v="Dixon Ticonderoga Maple Cedar Pencil, #2"/>
    <n v="9.2100000000000009"/>
    <n v="3"/>
    <x v="2889"/>
    <x v="0"/>
    <x v="2"/>
  </r>
  <r>
    <n v="44951"/>
    <x v="735"/>
    <x v="23"/>
    <x v="0"/>
    <x v="0"/>
    <s v="Telephone Message Books with Fax/Mobile Section, 4 1/4&quot; x 6&quot;"/>
    <n v="18"/>
    <n v="5"/>
    <x v="1187"/>
    <x v="0"/>
    <x v="2"/>
  </r>
  <r>
    <n v="44951"/>
    <x v="104"/>
    <x v="20"/>
    <x v="0"/>
    <x v="3"/>
    <s v="GBC Standard Recycled Report Covers, Clear Plastic Sheets"/>
    <n v="43.12"/>
    <n v="5"/>
    <x v="796"/>
    <x v="0"/>
    <x v="2"/>
  </r>
  <r>
    <n v="44951"/>
    <x v="104"/>
    <x v="20"/>
    <x v="1"/>
    <x v="13"/>
    <s v="Chromcraft Round Conference Tables"/>
    <n v="313.72000000000003"/>
    <n v="3"/>
    <x v="2890"/>
    <x v="0"/>
    <x v="2"/>
  </r>
  <r>
    <n v="44951"/>
    <x v="104"/>
    <x v="20"/>
    <x v="1"/>
    <x v="8"/>
    <s v="Tenex B1-RE Series Chair Mats for Low Pile Carpets"/>
    <n v="45.98"/>
    <n v="1"/>
    <x v="355"/>
    <x v="0"/>
    <x v="2"/>
  </r>
  <r>
    <n v="44951"/>
    <x v="104"/>
    <x v="20"/>
    <x v="0"/>
    <x v="2"/>
    <s v="SAFCO Commercial Wire Shelving, 72h"/>
    <n v="428.68"/>
    <n v="7"/>
    <x v="62"/>
    <x v="0"/>
    <x v="2"/>
  </r>
  <r>
    <n v="44954"/>
    <x v="418"/>
    <x v="3"/>
    <x v="0"/>
    <x v="4"/>
    <s v="Newell 345"/>
    <n v="39.68"/>
    <n v="2"/>
    <x v="568"/>
    <x v="0"/>
    <x v="2"/>
  </r>
  <r>
    <n v="44956"/>
    <x v="467"/>
    <x v="3"/>
    <x v="0"/>
    <x v="3"/>
    <s v="Heavy-Duty E-Z-D Binders"/>
    <n v="17.46"/>
    <n v="2"/>
    <x v="2891"/>
    <x v="0"/>
    <x v="2"/>
  </r>
  <r>
    <n v="44956"/>
    <x v="236"/>
    <x v="3"/>
    <x v="0"/>
    <x v="2"/>
    <s v="File Shuttle II and Handi-File, Black"/>
    <n v="305.01"/>
    <n v="9"/>
    <x v="2892"/>
    <x v="0"/>
    <x v="2"/>
  </r>
  <r>
    <n v="44956"/>
    <x v="236"/>
    <x v="3"/>
    <x v="0"/>
    <x v="3"/>
    <s v="GBC Wire Binding Strips"/>
    <n v="50.78"/>
    <n v="2"/>
    <x v="2893"/>
    <x v="0"/>
    <x v="2"/>
  </r>
  <r>
    <n v="44956"/>
    <x v="236"/>
    <x v="3"/>
    <x v="0"/>
    <x v="1"/>
    <s v="Avery 512"/>
    <n v="26.01"/>
    <n v="9"/>
    <x v="2894"/>
    <x v="0"/>
    <x v="2"/>
  </r>
  <r>
    <n v="44956"/>
    <x v="560"/>
    <x v="22"/>
    <x v="1"/>
    <x v="5"/>
    <s v="Global Deluxe High-Back Office Chair in Storm"/>
    <n v="435.17"/>
    <n v="4"/>
    <x v="2895"/>
    <x v="0"/>
    <x v="2"/>
  </r>
  <r>
    <n v="44956"/>
    <x v="560"/>
    <x v="22"/>
    <x v="1"/>
    <x v="11"/>
    <s v="O'Sullivan 2-Shelf Heavy-Duty Bookcases"/>
    <n v="48.58"/>
    <n v="1"/>
    <x v="1182"/>
    <x v="0"/>
    <x v="2"/>
  </r>
  <r>
    <n v="44956"/>
    <x v="736"/>
    <x v="1"/>
    <x v="0"/>
    <x v="0"/>
    <s v="Xerox 1943"/>
    <n v="156.51"/>
    <n v="4"/>
    <x v="2896"/>
    <x v="0"/>
    <x v="2"/>
  </r>
  <r>
    <n v="44956"/>
    <x v="447"/>
    <x v="1"/>
    <x v="2"/>
    <x v="6"/>
    <s v="Nokia Lumia 1020"/>
    <n v="1439.97"/>
    <n v="4"/>
    <x v="2897"/>
    <x v="0"/>
    <x v="2"/>
  </r>
  <r>
    <n v="44956"/>
    <x v="447"/>
    <x v="1"/>
    <x v="0"/>
    <x v="3"/>
    <s v="Avery Durable Binders"/>
    <n v="1.73"/>
    <n v="3"/>
    <x v="2898"/>
    <x v="0"/>
    <x v="2"/>
  </r>
  <r>
    <n v="44956"/>
    <x v="447"/>
    <x v="1"/>
    <x v="1"/>
    <x v="13"/>
    <s v="Bretford Â“Just In TimeÂ” Height-Adjustable Multi-Task Work Tables"/>
    <n v="626.1"/>
    <n v="3"/>
    <x v="2899"/>
    <x v="0"/>
    <x v="2"/>
  </r>
  <r>
    <n v="44957"/>
    <x v="90"/>
    <x v="3"/>
    <x v="2"/>
    <x v="6"/>
    <s v="AT&amp;T 1080 Phone"/>
    <n v="109.59"/>
    <n v="1"/>
    <x v="1576"/>
    <x v="0"/>
    <x v="2"/>
  </r>
  <r>
    <n v="44957"/>
    <x v="90"/>
    <x v="3"/>
    <x v="0"/>
    <x v="0"/>
    <s v="Easy-staple paper"/>
    <n v="56.7"/>
    <n v="5"/>
    <x v="2900"/>
    <x v="0"/>
    <x v="2"/>
  </r>
  <r>
    <n v="44957"/>
    <x v="69"/>
    <x v="0"/>
    <x v="0"/>
    <x v="0"/>
    <s v="Xerox 1994"/>
    <n v="15.55"/>
    <n v="3"/>
    <x v="192"/>
    <x v="0"/>
    <x v="2"/>
  </r>
  <r>
    <n v="44957"/>
    <x v="527"/>
    <x v="23"/>
    <x v="0"/>
    <x v="10"/>
    <s v="Staple envelope"/>
    <n v="23.36"/>
    <n v="2"/>
    <x v="2901"/>
    <x v="0"/>
    <x v="2"/>
  </r>
  <r>
    <n v="44957"/>
    <x v="151"/>
    <x v="4"/>
    <x v="0"/>
    <x v="3"/>
    <s v="Fellowes PB500 Electric Punch Plastic Comb Binding Machine with Manual Bind"/>
    <n v="1270.99"/>
    <n v="1"/>
    <x v="2902"/>
    <x v="0"/>
    <x v="2"/>
  </r>
  <r>
    <n v="44957"/>
    <x v="151"/>
    <x v="4"/>
    <x v="0"/>
    <x v="10"/>
    <s v="#10 White Business Envelopes,4 1/8 x 9 1/2"/>
    <n v="125.36"/>
    <n v="8"/>
    <x v="2903"/>
    <x v="0"/>
    <x v="2"/>
  </r>
  <r>
    <n v="44958"/>
    <x v="38"/>
    <x v="6"/>
    <x v="0"/>
    <x v="2"/>
    <s v="X-Rack File for Hanging Folders"/>
    <n v="56.45"/>
    <n v="5"/>
    <x v="2904"/>
    <x v="1"/>
    <x v="2"/>
  </r>
  <r>
    <n v="44958"/>
    <x v="436"/>
    <x v="3"/>
    <x v="0"/>
    <x v="0"/>
    <s v="Xerox 1883"/>
    <n v="105.52"/>
    <n v="4"/>
    <x v="1453"/>
    <x v="1"/>
    <x v="2"/>
  </r>
  <r>
    <n v="44959"/>
    <x v="579"/>
    <x v="20"/>
    <x v="0"/>
    <x v="2"/>
    <s v="Belkin 19&quot; Center-Weighted Shelf, Gray"/>
    <n v="117.96"/>
    <n v="2"/>
    <x v="2905"/>
    <x v="1"/>
    <x v="2"/>
  </r>
  <r>
    <n v="44959"/>
    <x v="145"/>
    <x v="6"/>
    <x v="2"/>
    <x v="15"/>
    <s v="HP Designjet T520 Inkjet Large Format Printer - 24&quot; Color"/>
    <n v="8749.9500000000007"/>
    <n v="5"/>
    <x v="2906"/>
    <x v="1"/>
    <x v="2"/>
  </r>
  <r>
    <n v="44959"/>
    <x v="145"/>
    <x v="6"/>
    <x v="0"/>
    <x v="3"/>
    <s v="Presstex Flexible Ring Binders"/>
    <n v="36.4"/>
    <n v="8"/>
    <x v="2907"/>
    <x v="1"/>
    <x v="2"/>
  </r>
  <r>
    <n v="44959"/>
    <x v="145"/>
    <x v="6"/>
    <x v="1"/>
    <x v="8"/>
    <s v="Acrylic Self-Standing Desk Frames"/>
    <n v="18.690000000000001"/>
    <n v="7"/>
    <x v="2908"/>
    <x v="1"/>
    <x v="2"/>
  </r>
  <r>
    <n v="44959"/>
    <x v="270"/>
    <x v="0"/>
    <x v="1"/>
    <x v="8"/>
    <s v="Deflect-o RollaMat Studded, Beveled Mat for Medium Pile Carpeting"/>
    <n v="73.78"/>
    <n v="2"/>
    <x v="2909"/>
    <x v="1"/>
    <x v="2"/>
  </r>
  <r>
    <n v="44960"/>
    <x v="31"/>
    <x v="5"/>
    <x v="1"/>
    <x v="5"/>
    <s v="Hon Multipurpose Stacking Arm Chairs"/>
    <n v="866.4"/>
    <n v="4"/>
    <x v="2910"/>
    <x v="1"/>
    <x v="2"/>
  </r>
  <r>
    <n v="44961"/>
    <x v="463"/>
    <x v="12"/>
    <x v="1"/>
    <x v="8"/>
    <s v="Nu-Dell Float Frame 11 x 14 1/2"/>
    <n v="14.37"/>
    <n v="2"/>
    <x v="383"/>
    <x v="1"/>
    <x v="2"/>
  </r>
  <r>
    <n v="44961"/>
    <x v="389"/>
    <x v="36"/>
    <x v="2"/>
    <x v="6"/>
    <s v="AT&amp;T 17929 Lendline Telephone"/>
    <n v="90.48"/>
    <n v="2"/>
    <x v="2911"/>
    <x v="1"/>
    <x v="2"/>
  </r>
  <r>
    <n v="44961"/>
    <x v="403"/>
    <x v="3"/>
    <x v="0"/>
    <x v="2"/>
    <s v="Safco Commercial Shelving"/>
    <n v="93.02"/>
    <n v="2"/>
    <x v="239"/>
    <x v="1"/>
    <x v="2"/>
  </r>
  <r>
    <n v="44962"/>
    <x v="367"/>
    <x v="4"/>
    <x v="0"/>
    <x v="2"/>
    <s v="Carina 42&quot;Hx23 3/4&quot;W Media Storage Unit"/>
    <n v="80.98"/>
    <n v="1"/>
    <x v="2912"/>
    <x v="1"/>
    <x v="2"/>
  </r>
  <r>
    <n v="44962"/>
    <x v="367"/>
    <x v="4"/>
    <x v="0"/>
    <x v="0"/>
    <s v="White Computer Printout Paper by Universal"/>
    <n v="348.84"/>
    <n v="9"/>
    <x v="2913"/>
    <x v="1"/>
    <x v="2"/>
  </r>
  <r>
    <n v="44962"/>
    <x v="367"/>
    <x v="4"/>
    <x v="0"/>
    <x v="7"/>
    <s v="Revere Boxed Rubber Bands by Revere"/>
    <n v="9.4499999999999993"/>
    <n v="5"/>
    <x v="2914"/>
    <x v="1"/>
    <x v="2"/>
  </r>
  <r>
    <n v="44962"/>
    <x v="367"/>
    <x v="4"/>
    <x v="1"/>
    <x v="8"/>
    <s v="Eldon 200 Class Desk Accessories, Black"/>
    <n v="18.84"/>
    <n v="3"/>
    <x v="928"/>
    <x v="1"/>
    <x v="2"/>
  </r>
  <r>
    <n v="44962"/>
    <x v="367"/>
    <x v="4"/>
    <x v="1"/>
    <x v="11"/>
    <s v="Bush Andora Bookcase, Maple/Graphite Gray Finish"/>
    <n v="239.98"/>
    <n v="2"/>
    <x v="2915"/>
    <x v="1"/>
    <x v="2"/>
  </r>
  <r>
    <n v="44962"/>
    <x v="367"/>
    <x v="4"/>
    <x v="0"/>
    <x v="10"/>
    <s v="Ames Color-File Green Diamond Border X-ray Mailers"/>
    <n v="167.96"/>
    <n v="2"/>
    <x v="2916"/>
    <x v="1"/>
    <x v="2"/>
  </r>
  <r>
    <n v="44962"/>
    <x v="367"/>
    <x v="4"/>
    <x v="2"/>
    <x v="6"/>
    <s v="Plantronics CordlessÂ Phone HeadsetÂ with In-line Volume - M214C"/>
    <n v="104.85"/>
    <n v="3"/>
    <x v="876"/>
    <x v="1"/>
    <x v="2"/>
  </r>
  <r>
    <n v="44962"/>
    <x v="367"/>
    <x v="4"/>
    <x v="2"/>
    <x v="6"/>
    <s v="Aastra 57i VoIP phone"/>
    <n v="484.83"/>
    <n v="3"/>
    <x v="2917"/>
    <x v="1"/>
    <x v="2"/>
  </r>
  <r>
    <n v="44962"/>
    <x v="367"/>
    <x v="4"/>
    <x v="0"/>
    <x v="0"/>
    <s v="White Dual Perf Computer Printout Paper, 2700 Sheets, 1 Part, Heavyweight, 20 lbs., 14 7/8 x 11"/>
    <n v="122.97"/>
    <n v="3"/>
    <x v="221"/>
    <x v="1"/>
    <x v="2"/>
  </r>
  <r>
    <n v="44962"/>
    <x v="367"/>
    <x v="4"/>
    <x v="0"/>
    <x v="2"/>
    <s v="Belkin 19&quot; Vented Equipment Shelf, Black"/>
    <n v="154.44"/>
    <n v="3"/>
    <x v="2918"/>
    <x v="1"/>
    <x v="2"/>
  </r>
  <r>
    <n v="44962"/>
    <x v="367"/>
    <x v="4"/>
    <x v="0"/>
    <x v="0"/>
    <s v="Xerox 1943"/>
    <n v="342.37"/>
    <n v="7"/>
    <x v="2919"/>
    <x v="1"/>
    <x v="2"/>
  </r>
  <r>
    <n v="44962"/>
    <x v="86"/>
    <x v="3"/>
    <x v="0"/>
    <x v="1"/>
    <s v="Avery 508"/>
    <n v="14.73"/>
    <n v="3"/>
    <x v="2920"/>
    <x v="1"/>
    <x v="2"/>
  </r>
  <r>
    <n v="44962"/>
    <x v="86"/>
    <x v="3"/>
    <x v="0"/>
    <x v="2"/>
    <s v="Fellowes Mobile File Cart, Black"/>
    <n v="186.54"/>
    <n v="3"/>
    <x v="2921"/>
    <x v="1"/>
    <x v="2"/>
  </r>
  <r>
    <n v="44962"/>
    <x v="86"/>
    <x v="3"/>
    <x v="1"/>
    <x v="13"/>
    <s v="Chromcraft Round Conference Tables"/>
    <n v="557.73"/>
    <n v="4"/>
    <x v="610"/>
    <x v="1"/>
    <x v="2"/>
  </r>
  <r>
    <n v="44962"/>
    <x v="86"/>
    <x v="3"/>
    <x v="2"/>
    <x v="6"/>
    <s v="Anker Astro 15000mAh USB Portable Charger"/>
    <n v="159.97"/>
    <n v="4"/>
    <x v="2922"/>
    <x v="1"/>
    <x v="2"/>
  </r>
  <r>
    <n v="44963"/>
    <x v="119"/>
    <x v="15"/>
    <x v="1"/>
    <x v="8"/>
    <s v="Deflect-o EconoMat Studded, No Bevel Mat for Low Pile Carpeting"/>
    <n v="132.22"/>
    <n v="4"/>
    <x v="2923"/>
    <x v="1"/>
    <x v="2"/>
  </r>
  <r>
    <n v="44964"/>
    <x v="103"/>
    <x v="6"/>
    <x v="2"/>
    <x v="9"/>
    <s v="Micro Innovations USB RF Wireless Keyboard with Mouse"/>
    <n v="100"/>
    <n v="4"/>
    <x v="2924"/>
    <x v="1"/>
    <x v="2"/>
  </r>
  <r>
    <n v="44964"/>
    <x v="103"/>
    <x v="6"/>
    <x v="0"/>
    <x v="1"/>
    <s v="Permanent Self-Adhesive File Folder Labels for Typewriters by Universal"/>
    <n v="7.83"/>
    <n v="3"/>
    <x v="333"/>
    <x v="1"/>
    <x v="2"/>
  </r>
  <r>
    <n v="44964"/>
    <x v="737"/>
    <x v="10"/>
    <x v="0"/>
    <x v="0"/>
    <s v="Xerox 1912"/>
    <n v="30.35"/>
    <n v="2"/>
    <x v="2925"/>
    <x v="1"/>
    <x v="2"/>
  </r>
  <r>
    <n v="44964"/>
    <x v="732"/>
    <x v="3"/>
    <x v="2"/>
    <x v="6"/>
    <s v="Motorola L703CM"/>
    <n v="623.96"/>
    <n v="5"/>
    <x v="1874"/>
    <x v="1"/>
    <x v="2"/>
  </r>
  <r>
    <n v="44965"/>
    <x v="662"/>
    <x v="25"/>
    <x v="2"/>
    <x v="6"/>
    <s v="Samsung Galaxy S4 Mini"/>
    <n v="1127.98"/>
    <n v="3"/>
    <x v="2926"/>
    <x v="1"/>
    <x v="2"/>
  </r>
  <r>
    <n v="44965"/>
    <x v="36"/>
    <x v="0"/>
    <x v="1"/>
    <x v="5"/>
    <s v="Harbour Creations Steel Folding Chair"/>
    <n v="241.5"/>
    <n v="4"/>
    <x v="62"/>
    <x v="1"/>
    <x v="2"/>
  </r>
  <r>
    <n v="44966"/>
    <x v="691"/>
    <x v="3"/>
    <x v="2"/>
    <x v="9"/>
    <s v="Logitech 910-002974 M325 Wireless Mouse for Web Scrolling"/>
    <n v="89.97"/>
    <n v="3"/>
    <x v="2927"/>
    <x v="1"/>
    <x v="2"/>
  </r>
  <r>
    <n v="44966"/>
    <x v="691"/>
    <x v="3"/>
    <x v="2"/>
    <x v="9"/>
    <s v="Maxell 4.7GB DVD+RW 3/Pack"/>
    <n v="31.86"/>
    <n v="2"/>
    <x v="2928"/>
    <x v="1"/>
    <x v="2"/>
  </r>
  <r>
    <n v="44968"/>
    <x v="532"/>
    <x v="39"/>
    <x v="2"/>
    <x v="6"/>
    <s v="Mediabridge Sport Armband iPhone 5s"/>
    <n v="69.930000000000007"/>
    <n v="7"/>
    <x v="2929"/>
    <x v="1"/>
    <x v="2"/>
  </r>
  <r>
    <n v="44969"/>
    <x v="143"/>
    <x v="4"/>
    <x v="0"/>
    <x v="2"/>
    <s v="Tennsco Double-Tier Lockers"/>
    <n v="1350.12"/>
    <n v="6"/>
    <x v="2930"/>
    <x v="1"/>
    <x v="2"/>
  </r>
  <r>
    <n v="44969"/>
    <x v="143"/>
    <x v="4"/>
    <x v="0"/>
    <x v="3"/>
    <s v="Avery Durable Slant Ring Binders, No Labels"/>
    <n v="15.92"/>
    <n v="4"/>
    <x v="201"/>
    <x v="1"/>
    <x v="2"/>
  </r>
  <r>
    <n v="44970"/>
    <x v="476"/>
    <x v="3"/>
    <x v="0"/>
    <x v="0"/>
    <s v="Tops Green Bar Computer Printout Paper"/>
    <n v="146.82"/>
    <n v="3"/>
    <x v="1427"/>
    <x v="1"/>
    <x v="2"/>
  </r>
  <r>
    <n v="44971"/>
    <x v="610"/>
    <x v="36"/>
    <x v="0"/>
    <x v="0"/>
    <s v="Wirebound Message Books, Four 2 3/4 x 5 Forms per Page, 200 Sets per Book"/>
    <n v="4.7699999999999996"/>
    <n v="1"/>
    <x v="2147"/>
    <x v="1"/>
    <x v="2"/>
  </r>
  <r>
    <n v="44971"/>
    <x v="610"/>
    <x v="36"/>
    <x v="0"/>
    <x v="4"/>
    <s v="Economy #2 Pencils"/>
    <n v="7.98"/>
    <n v="3"/>
    <x v="163"/>
    <x v="1"/>
    <x v="2"/>
  </r>
  <r>
    <n v="44971"/>
    <x v="610"/>
    <x v="36"/>
    <x v="1"/>
    <x v="13"/>
    <s v="Bevis Boat-Shaped Conference Table"/>
    <n v="550.42999999999995"/>
    <n v="3"/>
    <x v="2931"/>
    <x v="1"/>
    <x v="2"/>
  </r>
  <r>
    <n v="44971"/>
    <x v="610"/>
    <x v="36"/>
    <x v="1"/>
    <x v="8"/>
    <s v="Regeneration Desk Collection"/>
    <n v="10.56"/>
    <n v="6"/>
    <x v="633"/>
    <x v="1"/>
    <x v="2"/>
  </r>
  <r>
    <n v="44971"/>
    <x v="667"/>
    <x v="29"/>
    <x v="0"/>
    <x v="4"/>
    <s v="Panasonic KP-150 Electric Pencil Sharpener"/>
    <n v="264.18"/>
    <n v="7"/>
    <x v="2932"/>
    <x v="1"/>
    <x v="2"/>
  </r>
  <r>
    <n v="44972"/>
    <x v="190"/>
    <x v="20"/>
    <x v="0"/>
    <x v="3"/>
    <s v="GBC DocuBind P100 Manual Binding Machine"/>
    <n v="398.35"/>
    <n v="3"/>
    <x v="2505"/>
    <x v="1"/>
    <x v="2"/>
  </r>
  <r>
    <n v="44972"/>
    <x v="190"/>
    <x v="20"/>
    <x v="0"/>
    <x v="7"/>
    <s v="Advantus Push Pins"/>
    <n v="8.7200000000000006"/>
    <n v="4"/>
    <x v="980"/>
    <x v="1"/>
    <x v="2"/>
  </r>
  <r>
    <n v="44973"/>
    <x v="400"/>
    <x v="1"/>
    <x v="0"/>
    <x v="12"/>
    <s v="Honeywell Enviracaire Portable Air Cleaner for up to 8 x 10 Room"/>
    <n v="92.06"/>
    <n v="6"/>
    <x v="2933"/>
    <x v="1"/>
    <x v="2"/>
  </r>
  <r>
    <n v="44973"/>
    <x v="400"/>
    <x v="1"/>
    <x v="0"/>
    <x v="7"/>
    <s v="Advantus Push Pins"/>
    <n v="6.98"/>
    <n v="4"/>
    <x v="666"/>
    <x v="1"/>
    <x v="2"/>
  </r>
  <r>
    <n v="44973"/>
    <x v="400"/>
    <x v="1"/>
    <x v="1"/>
    <x v="5"/>
    <s v="Global Stack Chair with Arms, Black"/>
    <n v="62.96"/>
    <n v="3"/>
    <x v="2425"/>
    <x v="1"/>
    <x v="2"/>
  </r>
  <r>
    <n v="44973"/>
    <x v="400"/>
    <x v="1"/>
    <x v="0"/>
    <x v="0"/>
    <s v="Xerox 206"/>
    <n v="5.18"/>
    <n v="1"/>
    <x v="1534"/>
    <x v="1"/>
    <x v="2"/>
  </r>
  <r>
    <n v="44973"/>
    <x v="628"/>
    <x v="23"/>
    <x v="1"/>
    <x v="5"/>
    <s v="Hon Comfortask Task/Swivel Chairs"/>
    <n v="227.96"/>
    <n v="2"/>
    <x v="1978"/>
    <x v="1"/>
    <x v="2"/>
  </r>
  <r>
    <n v="44973"/>
    <x v="60"/>
    <x v="5"/>
    <x v="1"/>
    <x v="8"/>
    <s v="Eldon Cleatmat Plus Chair Mats for High Pile Carpets"/>
    <n v="318.08"/>
    <n v="4"/>
    <x v="1089"/>
    <x v="1"/>
    <x v="2"/>
  </r>
  <r>
    <n v="44973"/>
    <x v="60"/>
    <x v="5"/>
    <x v="0"/>
    <x v="3"/>
    <s v="Wilson Jones Â“SnapÂ” Scratch Pad Binder Tool for Ring Binders"/>
    <n v="5.8"/>
    <n v="1"/>
    <x v="2934"/>
    <x v="1"/>
    <x v="2"/>
  </r>
  <r>
    <n v="44973"/>
    <x v="453"/>
    <x v="20"/>
    <x v="1"/>
    <x v="5"/>
    <s v="Hon Every-Day Chair Series Swivel Task Chairs"/>
    <n v="326.64999999999998"/>
    <n v="3"/>
    <x v="2935"/>
    <x v="1"/>
    <x v="2"/>
  </r>
  <r>
    <n v="44973"/>
    <x v="453"/>
    <x v="20"/>
    <x v="2"/>
    <x v="9"/>
    <s v="Logitech 910-002974 M325 Wireless Mouse for Web Scrolling"/>
    <n v="89.97"/>
    <n v="3"/>
    <x v="2927"/>
    <x v="1"/>
    <x v="2"/>
  </r>
  <r>
    <n v="44976"/>
    <x v="217"/>
    <x v="20"/>
    <x v="1"/>
    <x v="8"/>
    <s v="Executive Impressions 14&quot; Contract Wall Clock"/>
    <n v="44.46"/>
    <n v="2"/>
    <x v="1489"/>
    <x v="1"/>
    <x v="2"/>
  </r>
  <r>
    <n v="44976"/>
    <x v="217"/>
    <x v="20"/>
    <x v="0"/>
    <x v="2"/>
    <s v="Carina Double Wide Media Storage Towers in Natural &amp; Black"/>
    <n v="242.94"/>
    <n v="3"/>
    <x v="584"/>
    <x v="1"/>
    <x v="2"/>
  </r>
  <r>
    <n v="44976"/>
    <x v="38"/>
    <x v="20"/>
    <x v="0"/>
    <x v="1"/>
    <s v="Staple-on labels"/>
    <n v="8.67"/>
    <n v="3"/>
    <x v="403"/>
    <x v="1"/>
    <x v="2"/>
  </r>
  <r>
    <n v="44976"/>
    <x v="38"/>
    <x v="20"/>
    <x v="0"/>
    <x v="14"/>
    <s v="Acme Office Executive Series Stainless Steel Trimmers"/>
    <n v="25.71"/>
    <n v="3"/>
    <x v="2936"/>
    <x v="1"/>
    <x v="2"/>
  </r>
  <r>
    <n v="44976"/>
    <x v="217"/>
    <x v="3"/>
    <x v="0"/>
    <x v="0"/>
    <s v="Xerox 1880"/>
    <n v="70.88"/>
    <n v="2"/>
    <x v="2937"/>
    <x v="1"/>
    <x v="2"/>
  </r>
  <r>
    <n v="44977"/>
    <x v="545"/>
    <x v="15"/>
    <x v="0"/>
    <x v="0"/>
    <s v="Speediset Carbonless Redi-Letter 7&quot; x 8 1/2&quot;"/>
    <n v="16.5"/>
    <n v="2"/>
    <x v="2181"/>
    <x v="1"/>
    <x v="2"/>
  </r>
  <r>
    <n v="44978"/>
    <x v="543"/>
    <x v="3"/>
    <x v="2"/>
    <x v="9"/>
    <s v="SanDisk Ultra 16 GB MicroSDHC Class 10 Memory Card"/>
    <n v="12.99"/>
    <n v="1"/>
    <x v="2710"/>
    <x v="1"/>
    <x v="2"/>
  </r>
  <r>
    <n v="44978"/>
    <x v="543"/>
    <x v="3"/>
    <x v="0"/>
    <x v="3"/>
    <s v="Wilson Jones Clip &amp; Carry Folder Binder Tool for Ring Binders, Clear"/>
    <n v="18.559999999999999"/>
    <n v="4"/>
    <x v="1667"/>
    <x v="1"/>
    <x v="2"/>
  </r>
  <r>
    <n v="44978"/>
    <x v="543"/>
    <x v="3"/>
    <x v="0"/>
    <x v="2"/>
    <s v="Fellowes Officeware Wire Shelving"/>
    <n v="449.15"/>
    <n v="5"/>
    <x v="946"/>
    <x v="1"/>
    <x v="2"/>
  </r>
  <r>
    <n v="44978"/>
    <x v="543"/>
    <x v="3"/>
    <x v="0"/>
    <x v="3"/>
    <s v="Avery Heavy-Duty EZD  Binder With Locking Rings"/>
    <n v="31.25"/>
    <n v="7"/>
    <x v="2938"/>
    <x v="1"/>
    <x v="2"/>
  </r>
  <r>
    <n v="44978"/>
    <x v="625"/>
    <x v="20"/>
    <x v="1"/>
    <x v="8"/>
    <s v="9-3/4 Diameter Round Wall Clock"/>
    <n v="68.95"/>
    <n v="5"/>
    <x v="2232"/>
    <x v="1"/>
    <x v="2"/>
  </r>
  <r>
    <n v="44978"/>
    <x v="625"/>
    <x v="20"/>
    <x v="0"/>
    <x v="2"/>
    <s v="Recycled Data-Pak for Archival Bound Computer Printouts, 12-1/2 x 12-1/2 x 16"/>
    <n v="296.37"/>
    <n v="3"/>
    <x v="1223"/>
    <x v="1"/>
    <x v="2"/>
  </r>
  <r>
    <n v="44978"/>
    <x v="625"/>
    <x v="20"/>
    <x v="2"/>
    <x v="6"/>
    <s v="iOttie HLCRIO102 Car Mount"/>
    <n v="39.979999999999997"/>
    <n v="2"/>
    <x v="866"/>
    <x v="1"/>
    <x v="2"/>
  </r>
  <r>
    <n v="44978"/>
    <x v="607"/>
    <x v="16"/>
    <x v="0"/>
    <x v="3"/>
    <s v="Avery Durable Slant Ring Binders With Label Holder"/>
    <n v="3.76"/>
    <n v="3"/>
    <x v="2193"/>
    <x v="1"/>
    <x v="2"/>
  </r>
  <r>
    <n v="44978"/>
    <x v="607"/>
    <x v="16"/>
    <x v="0"/>
    <x v="3"/>
    <s v="Avery Arch Ring Binders"/>
    <n v="34.86"/>
    <n v="2"/>
    <x v="2939"/>
    <x v="1"/>
    <x v="2"/>
  </r>
  <r>
    <n v="44978"/>
    <x v="607"/>
    <x v="16"/>
    <x v="0"/>
    <x v="2"/>
    <s v="Standard Rollaway File with Lock"/>
    <n v="432.46"/>
    <n v="3"/>
    <x v="2940"/>
    <x v="1"/>
    <x v="2"/>
  </r>
  <r>
    <n v="44978"/>
    <x v="400"/>
    <x v="20"/>
    <x v="1"/>
    <x v="8"/>
    <s v="Floodlight Indoor Halogen Bulbs, 1 Bulb per Pack, 60 Watts"/>
    <n v="135.80000000000001"/>
    <n v="7"/>
    <x v="2941"/>
    <x v="1"/>
    <x v="2"/>
  </r>
  <r>
    <n v="44979"/>
    <x v="298"/>
    <x v="21"/>
    <x v="0"/>
    <x v="12"/>
    <s v="Belkin 5 Outlet SurgeMaster Power Centers"/>
    <n v="490.32"/>
    <n v="9"/>
    <x v="2942"/>
    <x v="1"/>
    <x v="2"/>
  </r>
  <r>
    <n v="44979"/>
    <x v="501"/>
    <x v="3"/>
    <x v="2"/>
    <x v="6"/>
    <s v="AT&amp;T 1070 Corded Phone"/>
    <n v="445.96"/>
    <n v="5"/>
    <x v="759"/>
    <x v="1"/>
    <x v="2"/>
  </r>
  <r>
    <n v="44979"/>
    <x v="501"/>
    <x v="3"/>
    <x v="2"/>
    <x v="9"/>
    <s v="Memorex Mini Travel Drive 64 GB USB 2.0 Flash Drive"/>
    <n v="36.24"/>
    <n v="1"/>
    <x v="95"/>
    <x v="1"/>
    <x v="2"/>
  </r>
  <r>
    <n v="44979"/>
    <x v="501"/>
    <x v="3"/>
    <x v="0"/>
    <x v="7"/>
    <s v="Acco Clips to Go Binder Clips, 24 Clips in Two Sizes"/>
    <n v="10.65"/>
    <n v="3"/>
    <x v="1648"/>
    <x v="1"/>
    <x v="2"/>
  </r>
  <r>
    <n v="44980"/>
    <x v="296"/>
    <x v="2"/>
    <x v="0"/>
    <x v="10"/>
    <s v="Recycled Interoffice Envelopes with String and Button Closure, 10 x 13"/>
    <n v="57.58"/>
    <n v="3"/>
    <x v="1518"/>
    <x v="1"/>
    <x v="2"/>
  </r>
  <r>
    <n v="44982"/>
    <x v="664"/>
    <x v="10"/>
    <x v="0"/>
    <x v="10"/>
    <s v="Staple envelope"/>
    <n v="46.72"/>
    <n v="5"/>
    <x v="2943"/>
    <x v="1"/>
    <x v="2"/>
  </r>
  <r>
    <n v="44984"/>
    <x v="275"/>
    <x v="20"/>
    <x v="0"/>
    <x v="12"/>
    <s v="Conquest 14 Commercial Heavy-Duty Upright Vacuum, Collection System, Accessory Kit"/>
    <n v="170.88"/>
    <n v="3"/>
    <x v="2944"/>
    <x v="1"/>
    <x v="2"/>
  </r>
  <r>
    <n v="44984"/>
    <x v="34"/>
    <x v="21"/>
    <x v="0"/>
    <x v="3"/>
    <s v="Flexible Leather- Look Classic Collection Ring Binder"/>
    <n v="56.82"/>
    <n v="3"/>
    <x v="2945"/>
    <x v="1"/>
    <x v="2"/>
  </r>
  <r>
    <n v="44984"/>
    <x v="738"/>
    <x v="0"/>
    <x v="1"/>
    <x v="8"/>
    <s v="DAX Two-Tone Silver Metal Document Frame"/>
    <n v="16.190000000000001"/>
    <n v="2"/>
    <x v="2946"/>
    <x v="1"/>
    <x v="2"/>
  </r>
  <r>
    <n v="44985"/>
    <x v="390"/>
    <x v="20"/>
    <x v="0"/>
    <x v="7"/>
    <s v="Staples"/>
    <n v="36.479999999999997"/>
    <n v="6"/>
    <x v="2947"/>
    <x v="1"/>
    <x v="2"/>
  </r>
  <r>
    <n v="44986"/>
    <x v="502"/>
    <x v="20"/>
    <x v="1"/>
    <x v="13"/>
    <s v="Chromcraft Round Conference Tables"/>
    <n v="836.59"/>
    <n v="8"/>
    <x v="2948"/>
    <x v="2"/>
    <x v="2"/>
  </r>
  <r>
    <n v="44986"/>
    <x v="502"/>
    <x v="20"/>
    <x v="0"/>
    <x v="0"/>
    <s v="Easy-staple paper"/>
    <n v="26.38"/>
    <n v="1"/>
    <x v="2949"/>
    <x v="2"/>
    <x v="2"/>
  </r>
  <r>
    <n v="44986"/>
    <x v="502"/>
    <x v="20"/>
    <x v="0"/>
    <x v="2"/>
    <s v="Adjustable Depth Letter/Legal Cart"/>
    <n v="362.92"/>
    <n v="2"/>
    <x v="1208"/>
    <x v="2"/>
    <x v="2"/>
  </r>
  <r>
    <n v="44986"/>
    <x v="502"/>
    <x v="20"/>
    <x v="2"/>
    <x v="15"/>
    <s v="Ativa V4110MDD Micro-Cut Shredder"/>
    <n v="4899.93"/>
    <n v="7"/>
    <x v="2950"/>
    <x v="2"/>
    <x v="2"/>
  </r>
  <r>
    <n v="44986"/>
    <x v="402"/>
    <x v="26"/>
    <x v="2"/>
    <x v="6"/>
    <s v="RCA ViSYS 25423RE1 Corded phone"/>
    <n v="159.97999999999999"/>
    <n v="2"/>
    <x v="262"/>
    <x v="2"/>
    <x v="2"/>
  </r>
  <r>
    <n v="44988"/>
    <x v="248"/>
    <x v="7"/>
    <x v="0"/>
    <x v="3"/>
    <s v="GBC ProClick Punch Binding System"/>
    <n v="447.86"/>
    <n v="7"/>
    <x v="449"/>
    <x v="2"/>
    <x v="2"/>
  </r>
  <r>
    <n v="44988"/>
    <x v="248"/>
    <x v="7"/>
    <x v="2"/>
    <x v="6"/>
    <s v="Pyle PMP37LED"/>
    <n v="479.95"/>
    <n v="5"/>
    <x v="2951"/>
    <x v="2"/>
    <x v="2"/>
  </r>
  <r>
    <n v="44988"/>
    <x v="248"/>
    <x v="7"/>
    <x v="0"/>
    <x v="0"/>
    <s v="Xerox 194"/>
    <n v="166.44"/>
    <n v="3"/>
    <x v="912"/>
    <x v="2"/>
    <x v="2"/>
  </r>
  <r>
    <n v="44988"/>
    <x v="739"/>
    <x v="0"/>
    <x v="0"/>
    <x v="0"/>
    <s v="Rediform Wirebound &quot;Phone Memo&quot; Message Book, 11 x 5-3/4"/>
    <n v="42.78"/>
    <n v="7"/>
    <x v="2952"/>
    <x v="2"/>
    <x v="2"/>
  </r>
  <r>
    <n v="44988"/>
    <x v="739"/>
    <x v="0"/>
    <x v="1"/>
    <x v="5"/>
    <s v="Office Star - Mid Back Dual function Ergonomic High Back Chair with 2-Way Adjustable Arms"/>
    <n v="563.42999999999995"/>
    <n v="5"/>
    <x v="2953"/>
    <x v="2"/>
    <x v="2"/>
  </r>
  <r>
    <n v="44988"/>
    <x v="583"/>
    <x v="18"/>
    <x v="2"/>
    <x v="6"/>
    <s v="Plantronics Encore H101 Dual EarpiecesÂ Headset"/>
    <n v="134.85"/>
    <n v="3"/>
    <x v="2954"/>
    <x v="2"/>
    <x v="2"/>
  </r>
  <r>
    <n v="44988"/>
    <x v="393"/>
    <x v="0"/>
    <x v="1"/>
    <x v="13"/>
    <s v="Office Impressions End Table, 20-1/2&quot;H x 24&quot;W x 20&quot;D"/>
    <n v="637.9"/>
    <n v="3"/>
    <x v="2955"/>
    <x v="2"/>
    <x v="2"/>
  </r>
  <r>
    <n v="44988"/>
    <x v="393"/>
    <x v="0"/>
    <x v="2"/>
    <x v="15"/>
    <s v="Canon PC170 Desktop Personal Copier"/>
    <n v="287.91000000000003"/>
    <n v="3"/>
    <x v="2547"/>
    <x v="2"/>
    <x v="2"/>
  </r>
  <r>
    <n v="44988"/>
    <x v="393"/>
    <x v="0"/>
    <x v="0"/>
    <x v="10"/>
    <s v="White Envelopes, White Envelopes with Clear Poly Window"/>
    <n v="36.6"/>
    <n v="3"/>
    <x v="2162"/>
    <x v="2"/>
    <x v="2"/>
  </r>
  <r>
    <n v="44988"/>
    <x v="161"/>
    <x v="3"/>
    <x v="0"/>
    <x v="14"/>
    <s v="Elite 5&quot; Scissors"/>
    <n v="25.35"/>
    <n v="3"/>
    <x v="2956"/>
    <x v="2"/>
    <x v="2"/>
  </r>
  <r>
    <n v="44988"/>
    <x v="161"/>
    <x v="3"/>
    <x v="1"/>
    <x v="8"/>
    <s v="Executive Impressions 10&quot; Spectator Wall Clock"/>
    <n v="35.28"/>
    <n v="3"/>
    <x v="1471"/>
    <x v="2"/>
    <x v="2"/>
  </r>
  <r>
    <n v="44988"/>
    <x v="116"/>
    <x v="0"/>
    <x v="0"/>
    <x v="14"/>
    <s v="High Speed Automatic Electric Letter Opener"/>
    <n v="3930.07"/>
    <n v="3"/>
    <x v="2957"/>
    <x v="2"/>
    <x v="2"/>
  </r>
  <r>
    <n v="44988"/>
    <x v="116"/>
    <x v="0"/>
    <x v="0"/>
    <x v="7"/>
    <s v="Acco Banker's Clasps, 5 3/4&quot;-Long"/>
    <n v="2.2999999999999998"/>
    <n v="1"/>
    <x v="2710"/>
    <x v="2"/>
    <x v="2"/>
  </r>
  <r>
    <n v="44988"/>
    <x v="116"/>
    <x v="0"/>
    <x v="2"/>
    <x v="6"/>
    <s v="Polycom VVX 310 VoIP phone"/>
    <n v="431.98"/>
    <n v="3"/>
    <x v="2417"/>
    <x v="2"/>
    <x v="2"/>
  </r>
  <r>
    <n v="44988"/>
    <x v="116"/>
    <x v="0"/>
    <x v="2"/>
    <x v="9"/>
    <s v="Verbatim 25 GB 6x Blu-ray Single Layer Recordable Disc, 1/Pack"/>
    <n v="41.72"/>
    <n v="7"/>
    <x v="480"/>
    <x v="2"/>
    <x v="2"/>
  </r>
  <r>
    <n v="44989"/>
    <x v="588"/>
    <x v="3"/>
    <x v="0"/>
    <x v="4"/>
    <s v="Berol Giant Pencil Sharpener"/>
    <n v="16.989999999999998"/>
    <n v="1"/>
    <x v="1937"/>
    <x v="2"/>
    <x v="2"/>
  </r>
  <r>
    <n v="44989"/>
    <x v="211"/>
    <x v="16"/>
    <x v="0"/>
    <x v="1"/>
    <s v="Avery 518"/>
    <n v="10.08"/>
    <n v="4"/>
    <x v="2958"/>
    <x v="2"/>
    <x v="2"/>
  </r>
  <r>
    <n v="44989"/>
    <x v="247"/>
    <x v="18"/>
    <x v="0"/>
    <x v="3"/>
    <s v="Green Canvas Binder for 8-1/2&quot; x 14&quot; Sheets"/>
    <n v="128.4"/>
    <n v="3"/>
    <x v="2959"/>
    <x v="2"/>
    <x v="2"/>
  </r>
  <r>
    <n v="44989"/>
    <x v="654"/>
    <x v="38"/>
    <x v="2"/>
    <x v="9"/>
    <s v="Logitech G602 Wireless Gaming Mouse"/>
    <n v="159.97999999999999"/>
    <n v="2"/>
    <x v="277"/>
    <x v="2"/>
    <x v="2"/>
  </r>
  <r>
    <n v="44990"/>
    <x v="274"/>
    <x v="0"/>
    <x v="0"/>
    <x v="10"/>
    <s v="Cameo Buff Policy Envelopes"/>
    <n v="149.35"/>
    <n v="3"/>
    <x v="342"/>
    <x v="2"/>
    <x v="2"/>
  </r>
  <r>
    <n v="44990"/>
    <x v="274"/>
    <x v="0"/>
    <x v="0"/>
    <x v="2"/>
    <s v="Acco Perma 4000 Stacking Storage Drawers"/>
    <n v="12.99"/>
    <n v="1"/>
    <x v="2960"/>
    <x v="2"/>
    <x v="2"/>
  </r>
  <r>
    <n v="44991"/>
    <x v="640"/>
    <x v="2"/>
    <x v="2"/>
    <x v="6"/>
    <s v="Wilson SignalBoost 841262 DB PRO Amplifier Kit"/>
    <n v="431.94"/>
    <n v="2"/>
    <x v="2961"/>
    <x v="2"/>
    <x v="2"/>
  </r>
  <r>
    <n v="44991"/>
    <x v="640"/>
    <x v="2"/>
    <x v="0"/>
    <x v="3"/>
    <s v="Avery Self-Adhesive Photo Pockets for Polaroid Photos"/>
    <n v="2.04"/>
    <n v="1"/>
    <x v="2391"/>
    <x v="2"/>
    <x v="2"/>
  </r>
  <r>
    <n v="44991"/>
    <x v="640"/>
    <x v="2"/>
    <x v="2"/>
    <x v="6"/>
    <s v="Grandstream GXP1160 VoIP phone"/>
    <n v="68.239999999999995"/>
    <n v="3"/>
    <x v="2962"/>
    <x v="2"/>
    <x v="2"/>
  </r>
  <r>
    <n v="44991"/>
    <x v="641"/>
    <x v="1"/>
    <x v="0"/>
    <x v="12"/>
    <s v="Commercial WindTunnel Clean Air Upright Vacuum, Replacement Belts, Filtration Bags"/>
    <n v="2.33"/>
    <n v="3"/>
    <x v="2963"/>
    <x v="2"/>
    <x v="2"/>
  </r>
  <r>
    <n v="44991"/>
    <x v="641"/>
    <x v="1"/>
    <x v="0"/>
    <x v="3"/>
    <s v="Peel &amp; Stick Add-On Corner Pockets"/>
    <n v="1.73"/>
    <n v="4"/>
    <x v="2193"/>
    <x v="2"/>
    <x v="2"/>
  </r>
  <r>
    <n v="44991"/>
    <x v="641"/>
    <x v="1"/>
    <x v="1"/>
    <x v="8"/>
    <s v="Eldon Cleatmat Plus Chair Mats for High Pile Carpets"/>
    <n v="159.04"/>
    <n v="5"/>
    <x v="2964"/>
    <x v="2"/>
    <x v="2"/>
  </r>
  <r>
    <n v="44991"/>
    <x v="641"/>
    <x v="1"/>
    <x v="1"/>
    <x v="13"/>
    <s v="Bevis Rectangular Conference Tables"/>
    <n v="145.97999999999999"/>
    <n v="2"/>
    <x v="1315"/>
    <x v="2"/>
    <x v="2"/>
  </r>
  <r>
    <n v="44992"/>
    <x v="290"/>
    <x v="0"/>
    <x v="2"/>
    <x v="6"/>
    <s v="Belkin Grip Candy Sheer Case / Cover for iPhone 5 and 5S"/>
    <n v="21.07"/>
    <n v="3"/>
    <x v="2286"/>
    <x v="2"/>
    <x v="2"/>
  </r>
  <r>
    <n v="44993"/>
    <x v="456"/>
    <x v="16"/>
    <x v="2"/>
    <x v="6"/>
    <s v="Cisco Unified IP Phone 7945G VoIP phone"/>
    <n v="1363.96"/>
    <n v="5"/>
    <x v="2965"/>
    <x v="2"/>
    <x v="2"/>
  </r>
  <r>
    <n v="44993"/>
    <x v="456"/>
    <x v="16"/>
    <x v="1"/>
    <x v="8"/>
    <s v="Deflect-o DuraMat Lighweight, Studded, Beveled Mat for Low Pile Carpeting"/>
    <n v="102.36"/>
    <n v="3"/>
    <x v="2584"/>
    <x v="2"/>
    <x v="2"/>
  </r>
  <r>
    <n v="44993"/>
    <x v="190"/>
    <x v="12"/>
    <x v="0"/>
    <x v="3"/>
    <s v="GBC Standard Recycled Report Covers, Clear Plastic Sheets"/>
    <n v="9.6999999999999993"/>
    <n v="3"/>
    <x v="2966"/>
    <x v="2"/>
    <x v="2"/>
  </r>
  <r>
    <n v="44993"/>
    <x v="280"/>
    <x v="2"/>
    <x v="2"/>
    <x v="6"/>
    <s v="AT&amp;T 17929 Lendline Telephone"/>
    <n v="108.58"/>
    <n v="4"/>
    <x v="2967"/>
    <x v="2"/>
    <x v="2"/>
  </r>
  <r>
    <n v="44993"/>
    <x v="280"/>
    <x v="2"/>
    <x v="0"/>
    <x v="7"/>
    <s v="Rubber Band Ball"/>
    <n v="5.98"/>
    <n v="2"/>
    <x v="2122"/>
    <x v="2"/>
    <x v="2"/>
  </r>
  <r>
    <n v="44993"/>
    <x v="656"/>
    <x v="20"/>
    <x v="1"/>
    <x v="8"/>
    <s v="Coloredge Poster Frame"/>
    <n v="113.6"/>
    <n v="8"/>
    <x v="2968"/>
    <x v="2"/>
    <x v="2"/>
  </r>
  <r>
    <n v="44993"/>
    <x v="656"/>
    <x v="20"/>
    <x v="0"/>
    <x v="0"/>
    <s v="Xerox 1993"/>
    <n v="12.96"/>
    <n v="2"/>
    <x v="195"/>
    <x v="2"/>
    <x v="2"/>
  </r>
  <r>
    <n v="44993"/>
    <x v="656"/>
    <x v="20"/>
    <x v="0"/>
    <x v="3"/>
    <s v="Satellite Sectional Post Binders"/>
    <n v="69.459999999999994"/>
    <n v="2"/>
    <x v="808"/>
    <x v="2"/>
    <x v="2"/>
  </r>
  <r>
    <n v="44993"/>
    <x v="694"/>
    <x v="0"/>
    <x v="0"/>
    <x v="3"/>
    <s v="Pressboard Hanging Data Binders for Unburst Sheets"/>
    <n v="8.86"/>
    <n v="9"/>
    <x v="2969"/>
    <x v="2"/>
    <x v="2"/>
  </r>
  <r>
    <n v="44993"/>
    <x v="694"/>
    <x v="0"/>
    <x v="2"/>
    <x v="9"/>
    <s v="Verbatim 25 GB 6x Blu-ray Single Layer Recordable Disc, 3/Pack"/>
    <n v="27.96"/>
    <n v="5"/>
    <x v="332"/>
    <x v="2"/>
    <x v="2"/>
  </r>
  <r>
    <n v="44993"/>
    <x v="694"/>
    <x v="0"/>
    <x v="0"/>
    <x v="10"/>
    <s v="Tyvek Interoffice Envelopes, 9 1/2&quot; x 12 1/2&quot;, 100/Box"/>
    <n v="146.35"/>
    <n v="3"/>
    <x v="2970"/>
    <x v="2"/>
    <x v="2"/>
  </r>
  <r>
    <n v="44993"/>
    <x v="153"/>
    <x v="14"/>
    <x v="0"/>
    <x v="12"/>
    <s v="Honeywell Enviracaire Portable Air Cleaner for up to 8 x 10 Room"/>
    <n v="207.14"/>
    <n v="3"/>
    <x v="2971"/>
    <x v="2"/>
    <x v="2"/>
  </r>
  <r>
    <n v="44993"/>
    <x v="153"/>
    <x v="14"/>
    <x v="0"/>
    <x v="4"/>
    <s v="Prang Drawing Pencil Set"/>
    <n v="13.9"/>
    <n v="5"/>
    <x v="2972"/>
    <x v="2"/>
    <x v="2"/>
  </r>
  <r>
    <n v="44994"/>
    <x v="81"/>
    <x v="37"/>
    <x v="2"/>
    <x v="9"/>
    <s v="Microsoft Sculpt Comfort Mouse"/>
    <n v="199.75"/>
    <n v="5"/>
    <x v="2973"/>
    <x v="2"/>
    <x v="2"/>
  </r>
  <r>
    <n v="44994"/>
    <x v="255"/>
    <x v="32"/>
    <x v="0"/>
    <x v="2"/>
    <s v="Personal Folder Holder, Ebony"/>
    <n v="11.21"/>
    <n v="1"/>
    <x v="1220"/>
    <x v="2"/>
    <x v="2"/>
  </r>
  <r>
    <n v="44994"/>
    <x v="255"/>
    <x v="32"/>
    <x v="1"/>
    <x v="5"/>
    <s v="Situations Contoured Folding Chairs, 4/Set"/>
    <n v="354.9"/>
    <n v="5"/>
    <x v="2974"/>
    <x v="2"/>
    <x v="2"/>
  </r>
  <r>
    <n v="44994"/>
    <x v="255"/>
    <x v="32"/>
    <x v="0"/>
    <x v="0"/>
    <s v="Xerox 193"/>
    <n v="17.940000000000001"/>
    <n v="3"/>
    <x v="450"/>
    <x v="2"/>
    <x v="2"/>
  </r>
  <r>
    <n v="44994"/>
    <x v="255"/>
    <x v="32"/>
    <x v="0"/>
    <x v="3"/>
    <s v="GBC Binding covers"/>
    <n v="51.8"/>
    <n v="4"/>
    <x v="2975"/>
    <x v="2"/>
    <x v="2"/>
  </r>
  <r>
    <n v="44995"/>
    <x v="740"/>
    <x v="20"/>
    <x v="1"/>
    <x v="11"/>
    <s v="O'Sullivan Living Dimensions 5-Shelf Bookcases"/>
    <n v="176.78"/>
    <n v="1"/>
    <x v="2976"/>
    <x v="2"/>
    <x v="2"/>
  </r>
  <r>
    <n v="44995"/>
    <x v="741"/>
    <x v="2"/>
    <x v="2"/>
    <x v="9"/>
    <s v="Plantronics Audio 478 Stereo USB Headset"/>
    <n v="39.99"/>
    <n v="1"/>
    <x v="2977"/>
    <x v="2"/>
    <x v="2"/>
  </r>
  <r>
    <n v="44995"/>
    <x v="432"/>
    <x v="3"/>
    <x v="0"/>
    <x v="0"/>
    <s v="Rediform Voice Mail Log Books"/>
    <n v="14.9"/>
    <n v="5"/>
    <x v="2978"/>
    <x v="2"/>
    <x v="2"/>
  </r>
  <r>
    <n v="44995"/>
    <x v="432"/>
    <x v="3"/>
    <x v="2"/>
    <x v="6"/>
    <s v="Apple iPhone 5"/>
    <n v="4158.91"/>
    <n v="8"/>
    <x v="2979"/>
    <x v="2"/>
    <x v="2"/>
  </r>
  <r>
    <n v="44995"/>
    <x v="511"/>
    <x v="3"/>
    <x v="2"/>
    <x v="9"/>
    <s v="Kingston Digital DataTraveler 16GB USB 2.0"/>
    <n v="26.85"/>
    <n v="3"/>
    <x v="1194"/>
    <x v="2"/>
    <x v="2"/>
  </r>
  <r>
    <n v="44995"/>
    <x v="511"/>
    <x v="3"/>
    <x v="2"/>
    <x v="15"/>
    <s v="Okidata MB760 Printer"/>
    <n v="3357.6"/>
    <n v="3"/>
    <x v="2980"/>
    <x v="2"/>
    <x v="2"/>
  </r>
  <r>
    <n v="44995"/>
    <x v="223"/>
    <x v="12"/>
    <x v="0"/>
    <x v="2"/>
    <s v="Mini 13-1/2 Capacity Data Binder Rack, Pearl"/>
    <n v="104.7"/>
    <n v="1"/>
    <x v="2981"/>
    <x v="2"/>
    <x v="2"/>
  </r>
  <r>
    <n v="44996"/>
    <x v="402"/>
    <x v="28"/>
    <x v="2"/>
    <x v="9"/>
    <s v="Verbatim 25 GB 6x Blu-ray Single Layer Recordable Disc, 25/Pack"/>
    <n v="45.98"/>
    <n v="2"/>
    <x v="2982"/>
    <x v="2"/>
    <x v="2"/>
  </r>
  <r>
    <n v="44996"/>
    <x v="402"/>
    <x v="28"/>
    <x v="0"/>
    <x v="3"/>
    <s v="Wilson Jones Leather-Like Binders with DublLock Round Rings"/>
    <n v="17.46"/>
    <n v="2"/>
    <x v="94"/>
    <x v="2"/>
    <x v="2"/>
  </r>
  <r>
    <n v="44996"/>
    <x v="2"/>
    <x v="23"/>
    <x v="1"/>
    <x v="13"/>
    <s v="Chromcraft Round Conference Tables"/>
    <n v="244.01"/>
    <n v="2"/>
    <x v="1906"/>
    <x v="2"/>
    <x v="2"/>
  </r>
  <r>
    <n v="44996"/>
    <x v="425"/>
    <x v="4"/>
    <x v="1"/>
    <x v="8"/>
    <s v="Executive Impressions 13&quot; Clairmont Wall Clock"/>
    <n v="76.92"/>
    <n v="4"/>
    <x v="2983"/>
    <x v="2"/>
    <x v="2"/>
  </r>
  <r>
    <n v="44996"/>
    <x v="425"/>
    <x v="4"/>
    <x v="0"/>
    <x v="2"/>
    <s v="Iceberg Mobile Mega Data/Printer Cart"/>
    <n v="481.32"/>
    <n v="4"/>
    <x v="2984"/>
    <x v="2"/>
    <x v="2"/>
  </r>
  <r>
    <n v="44996"/>
    <x v="730"/>
    <x v="2"/>
    <x v="1"/>
    <x v="8"/>
    <s v="DAX Charcoal/Nickel-Tone Document Frame, 5 x 7"/>
    <n v="30.34"/>
    <n v="4"/>
    <x v="1011"/>
    <x v="2"/>
    <x v="2"/>
  </r>
  <r>
    <n v="44997"/>
    <x v="411"/>
    <x v="8"/>
    <x v="0"/>
    <x v="0"/>
    <s v="Xerox 218"/>
    <n v="12.96"/>
    <n v="2"/>
    <x v="113"/>
    <x v="2"/>
    <x v="2"/>
  </r>
  <r>
    <n v="44997"/>
    <x v="584"/>
    <x v="20"/>
    <x v="0"/>
    <x v="10"/>
    <s v="Staple envelope"/>
    <n v="29.34"/>
    <n v="3"/>
    <x v="2985"/>
    <x v="2"/>
    <x v="2"/>
  </r>
  <r>
    <n v="44997"/>
    <x v="78"/>
    <x v="3"/>
    <x v="0"/>
    <x v="2"/>
    <s v="Tennsco Stur-D-Stor Boltless Shelving, 5 Shelves, 24&quot; Deep, Sand"/>
    <n v="676.55"/>
    <n v="5"/>
    <x v="2986"/>
    <x v="2"/>
    <x v="2"/>
  </r>
  <r>
    <n v="44997"/>
    <x v="78"/>
    <x v="3"/>
    <x v="0"/>
    <x v="12"/>
    <s v="Euro-Pro Shark Turbo Vacuum"/>
    <n v="154.9"/>
    <n v="5"/>
    <x v="272"/>
    <x v="2"/>
    <x v="2"/>
  </r>
  <r>
    <n v="44997"/>
    <x v="78"/>
    <x v="3"/>
    <x v="0"/>
    <x v="10"/>
    <s v="Security-Tint Envelopes"/>
    <n v="30.56"/>
    <n v="4"/>
    <x v="2987"/>
    <x v="2"/>
    <x v="2"/>
  </r>
  <r>
    <n v="44997"/>
    <x v="78"/>
    <x v="3"/>
    <x v="1"/>
    <x v="5"/>
    <s v="Hon 4070 Series Pagoda Round Back Stacking Chairs"/>
    <n v="770.35"/>
    <n v="3"/>
    <x v="2988"/>
    <x v="2"/>
    <x v="2"/>
  </r>
  <r>
    <n v="44997"/>
    <x v="308"/>
    <x v="3"/>
    <x v="0"/>
    <x v="0"/>
    <s v="Hammermill Color Copier Paper (28Lb. and 96 Bright)"/>
    <n v="19.98"/>
    <n v="2"/>
    <x v="2989"/>
    <x v="2"/>
    <x v="2"/>
  </r>
  <r>
    <n v="44998"/>
    <x v="581"/>
    <x v="12"/>
    <x v="0"/>
    <x v="12"/>
    <s v="Belkin 7 Outlet SurgeMaster Surge Protector with Phone Protection"/>
    <n v="157.91999999999999"/>
    <n v="5"/>
    <x v="2893"/>
    <x v="2"/>
    <x v="2"/>
  </r>
  <r>
    <n v="44998"/>
    <x v="581"/>
    <x v="12"/>
    <x v="2"/>
    <x v="6"/>
    <s v="Jabra BIZ 2300 Duo QD Duo CordedÂ Headset"/>
    <n v="203.18"/>
    <n v="2"/>
    <x v="2990"/>
    <x v="2"/>
    <x v="2"/>
  </r>
  <r>
    <n v="44998"/>
    <x v="235"/>
    <x v="0"/>
    <x v="0"/>
    <x v="0"/>
    <s v="TOPS Carbonless Receipt Book, Four 2-3/4 x 7-1/4 Money Receipts per Page"/>
    <n v="70.08"/>
    <n v="5"/>
    <x v="2991"/>
    <x v="2"/>
    <x v="2"/>
  </r>
  <r>
    <n v="44998"/>
    <x v="235"/>
    <x v="0"/>
    <x v="0"/>
    <x v="3"/>
    <s v="Insertable Tab Indexes For Data Binders"/>
    <n v="1.27"/>
    <n v="2"/>
    <x v="2992"/>
    <x v="2"/>
    <x v="2"/>
  </r>
  <r>
    <n v="44998"/>
    <x v="235"/>
    <x v="0"/>
    <x v="1"/>
    <x v="13"/>
    <s v="Hon Non-Folding Utility Tables"/>
    <n v="557.59"/>
    <n v="5"/>
    <x v="62"/>
    <x v="2"/>
    <x v="2"/>
  </r>
  <r>
    <n v="44998"/>
    <x v="692"/>
    <x v="6"/>
    <x v="1"/>
    <x v="8"/>
    <s v="Howard Miller 14-1/2&quot; Diameter Chrome Round Wall Clock"/>
    <n v="127.88"/>
    <n v="2"/>
    <x v="2993"/>
    <x v="2"/>
    <x v="2"/>
  </r>
  <r>
    <n v="44998"/>
    <x v="692"/>
    <x v="6"/>
    <x v="0"/>
    <x v="12"/>
    <s v="Eureka The Boss Lite 10-Amp Upright Vacuum, Blue"/>
    <n v="160.32"/>
    <n v="2"/>
    <x v="1976"/>
    <x v="2"/>
    <x v="2"/>
  </r>
  <r>
    <n v="44998"/>
    <x v="692"/>
    <x v="6"/>
    <x v="0"/>
    <x v="3"/>
    <s v="Ibico Covers for Plastic or Wire Binding Elements"/>
    <n v="46"/>
    <n v="4"/>
    <x v="2994"/>
    <x v="2"/>
    <x v="2"/>
  </r>
  <r>
    <n v="44998"/>
    <x v="150"/>
    <x v="3"/>
    <x v="1"/>
    <x v="8"/>
    <s v="Westinghouse Mesh Shade Clip-On Gooseneck Lamp, Black"/>
    <n v="28.28"/>
    <n v="2"/>
    <x v="2673"/>
    <x v="2"/>
    <x v="2"/>
  </r>
  <r>
    <n v="44998"/>
    <x v="150"/>
    <x v="3"/>
    <x v="0"/>
    <x v="14"/>
    <s v="High Speed Automatic Electric Letter Opener"/>
    <n v="4912.59"/>
    <n v="3"/>
    <x v="2995"/>
    <x v="2"/>
    <x v="2"/>
  </r>
  <r>
    <n v="44998"/>
    <x v="660"/>
    <x v="2"/>
    <x v="1"/>
    <x v="5"/>
    <s v="SAFCO Arco Folding Chair"/>
    <n v="386.68"/>
    <n v="2"/>
    <x v="2996"/>
    <x v="2"/>
    <x v="2"/>
  </r>
  <r>
    <n v="44998"/>
    <x v="660"/>
    <x v="2"/>
    <x v="2"/>
    <x v="9"/>
    <s v="Kensington Expert Mouse Optical USB Trackball for PC or Mac"/>
    <n v="379.96"/>
    <n v="5"/>
    <x v="2997"/>
    <x v="2"/>
    <x v="2"/>
  </r>
  <r>
    <n v="44998"/>
    <x v="660"/>
    <x v="2"/>
    <x v="2"/>
    <x v="6"/>
    <s v="Polycom CX600 IP Phone VoIP phone"/>
    <n v="539.91"/>
    <n v="3"/>
    <x v="2998"/>
    <x v="2"/>
    <x v="2"/>
  </r>
  <r>
    <n v="44998"/>
    <x v="660"/>
    <x v="2"/>
    <x v="0"/>
    <x v="0"/>
    <s v="Speediset Carbonless Redi-Letter 7&quot; x 8 1/2&quot;"/>
    <n v="41.24"/>
    <n v="5"/>
    <x v="2999"/>
    <x v="2"/>
    <x v="2"/>
  </r>
  <r>
    <n v="44998"/>
    <x v="660"/>
    <x v="2"/>
    <x v="0"/>
    <x v="3"/>
    <s v="Ibico EB-19 Dual Function Manual Binding System"/>
    <n v="51.9"/>
    <n v="1"/>
    <x v="3000"/>
    <x v="2"/>
    <x v="2"/>
  </r>
  <r>
    <n v="44998"/>
    <x v="660"/>
    <x v="2"/>
    <x v="0"/>
    <x v="2"/>
    <s v="SAFCO Commercial Wire Shelving, Black"/>
    <n v="552.55999999999995"/>
    <n v="5"/>
    <x v="3001"/>
    <x v="2"/>
    <x v="2"/>
  </r>
  <r>
    <n v="44998"/>
    <x v="660"/>
    <x v="2"/>
    <x v="0"/>
    <x v="3"/>
    <s v="GBC VeloBind Cover Sets"/>
    <n v="23.16"/>
    <n v="5"/>
    <x v="3002"/>
    <x v="2"/>
    <x v="2"/>
  </r>
  <r>
    <n v="44998"/>
    <x v="660"/>
    <x v="2"/>
    <x v="0"/>
    <x v="2"/>
    <s v="Space Solutions Industrial Galvanized Steel Shelving."/>
    <n v="126.08"/>
    <n v="2"/>
    <x v="3003"/>
    <x v="2"/>
    <x v="2"/>
  </r>
  <r>
    <n v="44998"/>
    <x v="660"/>
    <x v="2"/>
    <x v="2"/>
    <x v="15"/>
    <s v="Okidata MB491 Multifunction Printer"/>
    <n v="449.1"/>
    <n v="3"/>
    <x v="3004"/>
    <x v="2"/>
    <x v="2"/>
  </r>
  <r>
    <n v="44998"/>
    <x v="524"/>
    <x v="3"/>
    <x v="0"/>
    <x v="3"/>
    <s v="Cardinal EasyOpen D-Ring Binders"/>
    <n v="51.18"/>
    <n v="7"/>
    <x v="1557"/>
    <x v="2"/>
    <x v="2"/>
  </r>
  <r>
    <n v="44999"/>
    <x v="742"/>
    <x v="10"/>
    <x v="1"/>
    <x v="8"/>
    <s v="Advantus Panel Wall Acrylic Frame"/>
    <n v="21.88"/>
    <n v="5"/>
    <x v="655"/>
    <x v="2"/>
    <x v="2"/>
  </r>
  <r>
    <n v="44999"/>
    <x v="143"/>
    <x v="0"/>
    <x v="1"/>
    <x v="11"/>
    <s v="Safco Value Mate Series Steel Bookcases, Baked Enamel Finish on Steel, Gray"/>
    <n v="241.33"/>
    <n v="5"/>
    <x v="3005"/>
    <x v="2"/>
    <x v="2"/>
  </r>
  <r>
    <n v="44999"/>
    <x v="143"/>
    <x v="0"/>
    <x v="0"/>
    <x v="0"/>
    <s v="Xerox 1993"/>
    <n v="5.18"/>
    <n v="1"/>
    <x v="191"/>
    <x v="2"/>
    <x v="2"/>
  </r>
  <r>
    <n v="44999"/>
    <x v="143"/>
    <x v="0"/>
    <x v="0"/>
    <x v="4"/>
    <s v="BOSTON Ranger #55 Pencil Sharpener, Black"/>
    <n v="145.54"/>
    <n v="7"/>
    <x v="3006"/>
    <x v="2"/>
    <x v="2"/>
  </r>
  <r>
    <n v="44999"/>
    <x v="22"/>
    <x v="22"/>
    <x v="1"/>
    <x v="5"/>
    <s v="Global High-Back Leather Tilter, Burgundy"/>
    <n v="196.78"/>
    <n v="2"/>
    <x v="3007"/>
    <x v="2"/>
    <x v="2"/>
  </r>
  <r>
    <n v="44999"/>
    <x v="153"/>
    <x v="3"/>
    <x v="0"/>
    <x v="3"/>
    <s v="Wilson Jones Leather-Like Binders with DublLock Round Rings"/>
    <n v="41.9"/>
    <n v="6"/>
    <x v="632"/>
    <x v="2"/>
    <x v="2"/>
  </r>
  <r>
    <n v="44999"/>
    <x v="457"/>
    <x v="21"/>
    <x v="1"/>
    <x v="8"/>
    <s v="Westinghouse Clip-On Gooseneck Lamps"/>
    <n v="16.739999999999998"/>
    <n v="2"/>
    <x v="1787"/>
    <x v="2"/>
    <x v="2"/>
  </r>
  <r>
    <n v="45000"/>
    <x v="485"/>
    <x v="2"/>
    <x v="2"/>
    <x v="9"/>
    <s v="V7 USB Numeric Keypad"/>
    <n v="83.98"/>
    <n v="3"/>
    <x v="3008"/>
    <x v="2"/>
    <x v="2"/>
  </r>
  <r>
    <n v="45000"/>
    <x v="452"/>
    <x v="3"/>
    <x v="0"/>
    <x v="3"/>
    <s v="Avery Round Ring Poly Binders"/>
    <n v="4.54"/>
    <n v="2"/>
    <x v="826"/>
    <x v="2"/>
    <x v="2"/>
  </r>
  <r>
    <n v="45000"/>
    <x v="452"/>
    <x v="3"/>
    <x v="1"/>
    <x v="5"/>
    <s v="Global Comet Stacking Arm Chair"/>
    <n v="1352.03"/>
    <n v="4"/>
    <x v="2796"/>
    <x v="2"/>
    <x v="2"/>
  </r>
  <r>
    <n v="45000"/>
    <x v="694"/>
    <x v="29"/>
    <x v="0"/>
    <x v="0"/>
    <s v="Xerox 1964"/>
    <n v="319.76"/>
    <n v="14"/>
    <x v="3009"/>
    <x v="2"/>
    <x v="2"/>
  </r>
  <r>
    <n v="45000"/>
    <x v="694"/>
    <x v="29"/>
    <x v="0"/>
    <x v="0"/>
    <s v="Xerox 1964"/>
    <n v="45.68"/>
    <n v="2"/>
    <x v="1462"/>
    <x v="2"/>
    <x v="2"/>
  </r>
  <r>
    <n v="45000"/>
    <x v="168"/>
    <x v="0"/>
    <x v="1"/>
    <x v="5"/>
    <s v="Novimex Swivel Fabric Task Chair"/>
    <n v="528.42999999999995"/>
    <n v="5"/>
    <x v="3010"/>
    <x v="2"/>
    <x v="2"/>
  </r>
  <r>
    <n v="45000"/>
    <x v="168"/>
    <x v="0"/>
    <x v="0"/>
    <x v="3"/>
    <s v="GBC Pre-Punched Binding Paper, Plastic, White, 8-1/2&quot; x 11&quot;"/>
    <n v="22.39"/>
    <n v="7"/>
    <x v="3011"/>
    <x v="2"/>
    <x v="2"/>
  </r>
  <r>
    <n v="45002"/>
    <x v="349"/>
    <x v="32"/>
    <x v="0"/>
    <x v="4"/>
    <s v="Newell 345"/>
    <n v="39.68"/>
    <n v="2"/>
    <x v="568"/>
    <x v="2"/>
    <x v="2"/>
  </r>
  <r>
    <n v="45002"/>
    <x v="98"/>
    <x v="7"/>
    <x v="2"/>
    <x v="6"/>
    <s v="Plantronics Voyager Pro HD - Bluetooth Headset"/>
    <n v="129.97999999999999"/>
    <n v="2"/>
    <x v="1430"/>
    <x v="2"/>
    <x v="2"/>
  </r>
  <r>
    <n v="45002"/>
    <x v="98"/>
    <x v="7"/>
    <x v="0"/>
    <x v="3"/>
    <s v="Acco Flexible ACCOHIDE Square Ring Data Binder, Dark Blue, 11 1/2&quot; X 14&quot; 7/8&quot;"/>
    <n v="32.54"/>
    <n v="2"/>
    <x v="3012"/>
    <x v="2"/>
    <x v="2"/>
  </r>
  <r>
    <n v="45002"/>
    <x v="333"/>
    <x v="36"/>
    <x v="0"/>
    <x v="10"/>
    <s v="Blue String-Tie &amp; Button Interoffice Envelopes, 10 x 13"/>
    <n v="199.9"/>
    <n v="5"/>
    <x v="3013"/>
    <x v="2"/>
    <x v="2"/>
  </r>
  <r>
    <n v="45002"/>
    <x v="333"/>
    <x v="36"/>
    <x v="0"/>
    <x v="12"/>
    <s v="Honeywell Enviracaire Portable HEPA Air Cleaner for 17' x 22' Room"/>
    <n v="901.95"/>
    <n v="3"/>
    <x v="3014"/>
    <x v="2"/>
    <x v="2"/>
  </r>
  <r>
    <n v="45002"/>
    <x v="333"/>
    <x v="36"/>
    <x v="1"/>
    <x v="8"/>
    <s v="Electrix Halogen Magnifier Lamp"/>
    <n v="971.5"/>
    <n v="5"/>
    <x v="258"/>
    <x v="2"/>
    <x v="2"/>
  </r>
  <r>
    <n v="45002"/>
    <x v="461"/>
    <x v="3"/>
    <x v="2"/>
    <x v="6"/>
    <s v="i.Sound Portable Power - 8000 mAh"/>
    <n v="84.78"/>
    <n v="2"/>
    <x v="3015"/>
    <x v="2"/>
    <x v="2"/>
  </r>
  <r>
    <n v="45003"/>
    <x v="644"/>
    <x v="15"/>
    <x v="1"/>
    <x v="13"/>
    <s v="Balt Solid Wood Rectangular Table"/>
    <n v="189.88"/>
    <n v="3"/>
    <x v="3016"/>
    <x v="2"/>
    <x v="2"/>
  </r>
  <r>
    <n v="45003"/>
    <x v="56"/>
    <x v="15"/>
    <x v="0"/>
    <x v="12"/>
    <s v="Hoover WindTunnel Plus Canister Vacuum"/>
    <n v="871.8"/>
    <n v="3"/>
    <x v="3017"/>
    <x v="2"/>
    <x v="2"/>
  </r>
  <r>
    <n v="45004"/>
    <x v="239"/>
    <x v="26"/>
    <x v="1"/>
    <x v="11"/>
    <s v="Atlantic Metals Mobile 2-Shelf Bookcases, Custom Colors"/>
    <n v="72.290000000000006"/>
    <n v="1"/>
    <x v="3018"/>
    <x v="2"/>
    <x v="2"/>
  </r>
  <r>
    <n v="45004"/>
    <x v="743"/>
    <x v="20"/>
    <x v="1"/>
    <x v="8"/>
    <s v="GE 4 Foot Flourescent Tube, 40 Watt"/>
    <n v="14.98"/>
    <n v="1"/>
    <x v="309"/>
    <x v="2"/>
    <x v="2"/>
  </r>
  <r>
    <n v="45004"/>
    <x v="743"/>
    <x v="20"/>
    <x v="1"/>
    <x v="8"/>
    <s v="Master Caster Door Stop, Brown"/>
    <n v="20.32"/>
    <n v="4"/>
    <x v="112"/>
    <x v="2"/>
    <x v="2"/>
  </r>
  <r>
    <n v="45004"/>
    <x v="369"/>
    <x v="15"/>
    <x v="0"/>
    <x v="3"/>
    <s v="Ibico Recycled Grain-Textured Covers"/>
    <n v="31.09"/>
    <n v="3"/>
    <x v="3019"/>
    <x v="2"/>
    <x v="2"/>
  </r>
  <r>
    <n v="45005"/>
    <x v="456"/>
    <x v="11"/>
    <x v="2"/>
    <x v="6"/>
    <s v="i.Sound Portable Power - 8000 mAh"/>
    <n v="84.78"/>
    <n v="2"/>
    <x v="3015"/>
    <x v="2"/>
    <x v="2"/>
  </r>
  <r>
    <n v="45005"/>
    <x v="456"/>
    <x v="11"/>
    <x v="0"/>
    <x v="0"/>
    <s v="Xerox 225"/>
    <n v="20.74"/>
    <n v="4"/>
    <x v="416"/>
    <x v="2"/>
    <x v="2"/>
  </r>
  <r>
    <n v="45005"/>
    <x v="456"/>
    <x v="11"/>
    <x v="0"/>
    <x v="3"/>
    <s v="Clear Mylar Reinforcing Strips"/>
    <n v="16.82"/>
    <n v="3"/>
    <x v="3020"/>
    <x v="2"/>
    <x v="2"/>
  </r>
  <r>
    <n v="45005"/>
    <x v="456"/>
    <x v="11"/>
    <x v="0"/>
    <x v="0"/>
    <s v="Xerox 1894"/>
    <n v="10.37"/>
    <n v="2"/>
    <x v="316"/>
    <x v="2"/>
    <x v="2"/>
  </r>
  <r>
    <n v="45005"/>
    <x v="510"/>
    <x v="1"/>
    <x v="2"/>
    <x v="6"/>
    <s v="Belkin iPhone and iPad Lightning Cable"/>
    <n v="11.99"/>
    <n v="1"/>
    <x v="1191"/>
    <x v="2"/>
    <x v="2"/>
  </r>
  <r>
    <n v="45005"/>
    <x v="629"/>
    <x v="24"/>
    <x v="1"/>
    <x v="13"/>
    <s v="Chromcraft Round Conference Tables"/>
    <n v="697.16"/>
    <n v="4"/>
    <x v="3021"/>
    <x v="2"/>
    <x v="2"/>
  </r>
  <r>
    <n v="45005"/>
    <x v="160"/>
    <x v="29"/>
    <x v="1"/>
    <x v="8"/>
    <s v="Eldon Image Series Desk Accessories, Ebony"/>
    <n v="86.45"/>
    <n v="7"/>
    <x v="3022"/>
    <x v="2"/>
    <x v="2"/>
  </r>
  <r>
    <n v="45006"/>
    <x v="388"/>
    <x v="1"/>
    <x v="0"/>
    <x v="3"/>
    <s v="Avery Durable Slant Ring Binders"/>
    <n v="3.17"/>
    <n v="2"/>
    <x v="2093"/>
    <x v="2"/>
    <x v="2"/>
  </r>
  <r>
    <n v="45006"/>
    <x v="388"/>
    <x v="1"/>
    <x v="1"/>
    <x v="5"/>
    <s v="Global Airflow Leather Mesh Back Chair, Black"/>
    <n v="528.42999999999995"/>
    <n v="5"/>
    <x v="62"/>
    <x v="2"/>
    <x v="2"/>
  </r>
  <r>
    <n v="45006"/>
    <x v="388"/>
    <x v="1"/>
    <x v="0"/>
    <x v="4"/>
    <s v="Newell 33"/>
    <n v="13.39"/>
    <n v="3"/>
    <x v="367"/>
    <x v="2"/>
    <x v="2"/>
  </r>
  <r>
    <n v="45006"/>
    <x v="441"/>
    <x v="0"/>
    <x v="1"/>
    <x v="13"/>
    <s v="Safco Drafting Table"/>
    <n v="99.37"/>
    <n v="2"/>
    <x v="3023"/>
    <x v="2"/>
    <x v="2"/>
  </r>
  <r>
    <n v="45006"/>
    <x v="441"/>
    <x v="0"/>
    <x v="0"/>
    <x v="4"/>
    <s v="Prang Dustless Chalk Sticks"/>
    <n v="1.34"/>
    <n v="1"/>
    <x v="1538"/>
    <x v="2"/>
    <x v="2"/>
  </r>
  <r>
    <n v="45007"/>
    <x v="357"/>
    <x v="17"/>
    <x v="2"/>
    <x v="9"/>
    <s v="Logitech ClearChat Comfort/USB Headset H390"/>
    <n v="58.58"/>
    <n v="2"/>
    <x v="3024"/>
    <x v="2"/>
    <x v="2"/>
  </r>
  <r>
    <n v="45007"/>
    <x v="387"/>
    <x v="22"/>
    <x v="1"/>
    <x v="5"/>
    <s v="Global Stack Chair with Arms, Black"/>
    <n v="167.89"/>
    <n v="7"/>
    <x v="3025"/>
    <x v="2"/>
    <x v="2"/>
  </r>
  <r>
    <n v="45009"/>
    <x v="696"/>
    <x v="11"/>
    <x v="2"/>
    <x v="6"/>
    <s v="BlackBerry Q10"/>
    <n v="403.17"/>
    <n v="4"/>
    <x v="1306"/>
    <x v="2"/>
    <x v="2"/>
  </r>
  <r>
    <n v="45009"/>
    <x v="422"/>
    <x v="18"/>
    <x v="0"/>
    <x v="0"/>
    <s v="Ink Jet Note and Greeting Cards, 8-1/2&quot; x 5-1/2&quot; Card Size"/>
    <n v="22.48"/>
    <n v="1"/>
    <x v="3026"/>
    <x v="2"/>
    <x v="2"/>
  </r>
  <r>
    <n v="45009"/>
    <x v="284"/>
    <x v="10"/>
    <x v="1"/>
    <x v="11"/>
    <s v="O'Sullivan Living Dimensions 3-Shelf Bookcases"/>
    <n v="301.47000000000003"/>
    <n v="3"/>
    <x v="3027"/>
    <x v="2"/>
    <x v="2"/>
  </r>
  <r>
    <n v="45009"/>
    <x v="284"/>
    <x v="10"/>
    <x v="0"/>
    <x v="4"/>
    <s v="Hunt BOSTON Vista Battery-Operated Pencil Sharpener, Black"/>
    <n v="18.66"/>
    <n v="2"/>
    <x v="454"/>
    <x v="2"/>
    <x v="2"/>
  </r>
  <r>
    <n v="45010"/>
    <x v="263"/>
    <x v="39"/>
    <x v="2"/>
    <x v="9"/>
    <s v="LogitechÂ P710e Mobile Speakerphone"/>
    <n v="1287.45"/>
    <n v="5"/>
    <x v="3028"/>
    <x v="2"/>
    <x v="2"/>
  </r>
  <r>
    <n v="45010"/>
    <x v="105"/>
    <x v="20"/>
    <x v="0"/>
    <x v="4"/>
    <s v="Newell 319"/>
    <n v="59.52"/>
    <n v="3"/>
    <x v="3029"/>
    <x v="2"/>
    <x v="2"/>
  </r>
  <r>
    <n v="45011"/>
    <x v="457"/>
    <x v="20"/>
    <x v="0"/>
    <x v="2"/>
    <s v="Gould Plastics 18-Pocket Panel Bin, 34w x 5-1/4d x 20-1/2h"/>
    <n v="459.95"/>
    <n v="5"/>
    <x v="1794"/>
    <x v="2"/>
    <x v="2"/>
  </r>
  <r>
    <n v="45011"/>
    <x v="622"/>
    <x v="25"/>
    <x v="0"/>
    <x v="2"/>
    <s v="Tenex Personal Self-Stacking Standard File Box, Black/Gray"/>
    <n v="67.64"/>
    <n v="5"/>
    <x v="204"/>
    <x v="2"/>
    <x v="2"/>
  </r>
  <r>
    <n v="45011"/>
    <x v="622"/>
    <x v="25"/>
    <x v="2"/>
    <x v="9"/>
    <s v="Case Logic 2.4GHz Wireless Keyboard"/>
    <n v="119.98"/>
    <n v="3"/>
    <x v="1133"/>
    <x v="2"/>
    <x v="2"/>
  </r>
  <r>
    <n v="45011"/>
    <x v="20"/>
    <x v="34"/>
    <x v="0"/>
    <x v="0"/>
    <s v="Adams Telephone Message Book W/Dividers/Space For Phone Numbers, 5 1/4&quot;X8 1/2&quot;, 300/Messages"/>
    <n v="17.64"/>
    <n v="3"/>
    <x v="3030"/>
    <x v="2"/>
    <x v="2"/>
  </r>
  <r>
    <n v="45011"/>
    <x v="20"/>
    <x v="34"/>
    <x v="0"/>
    <x v="3"/>
    <s v="Wilson Jones Hanging View Binder, White, 1&quot;"/>
    <n v="17.04"/>
    <n v="3"/>
    <x v="2372"/>
    <x v="2"/>
    <x v="2"/>
  </r>
  <r>
    <n v="45012"/>
    <x v="171"/>
    <x v="4"/>
    <x v="1"/>
    <x v="8"/>
    <s v="DAX Two-Tone Silver Metal Document Frame"/>
    <n v="20.239999999999998"/>
    <n v="1"/>
    <x v="3031"/>
    <x v="2"/>
    <x v="2"/>
  </r>
  <r>
    <n v="45012"/>
    <x v="171"/>
    <x v="4"/>
    <x v="1"/>
    <x v="8"/>
    <s v="Eldon Expressions Wood and Plastic Desk Accessories, Oak"/>
    <n v="39.92"/>
    <n v="4"/>
    <x v="3032"/>
    <x v="2"/>
    <x v="2"/>
  </r>
  <r>
    <n v="45012"/>
    <x v="171"/>
    <x v="4"/>
    <x v="0"/>
    <x v="3"/>
    <s v="Acco Flexible ACCOHIDE Square Ring Data Binder, Dark Blue, 11 1/2&quot; X 14&quot; 7/8&quot;"/>
    <n v="32.54"/>
    <n v="2"/>
    <x v="3012"/>
    <x v="2"/>
    <x v="2"/>
  </r>
  <r>
    <n v="45013"/>
    <x v="322"/>
    <x v="6"/>
    <x v="0"/>
    <x v="2"/>
    <s v="Hanging Personal Folder File"/>
    <n v="31.4"/>
    <n v="2"/>
    <x v="3033"/>
    <x v="2"/>
    <x v="2"/>
  </r>
  <r>
    <n v="45013"/>
    <x v="393"/>
    <x v="3"/>
    <x v="0"/>
    <x v="2"/>
    <s v="Rogers Deluxe File Chest"/>
    <n v="87.92"/>
    <n v="4"/>
    <x v="1155"/>
    <x v="2"/>
    <x v="2"/>
  </r>
  <r>
    <n v="45013"/>
    <x v="393"/>
    <x v="3"/>
    <x v="0"/>
    <x v="0"/>
    <s v="Xerox 1983"/>
    <n v="5.98"/>
    <n v="1"/>
    <x v="1461"/>
    <x v="2"/>
    <x v="2"/>
  </r>
  <r>
    <n v="45014"/>
    <x v="5"/>
    <x v="1"/>
    <x v="0"/>
    <x v="0"/>
    <s v="Computer Printout Paper with Letter-Trim Perforations"/>
    <n v="45.53"/>
    <n v="3"/>
    <x v="1535"/>
    <x v="2"/>
    <x v="2"/>
  </r>
  <r>
    <n v="45014"/>
    <x v="5"/>
    <x v="1"/>
    <x v="1"/>
    <x v="5"/>
    <s v="Global Leather Highback Executive Chair with Pneumatic Height Adjustment, Black"/>
    <n v="844.12"/>
    <n v="6"/>
    <x v="1901"/>
    <x v="2"/>
    <x v="2"/>
  </r>
  <r>
    <n v="45014"/>
    <x v="5"/>
    <x v="1"/>
    <x v="2"/>
    <x v="6"/>
    <s v="Jabra BIZ 2300 Duo QD Duo CordedÂ Headset"/>
    <n v="812.74"/>
    <n v="8"/>
    <x v="3034"/>
    <x v="2"/>
    <x v="2"/>
  </r>
  <r>
    <n v="45014"/>
    <x v="744"/>
    <x v="20"/>
    <x v="0"/>
    <x v="0"/>
    <s v="Memo Book, 100 Message Capacity, 5 3/8Â” x 11Â”"/>
    <n v="13.48"/>
    <n v="2"/>
    <x v="787"/>
    <x v="2"/>
    <x v="2"/>
  </r>
  <r>
    <n v="45014"/>
    <x v="744"/>
    <x v="20"/>
    <x v="0"/>
    <x v="3"/>
    <s v="Acco Four Pocket Poly Ring Binder with Label Holder, Smoke, 1&quot;"/>
    <n v="29.8"/>
    <n v="5"/>
    <x v="2503"/>
    <x v="2"/>
    <x v="2"/>
  </r>
  <r>
    <n v="45014"/>
    <x v="744"/>
    <x v="20"/>
    <x v="1"/>
    <x v="8"/>
    <s v="Howard Miller 13-3/4&quot; Diameter Brushed Chrome Round Wall Clock"/>
    <n v="414"/>
    <n v="8"/>
    <x v="3035"/>
    <x v="2"/>
    <x v="2"/>
  </r>
  <r>
    <n v="45014"/>
    <x v="744"/>
    <x v="20"/>
    <x v="0"/>
    <x v="3"/>
    <s v="GBC Plastic Binding Combs"/>
    <n v="41.33"/>
    <n v="7"/>
    <x v="3036"/>
    <x v="2"/>
    <x v="2"/>
  </r>
  <r>
    <n v="45014"/>
    <x v="47"/>
    <x v="10"/>
    <x v="1"/>
    <x v="11"/>
    <s v="Bush Andora Bookcase, Maple/Graphite Gray Finish"/>
    <n v="299.98"/>
    <n v="5"/>
    <x v="3037"/>
    <x v="2"/>
    <x v="2"/>
  </r>
  <r>
    <n v="45014"/>
    <x v="47"/>
    <x v="10"/>
    <x v="2"/>
    <x v="6"/>
    <s v="Clearsounds A400"/>
    <n v="158.38"/>
    <n v="4"/>
    <x v="3038"/>
    <x v="2"/>
    <x v="2"/>
  </r>
  <r>
    <n v="45015"/>
    <x v="552"/>
    <x v="37"/>
    <x v="0"/>
    <x v="0"/>
    <s v="Xerox 188"/>
    <n v="11.34"/>
    <n v="1"/>
    <x v="2703"/>
    <x v="2"/>
    <x v="2"/>
  </r>
  <r>
    <n v="45016"/>
    <x v="246"/>
    <x v="2"/>
    <x v="2"/>
    <x v="6"/>
    <s v="LG Exalt"/>
    <n v="280.77999999999997"/>
    <n v="3"/>
    <x v="3039"/>
    <x v="2"/>
    <x v="2"/>
  </r>
  <r>
    <n v="45016"/>
    <x v="246"/>
    <x v="2"/>
    <x v="2"/>
    <x v="9"/>
    <s v="Anker Ultra-Slim Mini Bluetooth 3.0 Wireless Keyboard"/>
    <n v="31.98"/>
    <n v="2"/>
    <x v="217"/>
    <x v="2"/>
    <x v="2"/>
  </r>
  <r>
    <n v="45016"/>
    <x v="15"/>
    <x v="20"/>
    <x v="1"/>
    <x v="5"/>
    <s v="Global Value Steno Chair, Gray"/>
    <n v="328"/>
    <n v="6"/>
    <x v="3040"/>
    <x v="2"/>
    <x v="2"/>
  </r>
  <r>
    <n v="45017"/>
    <x v="745"/>
    <x v="20"/>
    <x v="0"/>
    <x v="4"/>
    <s v="Newell 345"/>
    <n v="59.52"/>
    <n v="3"/>
    <x v="142"/>
    <x v="3"/>
    <x v="2"/>
  </r>
  <r>
    <n v="45017"/>
    <x v="745"/>
    <x v="20"/>
    <x v="0"/>
    <x v="2"/>
    <s v="Fellowes Bankers Box Recycled Super Stor/Drawer"/>
    <n v="161.94"/>
    <n v="3"/>
    <x v="584"/>
    <x v="3"/>
    <x v="2"/>
  </r>
  <r>
    <n v="45017"/>
    <x v="745"/>
    <x v="20"/>
    <x v="0"/>
    <x v="4"/>
    <s v="Boston 1645 Deluxe Heavier-Duty Electric Pencil Sharpener"/>
    <n v="263.88"/>
    <n v="6"/>
    <x v="3041"/>
    <x v="3"/>
    <x v="2"/>
  </r>
  <r>
    <n v="45017"/>
    <x v="745"/>
    <x v="20"/>
    <x v="0"/>
    <x v="4"/>
    <s v="50 Colored Long Pencils"/>
    <n v="30.48"/>
    <n v="3"/>
    <x v="1271"/>
    <x v="3"/>
    <x v="2"/>
  </r>
  <r>
    <n v="45017"/>
    <x v="745"/>
    <x v="20"/>
    <x v="0"/>
    <x v="4"/>
    <s v="Newell 342"/>
    <n v="9.84"/>
    <n v="3"/>
    <x v="1029"/>
    <x v="3"/>
    <x v="2"/>
  </r>
  <r>
    <n v="45017"/>
    <x v="745"/>
    <x v="20"/>
    <x v="2"/>
    <x v="6"/>
    <s v="Belkin Grip Candy Sheer Case / Cover for iPhone 5 and 5S"/>
    <n v="35.119999999999997"/>
    <n v="4"/>
    <x v="1739"/>
    <x v="3"/>
    <x v="2"/>
  </r>
  <r>
    <n v="45017"/>
    <x v="323"/>
    <x v="12"/>
    <x v="0"/>
    <x v="7"/>
    <s v="Staples"/>
    <n v="31.56"/>
    <n v="5"/>
    <x v="2773"/>
    <x v="3"/>
    <x v="2"/>
  </r>
  <r>
    <n v="45017"/>
    <x v="323"/>
    <x v="12"/>
    <x v="0"/>
    <x v="12"/>
    <s v="Belkin F9H710-06 7 Outlet SurgeMaster Surge Protector"/>
    <n v="30.14"/>
    <n v="2"/>
    <x v="13"/>
    <x v="3"/>
    <x v="2"/>
  </r>
  <r>
    <n v="45017"/>
    <x v="738"/>
    <x v="20"/>
    <x v="0"/>
    <x v="4"/>
    <s v="Boston 16801 Nautilus Battery Pencil Sharpener"/>
    <n v="88.04"/>
    <n v="4"/>
    <x v="3042"/>
    <x v="3"/>
    <x v="2"/>
  </r>
  <r>
    <n v="45017"/>
    <x v="559"/>
    <x v="20"/>
    <x v="0"/>
    <x v="1"/>
    <s v="Avery 473"/>
    <n v="20.7"/>
    <n v="2"/>
    <x v="2293"/>
    <x v="3"/>
    <x v="2"/>
  </r>
  <r>
    <n v="45017"/>
    <x v="559"/>
    <x v="20"/>
    <x v="0"/>
    <x v="14"/>
    <s v="Acme Value Line Scissors"/>
    <n v="10.95"/>
    <n v="3"/>
    <x v="1300"/>
    <x v="3"/>
    <x v="2"/>
  </r>
  <r>
    <n v="45017"/>
    <x v="559"/>
    <x v="20"/>
    <x v="0"/>
    <x v="3"/>
    <s v="Avery Hanging File Binders"/>
    <n v="14.35"/>
    <n v="3"/>
    <x v="148"/>
    <x v="3"/>
    <x v="2"/>
  </r>
  <r>
    <n v="45017"/>
    <x v="558"/>
    <x v="20"/>
    <x v="1"/>
    <x v="5"/>
    <s v="Hon Deluxe Fabric Upholstered Stacking Chairs, Rounded Back"/>
    <n v="1317.49"/>
    <n v="6"/>
    <x v="3043"/>
    <x v="3"/>
    <x v="2"/>
  </r>
  <r>
    <n v="45017"/>
    <x v="558"/>
    <x v="20"/>
    <x v="0"/>
    <x v="14"/>
    <s v="Staple remover"/>
    <n v="63.84"/>
    <n v="8"/>
    <x v="3044"/>
    <x v="3"/>
    <x v="2"/>
  </r>
  <r>
    <n v="45017"/>
    <x v="558"/>
    <x v="20"/>
    <x v="0"/>
    <x v="3"/>
    <s v="Avery Non-Stick Binders"/>
    <n v="3.59"/>
    <n v="1"/>
    <x v="329"/>
    <x v="3"/>
    <x v="2"/>
  </r>
  <r>
    <n v="45017"/>
    <x v="474"/>
    <x v="4"/>
    <x v="1"/>
    <x v="8"/>
    <s v="Regeneration Desk Collection"/>
    <n v="7.04"/>
    <n v="4"/>
    <x v="1040"/>
    <x v="3"/>
    <x v="2"/>
  </r>
  <r>
    <n v="45017"/>
    <x v="168"/>
    <x v="21"/>
    <x v="2"/>
    <x v="6"/>
    <s v="Cyber Acoustics AC-202b Speech Recognition Stereo Headset"/>
    <n v="12.99"/>
    <n v="1"/>
    <x v="2187"/>
    <x v="3"/>
    <x v="2"/>
  </r>
  <r>
    <n v="45018"/>
    <x v="561"/>
    <x v="21"/>
    <x v="1"/>
    <x v="5"/>
    <s v="Global Executive Mid-Back Manager's Chair"/>
    <n v="1454.9"/>
    <n v="5"/>
    <x v="3045"/>
    <x v="3"/>
    <x v="2"/>
  </r>
  <r>
    <n v="45019"/>
    <x v="246"/>
    <x v="2"/>
    <x v="0"/>
    <x v="3"/>
    <s v="GBC Velobind Prepunched Cover Sets, Regency Series"/>
    <n v="99.85"/>
    <n v="9"/>
    <x v="3046"/>
    <x v="3"/>
    <x v="2"/>
  </r>
  <r>
    <n v="45019"/>
    <x v="368"/>
    <x v="18"/>
    <x v="1"/>
    <x v="8"/>
    <s v="Seth Thomas 13 1/2&quot; Wall Clock"/>
    <n v="71.12"/>
    <n v="4"/>
    <x v="3047"/>
    <x v="3"/>
    <x v="2"/>
  </r>
  <r>
    <n v="45019"/>
    <x v="368"/>
    <x v="18"/>
    <x v="2"/>
    <x v="6"/>
    <s v="Plantronics Voyager Pro HD - Bluetooth Headset"/>
    <n v="259.95999999999998"/>
    <n v="4"/>
    <x v="3048"/>
    <x v="3"/>
    <x v="2"/>
  </r>
  <r>
    <n v="45019"/>
    <x v="50"/>
    <x v="0"/>
    <x v="0"/>
    <x v="0"/>
    <s v="Xerox 1962"/>
    <n v="10.27"/>
    <n v="3"/>
    <x v="2194"/>
    <x v="3"/>
    <x v="2"/>
  </r>
  <r>
    <n v="45020"/>
    <x v="5"/>
    <x v="6"/>
    <x v="2"/>
    <x v="6"/>
    <s v="Anker Astro 15000mAh USB Portable Charger"/>
    <n v="149.97"/>
    <n v="3"/>
    <x v="1964"/>
    <x v="3"/>
    <x v="2"/>
  </r>
  <r>
    <n v="45020"/>
    <x v="5"/>
    <x v="6"/>
    <x v="0"/>
    <x v="0"/>
    <s v="Wirebound Message Books, Four 2 3/4&quot; x 5&quot; Forms per Page, 600 Sets per Book"/>
    <n v="27.81"/>
    <n v="3"/>
    <x v="1225"/>
    <x v="3"/>
    <x v="2"/>
  </r>
  <r>
    <n v="45020"/>
    <x v="216"/>
    <x v="20"/>
    <x v="0"/>
    <x v="3"/>
    <s v="Ibico Ibimaster 300 Manual Binding System"/>
    <n v="588.78"/>
    <n v="2"/>
    <x v="3049"/>
    <x v="3"/>
    <x v="2"/>
  </r>
  <r>
    <n v="45020"/>
    <x v="288"/>
    <x v="20"/>
    <x v="1"/>
    <x v="8"/>
    <s v="Deflect-o EconoMat Studded, No Bevel Mat for Low Pile Carpeting"/>
    <n v="82.64"/>
    <n v="2"/>
    <x v="3050"/>
    <x v="3"/>
    <x v="2"/>
  </r>
  <r>
    <n v="45020"/>
    <x v="288"/>
    <x v="20"/>
    <x v="0"/>
    <x v="2"/>
    <s v="Tenex File Box, Personal Filing Tote with Lid, Black"/>
    <n v="31.02"/>
    <n v="2"/>
    <x v="858"/>
    <x v="3"/>
    <x v="2"/>
  </r>
  <r>
    <n v="45020"/>
    <x v="288"/>
    <x v="20"/>
    <x v="2"/>
    <x v="9"/>
    <s v="Logitech Trackman Marble Mouse"/>
    <n v="89.97"/>
    <n v="3"/>
    <x v="2040"/>
    <x v="3"/>
    <x v="2"/>
  </r>
  <r>
    <n v="45021"/>
    <x v="146"/>
    <x v="0"/>
    <x v="0"/>
    <x v="2"/>
    <s v="Eldon Portable Mobile Manager"/>
    <n v="158.37"/>
    <n v="7"/>
    <x v="1895"/>
    <x v="3"/>
    <x v="2"/>
  </r>
  <r>
    <n v="45021"/>
    <x v="645"/>
    <x v="2"/>
    <x v="2"/>
    <x v="6"/>
    <s v="Clearsounds A400"/>
    <n v="118.78"/>
    <n v="3"/>
    <x v="1831"/>
    <x v="3"/>
    <x v="2"/>
  </r>
  <r>
    <n v="45021"/>
    <x v="645"/>
    <x v="2"/>
    <x v="0"/>
    <x v="14"/>
    <s v="Premier Automatic Letter Opener"/>
    <n v="769.18"/>
    <n v="4"/>
    <x v="3051"/>
    <x v="3"/>
    <x v="2"/>
  </r>
  <r>
    <n v="45022"/>
    <x v="139"/>
    <x v="45"/>
    <x v="2"/>
    <x v="6"/>
    <s v="Nortel Meridian M5316 Digital phone"/>
    <n v="1294.75"/>
    <n v="5"/>
    <x v="3052"/>
    <x v="3"/>
    <x v="2"/>
  </r>
  <r>
    <n v="45023"/>
    <x v="515"/>
    <x v="3"/>
    <x v="2"/>
    <x v="16"/>
    <s v="Hewlett Packard 610 Color Digital Copier / Printer"/>
    <n v="1199.98"/>
    <n v="3"/>
    <x v="3053"/>
    <x v="3"/>
    <x v="2"/>
  </r>
  <r>
    <n v="45023"/>
    <x v="112"/>
    <x v="20"/>
    <x v="1"/>
    <x v="5"/>
    <s v="Hon Deluxe Fabric Upholstered Stacking Chairs, Rounded Back"/>
    <n v="658.75"/>
    <n v="3"/>
    <x v="3054"/>
    <x v="3"/>
    <x v="2"/>
  </r>
  <r>
    <n v="45023"/>
    <x v="582"/>
    <x v="20"/>
    <x v="0"/>
    <x v="4"/>
    <s v="Newell 322"/>
    <n v="3.64"/>
    <n v="2"/>
    <x v="3055"/>
    <x v="3"/>
    <x v="2"/>
  </r>
  <r>
    <n v="45023"/>
    <x v="442"/>
    <x v="23"/>
    <x v="0"/>
    <x v="0"/>
    <s v="Xerox 1939"/>
    <n v="37.94"/>
    <n v="2"/>
    <x v="1912"/>
    <x v="3"/>
    <x v="2"/>
  </r>
  <r>
    <n v="45023"/>
    <x v="83"/>
    <x v="2"/>
    <x v="0"/>
    <x v="12"/>
    <s v="Belkin 7-Outlet SurgeMaster Home Series"/>
    <n v="33.53"/>
    <n v="3"/>
    <x v="368"/>
    <x v="3"/>
    <x v="2"/>
  </r>
  <r>
    <n v="45023"/>
    <x v="83"/>
    <x v="2"/>
    <x v="0"/>
    <x v="2"/>
    <s v="Eldon Jumbo ProFile Portable File Boxes Graphite/Black"/>
    <n v="36.74"/>
    <n v="3"/>
    <x v="3056"/>
    <x v="3"/>
    <x v="2"/>
  </r>
  <r>
    <n v="45024"/>
    <x v="506"/>
    <x v="20"/>
    <x v="1"/>
    <x v="11"/>
    <s v="Sauder Barrister Bookcases"/>
    <n v="388.7"/>
    <n v="6"/>
    <x v="585"/>
    <x v="3"/>
    <x v="2"/>
  </r>
  <r>
    <n v="45024"/>
    <x v="506"/>
    <x v="20"/>
    <x v="0"/>
    <x v="10"/>
    <s v="#10 Gummed Flap White Envelopes, 100/Box"/>
    <n v="8.26"/>
    <n v="2"/>
    <x v="338"/>
    <x v="3"/>
    <x v="2"/>
  </r>
  <r>
    <n v="45024"/>
    <x v="506"/>
    <x v="20"/>
    <x v="0"/>
    <x v="4"/>
    <s v="Dixon Prang Watercolor Pencils, 10-Color Set with Brush"/>
    <n v="17.04"/>
    <n v="4"/>
    <x v="1592"/>
    <x v="3"/>
    <x v="2"/>
  </r>
  <r>
    <n v="45024"/>
    <x v="506"/>
    <x v="20"/>
    <x v="0"/>
    <x v="0"/>
    <s v="Adams Phone Message Book, 200 Message Capacity, 8 1/16Â” x 11Â”"/>
    <n v="34.4"/>
    <n v="5"/>
    <x v="2696"/>
    <x v="3"/>
    <x v="2"/>
  </r>
  <r>
    <n v="45024"/>
    <x v="391"/>
    <x v="3"/>
    <x v="0"/>
    <x v="0"/>
    <s v="Xerox 1923"/>
    <n v="20.04"/>
    <n v="3"/>
    <x v="1614"/>
    <x v="3"/>
    <x v="2"/>
  </r>
  <r>
    <n v="45024"/>
    <x v="391"/>
    <x v="3"/>
    <x v="0"/>
    <x v="2"/>
    <s v="Fellowes Neat Ideas Storage Cubes"/>
    <n v="64.959999999999994"/>
    <n v="2"/>
    <x v="100"/>
    <x v="3"/>
    <x v="2"/>
  </r>
  <r>
    <n v="45024"/>
    <x v="391"/>
    <x v="3"/>
    <x v="0"/>
    <x v="0"/>
    <s v="Xerox 1931"/>
    <n v="12.96"/>
    <n v="2"/>
    <x v="113"/>
    <x v="3"/>
    <x v="2"/>
  </r>
  <r>
    <n v="45024"/>
    <x v="456"/>
    <x v="0"/>
    <x v="2"/>
    <x v="9"/>
    <s v="Kensington Orbit Wireless Mobile Trackball for PC and Mac"/>
    <n v="431.93"/>
    <n v="9"/>
    <x v="1678"/>
    <x v="3"/>
    <x v="2"/>
  </r>
  <r>
    <n v="45024"/>
    <x v="456"/>
    <x v="0"/>
    <x v="1"/>
    <x v="5"/>
    <s v="Global Chrome Stack Chair"/>
    <n v="95.98"/>
    <n v="4"/>
    <x v="3057"/>
    <x v="3"/>
    <x v="2"/>
  </r>
  <r>
    <n v="45024"/>
    <x v="456"/>
    <x v="0"/>
    <x v="0"/>
    <x v="3"/>
    <s v="GBC DocuBind P400 Electric Binding System"/>
    <n v="1088.79"/>
    <n v="4"/>
    <x v="3058"/>
    <x v="3"/>
    <x v="2"/>
  </r>
  <r>
    <n v="45024"/>
    <x v="469"/>
    <x v="10"/>
    <x v="0"/>
    <x v="10"/>
    <s v="#10 Self-Seal White Envelopes"/>
    <n v="8.8699999999999992"/>
    <n v="1"/>
    <x v="234"/>
    <x v="3"/>
    <x v="2"/>
  </r>
  <r>
    <n v="45024"/>
    <x v="469"/>
    <x v="10"/>
    <x v="0"/>
    <x v="3"/>
    <s v="Catalog Binders with Expanding Posts"/>
    <n v="121.1"/>
    <n v="6"/>
    <x v="2394"/>
    <x v="3"/>
    <x v="2"/>
  </r>
  <r>
    <n v="45024"/>
    <x v="584"/>
    <x v="3"/>
    <x v="1"/>
    <x v="8"/>
    <s v="C-Line Magnetic Cubicle Keepers, Clear Polypropylene"/>
    <n v="24.7"/>
    <n v="5"/>
    <x v="607"/>
    <x v="3"/>
    <x v="2"/>
  </r>
  <r>
    <n v="45024"/>
    <x v="190"/>
    <x v="4"/>
    <x v="0"/>
    <x v="10"/>
    <s v="Ampad #10 Peel &amp; Seel Holiday Envelopes"/>
    <n v="17.920000000000002"/>
    <n v="4"/>
    <x v="3059"/>
    <x v="3"/>
    <x v="2"/>
  </r>
  <r>
    <n v="45024"/>
    <x v="195"/>
    <x v="4"/>
    <x v="1"/>
    <x v="11"/>
    <s v="Hon Metal Bookcases, Black"/>
    <n v="354.9"/>
    <n v="5"/>
    <x v="2974"/>
    <x v="3"/>
    <x v="2"/>
  </r>
  <r>
    <n v="45024"/>
    <x v="79"/>
    <x v="13"/>
    <x v="0"/>
    <x v="7"/>
    <s v="Advantus Plastic Paper Clips"/>
    <n v="30"/>
    <n v="6"/>
    <x v="1038"/>
    <x v="3"/>
    <x v="2"/>
  </r>
  <r>
    <n v="45024"/>
    <x v="79"/>
    <x v="13"/>
    <x v="0"/>
    <x v="0"/>
    <s v="Xerox 1993"/>
    <n v="25.92"/>
    <n v="4"/>
    <x v="1285"/>
    <x v="3"/>
    <x v="2"/>
  </r>
  <r>
    <n v="45024"/>
    <x v="79"/>
    <x v="13"/>
    <x v="1"/>
    <x v="8"/>
    <s v="Eldon Radial Chair Mat for Low to Medium Pile Carpets"/>
    <n v="159.91999999999999"/>
    <n v="4"/>
    <x v="3060"/>
    <x v="3"/>
    <x v="2"/>
  </r>
  <r>
    <n v="45025"/>
    <x v="615"/>
    <x v="22"/>
    <x v="0"/>
    <x v="3"/>
    <s v="Acco Pressboard Covers with Storage Hooks, 14 7/8&quot; x 11&quot;, Light Blue"/>
    <n v="35.35"/>
    <n v="9"/>
    <x v="3061"/>
    <x v="3"/>
    <x v="2"/>
  </r>
  <r>
    <n v="45025"/>
    <x v="746"/>
    <x v="14"/>
    <x v="2"/>
    <x v="6"/>
    <s v="Nortel Meridian M5316 Digital phone"/>
    <n v="517.9"/>
    <n v="2"/>
    <x v="1988"/>
    <x v="3"/>
    <x v="2"/>
  </r>
  <r>
    <n v="45025"/>
    <x v="746"/>
    <x v="14"/>
    <x v="0"/>
    <x v="3"/>
    <s v="Storex Flexible Poly Binders with Double Pockets"/>
    <n v="5.28"/>
    <n v="2"/>
    <x v="3062"/>
    <x v="3"/>
    <x v="2"/>
  </r>
  <r>
    <n v="45025"/>
    <x v="221"/>
    <x v="3"/>
    <x v="1"/>
    <x v="11"/>
    <s v="Bush Somerset Collection Bookcase"/>
    <n v="556.66999999999996"/>
    <n v="5"/>
    <x v="945"/>
    <x v="3"/>
    <x v="2"/>
  </r>
  <r>
    <n v="45026"/>
    <x v="691"/>
    <x v="10"/>
    <x v="0"/>
    <x v="3"/>
    <s v="Wilson Jones Hanging Recycled Pressboard Data Binders"/>
    <n v="8.9"/>
    <n v="2"/>
    <x v="2756"/>
    <x v="3"/>
    <x v="2"/>
  </r>
  <r>
    <n v="45026"/>
    <x v="76"/>
    <x v="3"/>
    <x v="0"/>
    <x v="0"/>
    <s v="Xerox 227"/>
    <n v="12.96"/>
    <n v="2"/>
    <x v="113"/>
    <x v="3"/>
    <x v="2"/>
  </r>
  <r>
    <n v="45026"/>
    <x v="76"/>
    <x v="3"/>
    <x v="0"/>
    <x v="3"/>
    <s v="Wilson Jones Clip &amp; Carry Folder Binder Tool for Ring Binders, Clear"/>
    <n v="23.2"/>
    <n v="5"/>
    <x v="2276"/>
    <x v="3"/>
    <x v="2"/>
  </r>
  <r>
    <n v="45026"/>
    <x v="542"/>
    <x v="3"/>
    <x v="0"/>
    <x v="12"/>
    <s v="3M Replacement Filter for Office Air Cleaner for 20' x 33' Room"/>
    <n v="113.76"/>
    <n v="3"/>
    <x v="3063"/>
    <x v="3"/>
    <x v="2"/>
  </r>
  <r>
    <n v="45026"/>
    <x v="542"/>
    <x v="3"/>
    <x v="0"/>
    <x v="2"/>
    <s v="Fellowes Staxonsteel Drawer Files"/>
    <n v="579.51"/>
    <n v="3"/>
    <x v="3064"/>
    <x v="3"/>
    <x v="2"/>
  </r>
  <r>
    <n v="45026"/>
    <x v="542"/>
    <x v="3"/>
    <x v="0"/>
    <x v="2"/>
    <s v="Rogers Profile Extra Capacity Storage Tub"/>
    <n v="150.66"/>
    <n v="9"/>
    <x v="1175"/>
    <x v="3"/>
    <x v="2"/>
  </r>
  <r>
    <n v="45026"/>
    <x v="542"/>
    <x v="3"/>
    <x v="0"/>
    <x v="3"/>
    <s v="GBC Prepunched Paper, 19-Hole, for Binding Systems, 24-lb"/>
    <n v="48.03"/>
    <n v="4"/>
    <x v="2054"/>
    <x v="3"/>
    <x v="2"/>
  </r>
  <r>
    <n v="45026"/>
    <x v="87"/>
    <x v="1"/>
    <x v="0"/>
    <x v="4"/>
    <s v="BIC Brite Liner Grip Highlighters, Assorted, 5/Pack"/>
    <n v="13.57"/>
    <n v="4"/>
    <x v="234"/>
    <x v="3"/>
    <x v="2"/>
  </r>
  <r>
    <n v="45028"/>
    <x v="12"/>
    <x v="6"/>
    <x v="1"/>
    <x v="13"/>
    <s v="KI Adjustable-Height Table"/>
    <n v="343.92"/>
    <n v="4"/>
    <x v="3065"/>
    <x v="3"/>
    <x v="2"/>
  </r>
  <r>
    <n v="45028"/>
    <x v="12"/>
    <x v="6"/>
    <x v="0"/>
    <x v="0"/>
    <s v="Xerox 1945"/>
    <n v="40.99"/>
    <n v="1"/>
    <x v="2448"/>
    <x v="3"/>
    <x v="2"/>
  </r>
  <r>
    <n v="45028"/>
    <x v="12"/>
    <x v="6"/>
    <x v="0"/>
    <x v="10"/>
    <s v="Globe Weis Peel &amp; Seel First Class Envelopes"/>
    <n v="63.9"/>
    <n v="5"/>
    <x v="3066"/>
    <x v="3"/>
    <x v="2"/>
  </r>
  <r>
    <n v="45028"/>
    <x v="443"/>
    <x v="3"/>
    <x v="1"/>
    <x v="5"/>
    <s v="Hon Comfortask Task/Swivel Chairs"/>
    <n v="638.29"/>
    <n v="7"/>
    <x v="3067"/>
    <x v="3"/>
    <x v="2"/>
  </r>
  <r>
    <n v="45028"/>
    <x v="443"/>
    <x v="3"/>
    <x v="0"/>
    <x v="3"/>
    <s v="JM Magazine Binder"/>
    <n v="13.21"/>
    <n v="1"/>
    <x v="1076"/>
    <x v="3"/>
    <x v="2"/>
  </r>
  <r>
    <n v="45028"/>
    <x v="80"/>
    <x v="3"/>
    <x v="0"/>
    <x v="0"/>
    <s v="Xerox 206"/>
    <n v="19.440000000000001"/>
    <n v="3"/>
    <x v="5"/>
    <x v="3"/>
    <x v="2"/>
  </r>
  <r>
    <n v="45028"/>
    <x v="80"/>
    <x v="3"/>
    <x v="1"/>
    <x v="5"/>
    <s v="Global Geo Office Task Chair, Gray"/>
    <n v="194.35"/>
    <n v="3"/>
    <x v="3068"/>
    <x v="3"/>
    <x v="2"/>
  </r>
  <r>
    <n v="45028"/>
    <x v="80"/>
    <x v="3"/>
    <x v="0"/>
    <x v="3"/>
    <s v="Aluminum Screw Posts"/>
    <n v="36.619999999999997"/>
    <n v="3"/>
    <x v="2012"/>
    <x v="3"/>
    <x v="2"/>
  </r>
  <r>
    <n v="45028"/>
    <x v="559"/>
    <x v="25"/>
    <x v="0"/>
    <x v="2"/>
    <s v="Fellowes Bankers Box Recycled Super Stor/Drawer"/>
    <n v="129.55000000000001"/>
    <n v="3"/>
    <x v="126"/>
    <x v="3"/>
    <x v="2"/>
  </r>
  <r>
    <n v="45028"/>
    <x v="559"/>
    <x v="25"/>
    <x v="0"/>
    <x v="2"/>
    <s v="Fellowes Bankers Box Staxonsteel Drawer File/Stacking System"/>
    <n v="51.98"/>
    <n v="1"/>
    <x v="670"/>
    <x v="3"/>
    <x v="2"/>
  </r>
  <r>
    <n v="45028"/>
    <x v="559"/>
    <x v="25"/>
    <x v="0"/>
    <x v="0"/>
    <s v="TOPS &quot;Important Message&quot; Pads, Canary, 4-1/4 x 5-1/2, 50 Sheets per Pad"/>
    <n v="10.27"/>
    <n v="3"/>
    <x v="1540"/>
    <x v="3"/>
    <x v="2"/>
  </r>
  <r>
    <n v="45029"/>
    <x v="530"/>
    <x v="3"/>
    <x v="0"/>
    <x v="10"/>
    <s v="Poly String Tie Envelopes"/>
    <n v="6.12"/>
    <n v="3"/>
    <x v="245"/>
    <x v="3"/>
    <x v="2"/>
  </r>
  <r>
    <n v="45030"/>
    <x v="300"/>
    <x v="3"/>
    <x v="1"/>
    <x v="5"/>
    <s v="Bevis Steel Folding Chairs"/>
    <n v="383.8"/>
    <n v="5"/>
    <x v="3069"/>
    <x v="3"/>
    <x v="2"/>
  </r>
  <r>
    <n v="45030"/>
    <x v="388"/>
    <x v="12"/>
    <x v="1"/>
    <x v="5"/>
    <s v="Hon 4070 Series Pagoda Armless Upholstered Stacking Chairs"/>
    <n v="933.54"/>
    <n v="4"/>
    <x v="3070"/>
    <x v="3"/>
    <x v="2"/>
  </r>
  <r>
    <n v="45030"/>
    <x v="388"/>
    <x v="12"/>
    <x v="0"/>
    <x v="2"/>
    <s v="Fellowes Personal Hanging Folder Files, Navy"/>
    <n v="42.98"/>
    <n v="4"/>
    <x v="3071"/>
    <x v="3"/>
    <x v="2"/>
  </r>
  <r>
    <n v="45030"/>
    <x v="23"/>
    <x v="6"/>
    <x v="0"/>
    <x v="2"/>
    <s v="Acco Perma 4000 Stacking Storage Drawers"/>
    <n v="81.2"/>
    <n v="5"/>
    <x v="3072"/>
    <x v="3"/>
    <x v="2"/>
  </r>
  <r>
    <n v="45030"/>
    <x v="747"/>
    <x v="36"/>
    <x v="0"/>
    <x v="3"/>
    <s v="GBC ProClick Spines for 32-Hole Punch"/>
    <n v="25.06"/>
    <n v="2"/>
    <x v="1408"/>
    <x v="3"/>
    <x v="2"/>
  </r>
  <r>
    <n v="45031"/>
    <x v="237"/>
    <x v="25"/>
    <x v="0"/>
    <x v="3"/>
    <s v="GBC ProClick 150 Presentation Binding System"/>
    <n v="189.59"/>
    <n v="2"/>
    <x v="3073"/>
    <x v="3"/>
    <x v="2"/>
  </r>
  <r>
    <n v="45031"/>
    <x v="237"/>
    <x v="25"/>
    <x v="2"/>
    <x v="9"/>
    <s v="ImationÂ Secure+ Hardware Encrypted USB 2.0Â Flash Drive; 16GB"/>
    <n v="408.74"/>
    <n v="7"/>
    <x v="1434"/>
    <x v="3"/>
    <x v="2"/>
  </r>
  <r>
    <n v="45031"/>
    <x v="237"/>
    <x v="25"/>
    <x v="2"/>
    <x v="9"/>
    <s v="ImationÂ Secure+ Hardware Encrypted USB 2.0Â Flash Drive; 16GB"/>
    <n v="291.95999999999998"/>
    <n v="5"/>
    <x v="3074"/>
    <x v="3"/>
    <x v="2"/>
  </r>
  <r>
    <n v="45031"/>
    <x v="237"/>
    <x v="25"/>
    <x v="0"/>
    <x v="2"/>
    <s v="Woodgrain Magazine Files by Perma"/>
    <n v="4.7699999999999996"/>
    <n v="2"/>
    <x v="3075"/>
    <x v="3"/>
    <x v="2"/>
  </r>
  <r>
    <n v="45031"/>
    <x v="649"/>
    <x v="3"/>
    <x v="1"/>
    <x v="5"/>
    <s v="HON 5400 Series Task Chairs for Big and Tall"/>
    <n v="1121.57"/>
    <n v="2"/>
    <x v="62"/>
    <x v="3"/>
    <x v="2"/>
  </r>
  <r>
    <n v="45031"/>
    <x v="168"/>
    <x v="0"/>
    <x v="0"/>
    <x v="4"/>
    <s v="Dixon Ticonderoga Erasable Colored Pencil Set, 12-Color"/>
    <n v="33.49"/>
    <n v="7"/>
    <x v="679"/>
    <x v="3"/>
    <x v="2"/>
  </r>
  <r>
    <n v="45031"/>
    <x v="168"/>
    <x v="0"/>
    <x v="0"/>
    <x v="7"/>
    <s v="Ideal Clamps"/>
    <n v="8.0399999999999991"/>
    <n v="5"/>
    <x v="1973"/>
    <x v="3"/>
    <x v="2"/>
  </r>
  <r>
    <n v="45031"/>
    <x v="488"/>
    <x v="3"/>
    <x v="0"/>
    <x v="0"/>
    <s v="Xerox 1911"/>
    <n v="143.69999999999999"/>
    <n v="3"/>
    <x v="2173"/>
    <x v="3"/>
    <x v="2"/>
  </r>
  <r>
    <n v="45032"/>
    <x v="358"/>
    <x v="4"/>
    <x v="0"/>
    <x v="4"/>
    <s v="Newell 341"/>
    <n v="12.84"/>
    <n v="3"/>
    <x v="239"/>
    <x v="3"/>
    <x v="2"/>
  </r>
  <r>
    <n v="45032"/>
    <x v="183"/>
    <x v="23"/>
    <x v="2"/>
    <x v="15"/>
    <s v="3D Systems Cube Printer, 2nd Generation, Magenta"/>
    <n v="9099.93"/>
    <n v="7"/>
    <x v="3076"/>
    <x v="3"/>
    <x v="2"/>
  </r>
  <r>
    <n v="45032"/>
    <x v="183"/>
    <x v="23"/>
    <x v="1"/>
    <x v="8"/>
    <s v="Stacking Trays by OIC"/>
    <n v="9.9600000000000009"/>
    <n v="2"/>
    <x v="1300"/>
    <x v="3"/>
    <x v="2"/>
  </r>
  <r>
    <n v="45032"/>
    <x v="183"/>
    <x v="23"/>
    <x v="0"/>
    <x v="3"/>
    <s v="Wilson Jones Standard D-Ring Binders"/>
    <n v="25.3"/>
    <n v="5"/>
    <x v="851"/>
    <x v="3"/>
    <x v="2"/>
  </r>
  <r>
    <n v="45032"/>
    <x v="240"/>
    <x v="22"/>
    <x v="0"/>
    <x v="14"/>
    <s v="Stiletto Hand Letter Openers"/>
    <n v="28.8"/>
    <n v="3"/>
    <x v="3077"/>
    <x v="3"/>
    <x v="2"/>
  </r>
  <r>
    <n v="45032"/>
    <x v="500"/>
    <x v="15"/>
    <x v="2"/>
    <x v="9"/>
    <s v="Memorex Froggy Flash Drive 4 GB"/>
    <n v="35.17"/>
    <n v="4"/>
    <x v="2063"/>
    <x v="3"/>
    <x v="2"/>
  </r>
  <r>
    <n v="45032"/>
    <x v="500"/>
    <x v="15"/>
    <x v="0"/>
    <x v="0"/>
    <s v="Standard Line Â“While You Were OutÂ” Hardbound Telephone Message Book"/>
    <n v="123.09"/>
    <n v="7"/>
    <x v="3078"/>
    <x v="3"/>
    <x v="2"/>
  </r>
  <r>
    <n v="45033"/>
    <x v="151"/>
    <x v="25"/>
    <x v="2"/>
    <x v="6"/>
    <s v="Motorola L804"/>
    <n v="36.79"/>
    <n v="1"/>
    <x v="3079"/>
    <x v="3"/>
    <x v="2"/>
  </r>
  <r>
    <n v="45033"/>
    <x v="151"/>
    <x v="25"/>
    <x v="1"/>
    <x v="8"/>
    <s v="GE General Purpose, Extra Long Life, Showcase &amp; Floodlight Incandescent Bulbs"/>
    <n v="18.62"/>
    <n v="8"/>
    <x v="655"/>
    <x v="3"/>
    <x v="2"/>
  </r>
  <r>
    <n v="45033"/>
    <x v="746"/>
    <x v="40"/>
    <x v="0"/>
    <x v="7"/>
    <s v="Advantus Push Pins, Aluminum Head"/>
    <n v="29.05"/>
    <n v="5"/>
    <x v="3080"/>
    <x v="3"/>
    <x v="2"/>
  </r>
  <r>
    <n v="45033"/>
    <x v="401"/>
    <x v="3"/>
    <x v="1"/>
    <x v="11"/>
    <s v="Bush Westfield Collection Bookcases, Fully Assembled"/>
    <n v="257.5"/>
    <n v="3"/>
    <x v="3081"/>
    <x v="3"/>
    <x v="2"/>
  </r>
  <r>
    <n v="45033"/>
    <x v="345"/>
    <x v="15"/>
    <x v="1"/>
    <x v="8"/>
    <s v="Ultra Door Kickplate, 8&quot;H x 34&quot;W"/>
    <n v="79.12"/>
    <n v="5"/>
    <x v="647"/>
    <x v="3"/>
    <x v="2"/>
  </r>
  <r>
    <n v="45034"/>
    <x v="748"/>
    <x v="1"/>
    <x v="0"/>
    <x v="2"/>
    <s v="Safco Industrial Wire Shelving"/>
    <n v="230.38"/>
    <n v="3"/>
    <x v="3082"/>
    <x v="3"/>
    <x v="2"/>
  </r>
  <r>
    <n v="45034"/>
    <x v="748"/>
    <x v="1"/>
    <x v="0"/>
    <x v="0"/>
    <s v="Adams Telephone Message Books, 5 1/4Â” x 11Â”"/>
    <n v="9.66"/>
    <n v="2"/>
    <x v="3083"/>
    <x v="3"/>
    <x v="2"/>
  </r>
  <r>
    <n v="45034"/>
    <x v="503"/>
    <x v="6"/>
    <x v="0"/>
    <x v="12"/>
    <s v="Eureka The Boss Cordless Rechargeable Stick Vac"/>
    <n v="203.92"/>
    <n v="4"/>
    <x v="3084"/>
    <x v="3"/>
    <x v="2"/>
  </r>
  <r>
    <n v="45034"/>
    <x v="503"/>
    <x v="6"/>
    <x v="2"/>
    <x v="6"/>
    <s v="SKILCRAFT Telephone Shoulder Rest, 2&quot; x 6.5&quot; x 2.5&quot;, Black"/>
    <n v="29.56"/>
    <n v="4"/>
    <x v="1374"/>
    <x v="3"/>
    <x v="2"/>
  </r>
  <r>
    <n v="45034"/>
    <x v="424"/>
    <x v="0"/>
    <x v="1"/>
    <x v="5"/>
    <s v="Global High-Back Leather Tilter, Burgundy"/>
    <n v="344.37"/>
    <n v="4"/>
    <x v="2634"/>
    <x v="3"/>
    <x v="2"/>
  </r>
  <r>
    <n v="45034"/>
    <x v="424"/>
    <x v="0"/>
    <x v="0"/>
    <x v="2"/>
    <s v="Tennsco 16-Compartment Lockers with Coat Rack"/>
    <n v="1554.94"/>
    <n v="3"/>
    <x v="1856"/>
    <x v="3"/>
    <x v="2"/>
  </r>
  <r>
    <n v="45034"/>
    <x v="424"/>
    <x v="0"/>
    <x v="1"/>
    <x v="8"/>
    <s v="Howard Miller 16&quot; Diameter Gallery Wall Clock"/>
    <n v="127.88"/>
    <n v="5"/>
    <x v="3085"/>
    <x v="3"/>
    <x v="2"/>
  </r>
  <r>
    <n v="45034"/>
    <x v="599"/>
    <x v="20"/>
    <x v="0"/>
    <x v="4"/>
    <s v="American Pencil"/>
    <n v="6.99"/>
    <n v="3"/>
    <x v="298"/>
    <x v="3"/>
    <x v="2"/>
  </r>
  <r>
    <n v="45034"/>
    <x v="599"/>
    <x v="20"/>
    <x v="0"/>
    <x v="14"/>
    <s v="Acme Design Line 8&quot; Stainless Steel Bent Scissors w/Champagne Handles, 3-1/8&quot; Cut"/>
    <n v="6.84"/>
    <n v="1"/>
    <x v="387"/>
    <x v="3"/>
    <x v="2"/>
  </r>
  <r>
    <n v="45035"/>
    <x v="146"/>
    <x v="10"/>
    <x v="1"/>
    <x v="13"/>
    <s v="Bush Andora Conference Table, Maple/Graphite Gray Finish"/>
    <n v="205.18"/>
    <n v="2"/>
    <x v="3086"/>
    <x v="3"/>
    <x v="2"/>
  </r>
  <r>
    <n v="45035"/>
    <x v="146"/>
    <x v="10"/>
    <x v="0"/>
    <x v="0"/>
    <s v="Xerox 189"/>
    <n v="419.4"/>
    <n v="5"/>
    <x v="3087"/>
    <x v="3"/>
    <x v="2"/>
  </r>
  <r>
    <n v="45035"/>
    <x v="117"/>
    <x v="3"/>
    <x v="2"/>
    <x v="6"/>
    <s v="PowerGen Dual USB Car Charger"/>
    <n v="39.96"/>
    <n v="5"/>
    <x v="372"/>
    <x v="3"/>
    <x v="2"/>
  </r>
  <r>
    <n v="45035"/>
    <x v="117"/>
    <x v="3"/>
    <x v="0"/>
    <x v="4"/>
    <s v="Newell 307"/>
    <n v="5.46"/>
    <n v="3"/>
    <x v="1657"/>
    <x v="3"/>
    <x v="2"/>
  </r>
  <r>
    <n v="45035"/>
    <x v="117"/>
    <x v="3"/>
    <x v="0"/>
    <x v="4"/>
    <s v="Panasonic KP-4ABK Battery-Operated Pencil Sharpener"/>
    <n v="73.2"/>
    <n v="5"/>
    <x v="3088"/>
    <x v="3"/>
    <x v="2"/>
  </r>
  <r>
    <n v="45035"/>
    <x v="117"/>
    <x v="3"/>
    <x v="0"/>
    <x v="3"/>
    <s v="Angle-D Binders with Locking Rings, Label Holders"/>
    <n v="5.84"/>
    <n v="1"/>
    <x v="532"/>
    <x v="3"/>
    <x v="2"/>
  </r>
  <r>
    <n v="45035"/>
    <x v="117"/>
    <x v="3"/>
    <x v="0"/>
    <x v="0"/>
    <s v="Adams Telephone Message Book W/Dividers/Space For Phone Numbers, 5 1/4&quot;X8 1/2&quot;, 200/Messages"/>
    <n v="22.72"/>
    <n v="4"/>
    <x v="725"/>
    <x v="3"/>
    <x v="2"/>
  </r>
  <r>
    <n v="45035"/>
    <x v="117"/>
    <x v="3"/>
    <x v="0"/>
    <x v="3"/>
    <s v="Avery Binder Labels"/>
    <n v="9.34"/>
    <n v="3"/>
    <x v="1880"/>
    <x v="3"/>
    <x v="2"/>
  </r>
  <r>
    <n v="45035"/>
    <x v="111"/>
    <x v="20"/>
    <x v="2"/>
    <x v="6"/>
    <s v="Gear Head AU3700S Headset"/>
    <n v="25.98"/>
    <n v="2"/>
    <x v="2710"/>
    <x v="3"/>
    <x v="2"/>
  </r>
  <r>
    <n v="45035"/>
    <x v="111"/>
    <x v="20"/>
    <x v="0"/>
    <x v="4"/>
    <s v="BIC Brite Liner Grip Highlighters"/>
    <n v="3.28"/>
    <n v="2"/>
    <x v="9"/>
    <x v="3"/>
    <x v="2"/>
  </r>
  <r>
    <n v="45035"/>
    <x v="111"/>
    <x v="20"/>
    <x v="0"/>
    <x v="2"/>
    <s v="Space Solutions HD Industrial Steel Shelving."/>
    <n v="459.88"/>
    <n v="4"/>
    <x v="3089"/>
    <x v="3"/>
    <x v="2"/>
  </r>
  <r>
    <n v="45035"/>
    <x v="111"/>
    <x v="20"/>
    <x v="0"/>
    <x v="14"/>
    <s v="Acme Kleen Earth Office Shears"/>
    <n v="7.76"/>
    <n v="2"/>
    <x v="281"/>
    <x v="3"/>
    <x v="2"/>
  </r>
  <r>
    <n v="45035"/>
    <x v="111"/>
    <x v="20"/>
    <x v="0"/>
    <x v="4"/>
    <s v="Panasonic KP-380BK Classic Electric Pencil Sharpener"/>
    <n v="71.959999999999994"/>
    <n v="2"/>
    <x v="2373"/>
    <x v="3"/>
    <x v="2"/>
  </r>
  <r>
    <n v="45035"/>
    <x v="111"/>
    <x v="20"/>
    <x v="0"/>
    <x v="14"/>
    <s v="Fiskars Softgrip Scissors"/>
    <n v="54.9"/>
    <n v="5"/>
    <x v="2623"/>
    <x v="3"/>
    <x v="2"/>
  </r>
  <r>
    <n v="45035"/>
    <x v="111"/>
    <x v="20"/>
    <x v="0"/>
    <x v="3"/>
    <s v="Wilson Jones Clip &amp; Carry Folder Binder Tool for Ring Binders, Clear"/>
    <n v="9.2799999999999994"/>
    <n v="2"/>
    <x v="3090"/>
    <x v="3"/>
    <x v="2"/>
  </r>
  <r>
    <n v="45037"/>
    <x v="457"/>
    <x v="1"/>
    <x v="0"/>
    <x v="2"/>
    <s v="Fellowes Bankers Box Stor/Drawer Steel Plus"/>
    <n v="102.34"/>
    <n v="4"/>
    <x v="3091"/>
    <x v="3"/>
    <x v="2"/>
  </r>
  <r>
    <n v="45037"/>
    <x v="457"/>
    <x v="1"/>
    <x v="0"/>
    <x v="12"/>
    <s v="Kensington 4 Outlet MasterPiece Compact Power Control Center"/>
    <n v="48.79"/>
    <n v="3"/>
    <x v="3092"/>
    <x v="3"/>
    <x v="2"/>
  </r>
  <r>
    <n v="45037"/>
    <x v="457"/>
    <x v="1"/>
    <x v="0"/>
    <x v="3"/>
    <s v="Performers Binder/Pad Holder, Black"/>
    <n v="44.85"/>
    <n v="8"/>
    <x v="3093"/>
    <x v="3"/>
    <x v="2"/>
  </r>
  <r>
    <n v="45037"/>
    <x v="416"/>
    <x v="22"/>
    <x v="0"/>
    <x v="3"/>
    <s v="Round Ring Binders"/>
    <n v="8.32"/>
    <n v="5"/>
    <x v="1120"/>
    <x v="3"/>
    <x v="2"/>
  </r>
  <r>
    <n v="45037"/>
    <x v="542"/>
    <x v="37"/>
    <x v="0"/>
    <x v="4"/>
    <s v="Colorific Watercolor Pencils"/>
    <n v="15.48"/>
    <n v="3"/>
    <x v="630"/>
    <x v="3"/>
    <x v="2"/>
  </r>
  <r>
    <n v="45037"/>
    <x v="542"/>
    <x v="37"/>
    <x v="0"/>
    <x v="0"/>
    <s v="Xerox 209"/>
    <n v="51.84"/>
    <n v="8"/>
    <x v="1746"/>
    <x v="3"/>
    <x v="2"/>
  </r>
  <r>
    <n v="45038"/>
    <x v="451"/>
    <x v="12"/>
    <x v="1"/>
    <x v="8"/>
    <s v="Eldon Wave Desk Accessories"/>
    <n v="23.56"/>
    <n v="5"/>
    <x v="2578"/>
    <x v="3"/>
    <x v="2"/>
  </r>
  <r>
    <n v="45038"/>
    <x v="451"/>
    <x v="12"/>
    <x v="1"/>
    <x v="13"/>
    <s v="Bush Advantage Collection Racetrack Conference Table"/>
    <n v="1272.6300000000001"/>
    <n v="6"/>
    <x v="3094"/>
    <x v="3"/>
    <x v="2"/>
  </r>
  <r>
    <n v="45038"/>
    <x v="451"/>
    <x v="12"/>
    <x v="0"/>
    <x v="3"/>
    <s v="Poly Designer Cover &amp; Back"/>
    <n v="28.49"/>
    <n v="5"/>
    <x v="3095"/>
    <x v="3"/>
    <x v="2"/>
  </r>
  <r>
    <n v="45038"/>
    <x v="451"/>
    <x v="12"/>
    <x v="0"/>
    <x v="14"/>
    <s v="Premier Electric Letter Opener"/>
    <n v="185.38"/>
    <n v="2"/>
    <x v="3096"/>
    <x v="3"/>
    <x v="2"/>
  </r>
  <r>
    <n v="45038"/>
    <x v="451"/>
    <x v="12"/>
    <x v="0"/>
    <x v="12"/>
    <s v="Fellowes Premier Superior Surge Suppressor, 10-Outlet, With Phone and Remote"/>
    <n v="78.27"/>
    <n v="2"/>
    <x v="1243"/>
    <x v="3"/>
    <x v="2"/>
  </r>
  <r>
    <n v="45038"/>
    <x v="749"/>
    <x v="24"/>
    <x v="1"/>
    <x v="8"/>
    <s v="Eldon Advantage Chair Mats for Low to Medium Pile Carpets"/>
    <n v="86.62"/>
    <n v="2"/>
    <x v="3097"/>
    <x v="3"/>
    <x v="2"/>
  </r>
  <r>
    <n v="45038"/>
    <x v="722"/>
    <x v="1"/>
    <x v="0"/>
    <x v="2"/>
    <s v="Pizazz Global Quick File"/>
    <n v="23.95"/>
    <n v="2"/>
    <x v="426"/>
    <x v="3"/>
    <x v="2"/>
  </r>
  <r>
    <n v="45038"/>
    <x v="194"/>
    <x v="3"/>
    <x v="1"/>
    <x v="8"/>
    <s v="Ultra Door Pull Handle"/>
    <n v="31.56"/>
    <n v="3"/>
    <x v="2183"/>
    <x v="3"/>
    <x v="2"/>
  </r>
  <r>
    <n v="45038"/>
    <x v="13"/>
    <x v="20"/>
    <x v="0"/>
    <x v="4"/>
    <s v="Barrel Sharpener"/>
    <n v="32.130000000000003"/>
    <n v="9"/>
    <x v="2063"/>
    <x v="3"/>
    <x v="2"/>
  </r>
  <r>
    <n v="45038"/>
    <x v="13"/>
    <x v="20"/>
    <x v="0"/>
    <x v="4"/>
    <s v="Newell 32"/>
    <n v="2.88"/>
    <n v="1"/>
    <x v="1261"/>
    <x v="3"/>
    <x v="2"/>
  </r>
  <r>
    <n v="45039"/>
    <x v="271"/>
    <x v="3"/>
    <x v="0"/>
    <x v="3"/>
    <s v="Ibico Laser Imprintable Binding System Covers"/>
    <n v="251.52"/>
    <n v="6"/>
    <x v="3098"/>
    <x v="3"/>
    <x v="2"/>
  </r>
  <r>
    <n v="45039"/>
    <x v="271"/>
    <x v="3"/>
    <x v="2"/>
    <x v="9"/>
    <s v="Logitech Wireless Headset h800"/>
    <n v="99.99"/>
    <n v="1"/>
    <x v="739"/>
    <x v="3"/>
    <x v="2"/>
  </r>
  <r>
    <n v="45039"/>
    <x v="252"/>
    <x v="25"/>
    <x v="0"/>
    <x v="0"/>
    <s v="Southworth 25% Cotton Linen-Finish Paper &amp; Envelopes"/>
    <n v="36.24"/>
    <n v="5"/>
    <x v="3099"/>
    <x v="3"/>
    <x v="2"/>
  </r>
  <r>
    <n v="45039"/>
    <x v="655"/>
    <x v="10"/>
    <x v="0"/>
    <x v="0"/>
    <s v="Embossed Ink Jet Note Cards"/>
    <n v="108.34"/>
    <n v="6"/>
    <x v="3100"/>
    <x v="3"/>
    <x v="2"/>
  </r>
  <r>
    <n v="45039"/>
    <x v="655"/>
    <x v="10"/>
    <x v="0"/>
    <x v="2"/>
    <s v="Eldon Fold 'N Roll Cart System"/>
    <n v="55.92"/>
    <n v="5"/>
    <x v="655"/>
    <x v="3"/>
    <x v="2"/>
  </r>
  <r>
    <n v="45039"/>
    <x v="655"/>
    <x v="10"/>
    <x v="0"/>
    <x v="0"/>
    <s v="Xerox 1942"/>
    <n v="78.3"/>
    <n v="2"/>
    <x v="726"/>
    <x v="3"/>
    <x v="2"/>
  </r>
  <r>
    <n v="45039"/>
    <x v="721"/>
    <x v="3"/>
    <x v="0"/>
    <x v="3"/>
    <s v="Recycled Pressboard Report Cover with Reinforced Top Hinge"/>
    <n v="18.09"/>
    <n v="7"/>
    <x v="325"/>
    <x v="3"/>
    <x v="2"/>
  </r>
  <r>
    <n v="45039"/>
    <x v="721"/>
    <x v="3"/>
    <x v="0"/>
    <x v="10"/>
    <s v="Recycled Interoffice Envelopes with String and Button Closure, 10 x 13"/>
    <n v="71.97"/>
    <n v="3"/>
    <x v="1992"/>
    <x v="3"/>
    <x v="2"/>
  </r>
  <r>
    <n v="45040"/>
    <x v="683"/>
    <x v="0"/>
    <x v="2"/>
    <x v="9"/>
    <s v="Plantronics S12 Corded Telephone Headset System"/>
    <n v="258.7"/>
    <n v="3"/>
    <x v="3101"/>
    <x v="3"/>
    <x v="2"/>
  </r>
  <r>
    <n v="45040"/>
    <x v="304"/>
    <x v="3"/>
    <x v="0"/>
    <x v="3"/>
    <s v="Cardinal Holdit Business Card Pockets"/>
    <n v="3.98"/>
    <n v="1"/>
    <x v="1020"/>
    <x v="3"/>
    <x v="2"/>
  </r>
  <r>
    <n v="45040"/>
    <x v="750"/>
    <x v="26"/>
    <x v="0"/>
    <x v="0"/>
    <s v="Xerox 226"/>
    <n v="15.55"/>
    <n v="3"/>
    <x v="192"/>
    <x v="3"/>
    <x v="2"/>
  </r>
  <r>
    <n v="45040"/>
    <x v="750"/>
    <x v="26"/>
    <x v="1"/>
    <x v="5"/>
    <s v="SAFCO Arco Folding Chair"/>
    <n v="1325.76"/>
    <n v="6"/>
    <x v="1524"/>
    <x v="3"/>
    <x v="2"/>
  </r>
  <r>
    <n v="45040"/>
    <x v="750"/>
    <x v="26"/>
    <x v="0"/>
    <x v="3"/>
    <s v="Wilson Jones Impact Binders"/>
    <n v="3.11"/>
    <n v="2"/>
    <x v="2150"/>
    <x v="3"/>
    <x v="2"/>
  </r>
  <r>
    <n v="45041"/>
    <x v="315"/>
    <x v="2"/>
    <x v="2"/>
    <x v="6"/>
    <s v="AT&amp;T 841000 Phone"/>
    <n v="82.8"/>
    <n v="2"/>
    <x v="2260"/>
    <x v="3"/>
    <x v="2"/>
  </r>
  <r>
    <n v="45041"/>
    <x v="315"/>
    <x v="2"/>
    <x v="0"/>
    <x v="3"/>
    <s v="Ibico Recycled Grain-Textured Covers"/>
    <n v="20.72"/>
    <n v="2"/>
    <x v="3102"/>
    <x v="3"/>
    <x v="2"/>
  </r>
  <r>
    <n v="45041"/>
    <x v="315"/>
    <x v="2"/>
    <x v="0"/>
    <x v="3"/>
    <s v="Wilson Jones Custom Binder Spines &amp; Labels"/>
    <n v="4.9000000000000004"/>
    <n v="3"/>
    <x v="1929"/>
    <x v="3"/>
    <x v="2"/>
  </r>
  <r>
    <n v="45042"/>
    <x v="524"/>
    <x v="20"/>
    <x v="1"/>
    <x v="5"/>
    <s v="Office Star - Mid Back Dual function Ergonomic High Back Chair with 2-Way Adjustable Arms"/>
    <n v="434.65"/>
    <n v="3"/>
    <x v="3103"/>
    <x v="3"/>
    <x v="2"/>
  </r>
  <r>
    <n v="45044"/>
    <x v="555"/>
    <x v="0"/>
    <x v="2"/>
    <x v="6"/>
    <s v="Nortel Meridian M3904 Professional Digital phone"/>
    <n v="369.58"/>
    <n v="3"/>
    <x v="3104"/>
    <x v="3"/>
    <x v="2"/>
  </r>
  <r>
    <n v="45044"/>
    <x v="555"/>
    <x v="0"/>
    <x v="0"/>
    <x v="1"/>
    <s v="Avery 493"/>
    <n v="15.71"/>
    <n v="4"/>
    <x v="1974"/>
    <x v="3"/>
    <x v="2"/>
  </r>
  <r>
    <n v="45044"/>
    <x v="200"/>
    <x v="26"/>
    <x v="0"/>
    <x v="0"/>
    <s v="Xerox 1881"/>
    <n v="29.47"/>
    <n v="3"/>
    <x v="512"/>
    <x v="3"/>
    <x v="2"/>
  </r>
  <r>
    <n v="45044"/>
    <x v="731"/>
    <x v="3"/>
    <x v="1"/>
    <x v="5"/>
    <s v="Global Stack Chair without Arms, Black"/>
    <n v="41.57"/>
    <n v="2"/>
    <x v="100"/>
    <x v="3"/>
    <x v="2"/>
  </r>
  <r>
    <n v="45044"/>
    <x v="751"/>
    <x v="1"/>
    <x v="1"/>
    <x v="8"/>
    <s v="Eldon Delta Triangular Chair Mat, 52&quot; x 58&quot;, Clear"/>
    <n v="30.34"/>
    <n v="2"/>
    <x v="3105"/>
    <x v="3"/>
    <x v="2"/>
  </r>
  <r>
    <n v="45046"/>
    <x v="154"/>
    <x v="20"/>
    <x v="0"/>
    <x v="3"/>
    <s v="Tuff Stuff Recycled Round Ring Binders"/>
    <n v="7.71"/>
    <n v="2"/>
    <x v="644"/>
    <x v="3"/>
    <x v="2"/>
  </r>
  <r>
    <n v="45046"/>
    <x v="151"/>
    <x v="0"/>
    <x v="1"/>
    <x v="8"/>
    <s v="Flat Face Poster Frame"/>
    <n v="22.61"/>
    <n v="3"/>
    <x v="3106"/>
    <x v="3"/>
    <x v="2"/>
  </r>
  <r>
    <n v="45046"/>
    <x v="687"/>
    <x v="12"/>
    <x v="1"/>
    <x v="8"/>
    <s v="12-1/2 Diameter Round Wall Clock"/>
    <n v="111.89"/>
    <n v="7"/>
    <x v="3107"/>
    <x v="3"/>
    <x v="2"/>
  </r>
  <r>
    <n v="45047"/>
    <x v="221"/>
    <x v="15"/>
    <x v="0"/>
    <x v="1"/>
    <s v="Avery 499"/>
    <n v="3.98"/>
    <n v="1"/>
    <x v="2516"/>
    <x v="4"/>
    <x v="2"/>
  </r>
  <r>
    <n v="45047"/>
    <x v="221"/>
    <x v="15"/>
    <x v="1"/>
    <x v="13"/>
    <s v="Bevis 44 x 96 Conference Tables"/>
    <n v="370.62"/>
    <n v="3"/>
    <x v="3108"/>
    <x v="4"/>
    <x v="2"/>
  </r>
  <r>
    <n v="45047"/>
    <x v="221"/>
    <x v="15"/>
    <x v="0"/>
    <x v="3"/>
    <s v="Newell 3-Hole Punched Plastic Slotted Magazine Holders for Binders"/>
    <n v="2.74"/>
    <n v="2"/>
    <x v="2299"/>
    <x v="4"/>
    <x v="2"/>
  </r>
  <r>
    <n v="45047"/>
    <x v="752"/>
    <x v="13"/>
    <x v="0"/>
    <x v="0"/>
    <s v="Xerox 1914"/>
    <n v="109.92"/>
    <n v="2"/>
    <x v="847"/>
    <x v="4"/>
    <x v="2"/>
  </r>
  <r>
    <n v="45047"/>
    <x v="752"/>
    <x v="13"/>
    <x v="0"/>
    <x v="0"/>
    <s v="Xerox 1994"/>
    <n v="19.440000000000001"/>
    <n v="3"/>
    <x v="5"/>
    <x v="4"/>
    <x v="2"/>
  </r>
  <r>
    <n v="45047"/>
    <x v="752"/>
    <x v="13"/>
    <x v="0"/>
    <x v="4"/>
    <s v="DIXON Ticonderoga Erasable Checking Pencils"/>
    <n v="11.16"/>
    <n v="2"/>
    <x v="1787"/>
    <x v="4"/>
    <x v="2"/>
  </r>
  <r>
    <n v="45048"/>
    <x v="741"/>
    <x v="0"/>
    <x v="0"/>
    <x v="4"/>
    <s v="Panasonic KP-380BK Classic Electric Pencil Sharpener"/>
    <n v="86.35"/>
    <n v="3"/>
    <x v="144"/>
    <x v="4"/>
    <x v="2"/>
  </r>
  <r>
    <n v="45048"/>
    <x v="204"/>
    <x v="20"/>
    <x v="0"/>
    <x v="2"/>
    <s v="Super Decoflex Portable Personal File"/>
    <n v="44.94"/>
    <n v="3"/>
    <x v="964"/>
    <x v="4"/>
    <x v="2"/>
  </r>
  <r>
    <n v="45048"/>
    <x v="204"/>
    <x v="20"/>
    <x v="0"/>
    <x v="3"/>
    <s v="Poly Designer Cover &amp; Back"/>
    <n v="45.58"/>
    <n v="3"/>
    <x v="3109"/>
    <x v="4"/>
    <x v="2"/>
  </r>
  <r>
    <n v="45048"/>
    <x v="275"/>
    <x v="25"/>
    <x v="1"/>
    <x v="5"/>
    <s v="Global Stack Chair without Arms, Black"/>
    <n v="187.06"/>
    <n v="9"/>
    <x v="1734"/>
    <x v="4"/>
    <x v="2"/>
  </r>
  <r>
    <n v="45048"/>
    <x v="423"/>
    <x v="0"/>
    <x v="0"/>
    <x v="2"/>
    <s v="Akro Stacking Bins"/>
    <n v="18.940000000000001"/>
    <n v="3"/>
    <x v="3110"/>
    <x v="4"/>
    <x v="2"/>
  </r>
  <r>
    <n v="45048"/>
    <x v="423"/>
    <x v="0"/>
    <x v="0"/>
    <x v="2"/>
    <s v="Sterilite Show Offs Storage Containers"/>
    <n v="12.67"/>
    <n v="3"/>
    <x v="2838"/>
    <x v="4"/>
    <x v="2"/>
  </r>
  <r>
    <n v="45048"/>
    <x v="423"/>
    <x v="0"/>
    <x v="0"/>
    <x v="1"/>
    <s v="Avery 502"/>
    <n v="5.04"/>
    <n v="2"/>
    <x v="1406"/>
    <x v="4"/>
    <x v="2"/>
  </r>
  <r>
    <n v="45048"/>
    <x v="245"/>
    <x v="0"/>
    <x v="1"/>
    <x v="5"/>
    <s v="Office Star - Contemporary Task Swivel chair with Loop Arms, Charcoal"/>
    <n v="366.74"/>
    <n v="4"/>
    <x v="1780"/>
    <x v="4"/>
    <x v="2"/>
  </r>
  <r>
    <n v="45048"/>
    <x v="150"/>
    <x v="20"/>
    <x v="1"/>
    <x v="8"/>
    <s v="Eldon 200 Class Desk Accessories"/>
    <n v="12.56"/>
    <n v="2"/>
    <x v="2035"/>
    <x v="4"/>
    <x v="2"/>
  </r>
  <r>
    <n v="45048"/>
    <x v="150"/>
    <x v="20"/>
    <x v="0"/>
    <x v="3"/>
    <s v="Vinyl Sectional Post Binders"/>
    <n v="90.48"/>
    <n v="3"/>
    <x v="3111"/>
    <x v="4"/>
    <x v="2"/>
  </r>
  <r>
    <n v="45048"/>
    <x v="150"/>
    <x v="20"/>
    <x v="0"/>
    <x v="0"/>
    <s v="Southworth Parchment Paper &amp; Envelopes"/>
    <n v="13.08"/>
    <n v="2"/>
    <x v="3112"/>
    <x v="4"/>
    <x v="2"/>
  </r>
  <r>
    <n v="45048"/>
    <x v="150"/>
    <x v="20"/>
    <x v="1"/>
    <x v="8"/>
    <s v="Howard Miller 13&quot; Diameter Pewter Finish Round Wall Clock"/>
    <n v="214.7"/>
    <n v="5"/>
    <x v="3113"/>
    <x v="4"/>
    <x v="2"/>
  </r>
  <r>
    <n v="45049"/>
    <x v="710"/>
    <x v="1"/>
    <x v="0"/>
    <x v="3"/>
    <s v="Heavy-Duty E-Z-D Binders"/>
    <n v="2.1800000000000002"/>
    <n v="1"/>
    <x v="3114"/>
    <x v="4"/>
    <x v="2"/>
  </r>
  <r>
    <n v="45049"/>
    <x v="710"/>
    <x v="1"/>
    <x v="0"/>
    <x v="4"/>
    <s v="Newell 316"/>
    <n v="27.38"/>
    <n v="7"/>
    <x v="3115"/>
    <x v="4"/>
    <x v="2"/>
  </r>
  <r>
    <n v="45049"/>
    <x v="710"/>
    <x v="1"/>
    <x v="0"/>
    <x v="12"/>
    <s v="Acco Smartsocket Color-Coded Six-Outlet AC Adapter Model Surge Protectors"/>
    <n v="26.41"/>
    <n v="3"/>
    <x v="3116"/>
    <x v="4"/>
    <x v="2"/>
  </r>
  <r>
    <n v="45049"/>
    <x v="753"/>
    <x v="10"/>
    <x v="2"/>
    <x v="9"/>
    <s v="ImationÂ 16GB Mini TravelDrive USB 2.0Â Flash Drive"/>
    <n v="132.52000000000001"/>
    <n v="5"/>
    <x v="3117"/>
    <x v="4"/>
    <x v="2"/>
  </r>
  <r>
    <n v="45049"/>
    <x v="753"/>
    <x v="10"/>
    <x v="0"/>
    <x v="2"/>
    <s v="Tennsco Industrial Shelving"/>
    <n v="195.64"/>
    <n v="5"/>
    <x v="3118"/>
    <x v="4"/>
    <x v="2"/>
  </r>
  <r>
    <n v="45049"/>
    <x v="753"/>
    <x v="10"/>
    <x v="1"/>
    <x v="8"/>
    <s v="Computer Room Manger, 14&quot;"/>
    <n v="51.97"/>
    <n v="2"/>
    <x v="1156"/>
    <x v="4"/>
    <x v="2"/>
  </r>
  <r>
    <n v="45049"/>
    <x v="753"/>
    <x v="10"/>
    <x v="2"/>
    <x v="9"/>
    <s v="LogitechÂ VX Revolution Cordless Laser Mouse for Notebooks (Black)"/>
    <n v="431.98"/>
    <n v="3"/>
    <x v="3119"/>
    <x v="4"/>
    <x v="2"/>
  </r>
  <r>
    <n v="45049"/>
    <x v="753"/>
    <x v="10"/>
    <x v="2"/>
    <x v="15"/>
    <s v="Cisco 8961 IP Phone Charcoal"/>
    <n v="224.94"/>
    <n v="3"/>
    <x v="3120"/>
    <x v="4"/>
    <x v="2"/>
  </r>
  <r>
    <n v="45049"/>
    <x v="753"/>
    <x v="10"/>
    <x v="0"/>
    <x v="1"/>
    <s v="Avery 496"/>
    <n v="6"/>
    <n v="2"/>
    <x v="2266"/>
    <x v="4"/>
    <x v="2"/>
  </r>
  <r>
    <n v="45051"/>
    <x v="11"/>
    <x v="5"/>
    <x v="0"/>
    <x v="0"/>
    <s v="Xerox 1909"/>
    <n v="79.14"/>
    <n v="3"/>
    <x v="543"/>
    <x v="4"/>
    <x v="2"/>
  </r>
  <r>
    <n v="45051"/>
    <x v="225"/>
    <x v="15"/>
    <x v="0"/>
    <x v="0"/>
    <s v="Xerox 1965"/>
    <n v="14.35"/>
    <n v="3"/>
    <x v="3121"/>
    <x v="4"/>
    <x v="2"/>
  </r>
  <r>
    <n v="45051"/>
    <x v="429"/>
    <x v="3"/>
    <x v="0"/>
    <x v="2"/>
    <s v="Perma STOR-ALL Hanging File Box, 13 1/8&quot;W x 12 1/4&quot;D x 10 1/2&quot;H"/>
    <n v="5.98"/>
    <n v="1"/>
    <x v="2708"/>
    <x v="4"/>
    <x v="2"/>
  </r>
  <r>
    <n v="45051"/>
    <x v="429"/>
    <x v="3"/>
    <x v="2"/>
    <x v="6"/>
    <s v="Cisco Small Business SPA 502G VoIP phone"/>
    <n v="246.17"/>
    <n v="3"/>
    <x v="2783"/>
    <x v="4"/>
    <x v="2"/>
  </r>
  <r>
    <n v="45051"/>
    <x v="406"/>
    <x v="3"/>
    <x v="0"/>
    <x v="3"/>
    <s v="Computer Printout Index Tabs"/>
    <n v="6.72"/>
    <n v="5"/>
    <x v="279"/>
    <x v="4"/>
    <x v="2"/>
  </r>
  <r>
    <n v="45051"/>
    <x v="406"/>
    <x v="3"/>
    <x v="1"/>
    <x v="13"/>
    <s v="Bevis 36 x 72 Conference Tables"/>
    <n v="298.77999999999997"/>
    <n v="3"/>
    <x v="3122"/>
    <x v="4"/>
    <x v="2"/>
  </r>
  <r>
    <n v="45051"/>
    <x v="368"/>
    <x v="15"/>
    <x v="1"/>
    <x v="8"/>
    <s v="Eldon Image Series Desk Accessories, Burgundy"/>
    <n v="16.72"/>
    <n v="5"/>
    <x v="2627"/>
    <x v="4"/>
    <x v="2"/>
  </r>
  <r>
    <n v="45051"/>
    <x v="596"/>
    <x v="3"/>
    <x v="1"/>
    <x v="13"/>
    <s v="Hon 61000 Series Interactive Training Tables"/>
    <n v="71.09"/>
    <n v="2"/>
    <x v="3123"/>
    <x v="4"/>
    <x v="2"/>
  </r>
  <r>
    <n v="45051"/>
    <x v="754"/>
    <x v="17"/>
    <x v="1"/>
    <x v="13"/>
    <s v="Global Adaptabilities Conference Tables"/>
    <n v="1685.88"/>
    <n v="6"/>
    <x v="3124"/>
    <x v="4"/>
    <x v="2"/>
  </r>
  <r>
    <n v="45051"/>
    <x v="754"/>
    <x v="17"/>
    <x v="0"/>
    <x v="3"/>
    <s v="Avery Poly Binder Pockets"/>
    <n v="5.73"/>
    <n v="2"/>
    <x v="866"/>
    <x v="4"/>
    <x v="2"/>
  </r>
  <r>
    <n v="45051"/>
    <x v="81"/>
    <x v="16"/>
    <x v="0"/>
    <x v="0"/>
    <s v="Snap-A-Way Black Print Carbonless Speed Message, No Reply Area, Duplicate"/>
    <n v="93.25"/>
    <n v="4"/>
    <x v="888"/>
    <x v="4"/>
    <x v="2"/>
  </r>
  <r>
    <n v="45051"/>
    <x v="81"/>
    <x v="16"/>
    <x v="2"/>
    <x v="6"/>
    <s v="Avaya 4621SW VoIP phone"/>
    <n v="177.48"/>
    <n v="3"/>
    <x v="613"/>
    <x v="4"/>
    <x v="2"/>
  </r>
  <r>
    <n v="45052"/>
    <x v="671"/>
    <x v="10"/>
    <x v="0"/>
    <x v="7"/>
    <s v="Advantus T-Pin Paper Clips"/>
    <n v="7.22"/>
    <n v="2"/>
    <x v="3125"/>
    <x v="4"/>
    <x v="2"/>
  </r>
  <r>
    <n v="45052"/>
    <x v="671"/>
    <x v="10"/>
    <x v="0"/>
    <x v="0"/>
    <s v="Xerox 1951"/>
    <n v="49.57"/>
    <n v="2"/>
    <x v="675"/>
    <x v="4"/>
    <x v="2"/>
  </r>
  <r>
    <n v="45052"/>
    <x v="671"/>
    <x v="10"/>
    <x v="1"/>
    <x v="8"/>
    <s v="DAX Solid Wood Frames"/>
    <n v="54.71"/>
    <n v="7"/>
    <x v="3126"/>
    <x v="4"/>
    <x v="2"/>
  </r>
  <r>
    <n v="45052"/>
    <x v="721"/>
    <x v="1"/>
    <x v="0"/>
    <x v="3"/>
    <s v="Insertable Tab Post Binder Dividers"/>
    <n v="3.21"/>
    <n v="2"/>
    <x v="3127"/>
    <x v="4"/>
    <x v="2"/>
  </r>
  <r>
    <n v="45052"/>
    <x v="721"/>
    <x v="1"/>
    <x v="2"/>
    <x v="9"/>
    <s v="Logitech Desktop MK120 Mouse and keyboard Combo"/>
    <n v="26.18"/>
    <n v="2"/>
    <x v="3128"/>
    <x v="4"/>
    <x v="2"/>
  </r>
  <r>
    <n v="45052"/>
    <x v="671"/>
    <x v="24"/>
    <x v="0"/>
    <x v="12"/>
    <s v="Belkin 5 Outlet SurgeMaster Power Centers"/>
    <n v="54.48"/>
    <n v="1"/>
    <x v="2404"/>
    <x v="4"/>
    <x v="2"/>
  </r>
  <r>
    <n v="45052"/>
    <x v="344"/>
    <x v="3"/>
    <x v="1"/>
    <x v="8"/>
    <s v="Executive Impressions 8-1/2&quot; Career Panel/Partition Cubicle Clock"/>
    <n v="41.6"/>
    <n v="4"/>
    <x v="632"/>
    <x v="4"/>
    <x v="2"/>
  </r>
  <r>
    <n v="45053"/>
    <x v="740"/>
    <x v="20"/>
    <x v="0"/>
    <x v="3"/>
    <s v="GBC Twin Loop Wire Binding Elements, 9/16&quot; Spine, Black"/>
    <n v="85.23"/>
    <n v="7"/>
    <x v="3129"/>
    <x v="4"/>
    <x v="2"/>
  </r>
  <r>
    <n v="45053"/>
    <x v="740"/>
    <x v="20"/>
    <x v="0"/>
    <x v="1"/>
    <s v="Alphabetical Labels for Top Tab Filing"/>
    <n v="44.4"/>
    <n v="3"/>
    <x v="224"/>
    <x v="4"/>
    <x v="2"/>
  </r>
  <r>
    <n v="45053"/>
    <x v="740"/>
    <x v="20"/>
    <x v="1"/>
    <x v="5"/>
    <s v="Hon Mobius Operator's Chair"/>
    <n v="442.76"/>
    <n v="4"/>
    <x v="3130"/>
    <x v="4"/>
    <x v="2"/>
  </r>
  <r>
    <n v="45053"/>
    <x v="740"/>
    <x v="20"/>
    <x v="2"/>
    <x v="15"/>
    <s v="Bady BDG101FRU Card Printer"/>
    <n v="3999.95"/>
    <n v="5"/>
    <x v="3131"/>
    <x v="4"/>
    <x v="2"/>
  </r>
  <r>
    <n v="45053"/>
    <x v="740"/>
    <x v="20"/>
    <x v="2"/>
    <x v="9"/>
    <s v="SanDisk Ultra 64 GB MicroSDHC Class 10 Memory Card"/>
    <n v="199.95"/>
    <n v="5"/>
    <x v="1909"/>
    <x v="4"/>
    <x v="2"/>
  </r>
  <r>
    <n v="45053"/>
    <x v="740"/>
    <x v="20"/>
    <x v="1"/>
    <x v="8"/>
    <s v="Staple-based wall hangings"/>
    <n v="63.68"/>
    <n v="8"/>
    <x v="3132"/>
    <x v="4"/>
    <x v="2"/>
  </r>
  <r>
    <n v="45054"/>
    <x v="169"/>
    <x v="7"/>
    <x v="1"/>
    <x v="8"/>
    <s v="Tenex 46&quot; x 60&quot; Computer Anti-Static Chairmat, Rectangular Shaped"/>
    <n v="211.96"/>
    <n v="2"/>
    <x v="3133"/>
    <x v="4"/>
    <x v="2"/>
  </r>
  <r>
    <n v="45054"/>
    <x v="68"/>
    <x v="10"/>
    <x v="0"/>
    <x v="2"/>
    <s v="Smead Adjustable Mobile File Trolley with Lockable Top"/>
    <n v="1006.06"/>
    <n v="3"/>
    <x v="3134"/>
    <x v="4"/>
    <x v="2"/>
  </r>
  <r>
    <n v="45054"/>
    <x v="68"/>
    <x v="10"/>
    <x v="0"/>
    <x v="0"/>
    <s v="Xerox 1898"/>
    <n v="10.69"/>
    <n v="2"/>
    <x v="1048"/>
    <x v="4"/>
    <x v="2"/>
  </r>
  <r>
    <n v="45054"/>
    <x v="68"/>
    <x v="10"/>
    <x v="0"/>
    <x v="0"/>
    <s v="Xerox 222"/>
    <n v="10.37"/>
    <n v="2"/>
    <x v="316"/>
    <x v="4"/>
    <x v="2"/>
  </r>
  <r>
    <n v="45054"/>
    <x v="68"/>
    <x v="10"/>
    <x v="0"/>
    <x v="2"/>
    <s v="Hanging Personal Folder File"/>
    <n v="25.12"/>
    <n v="2"/>
    <x v="3135"/>
    <x v="4"/>
    <x v="2"/>
  </r>
  <r>
    <n v="45054"/>
    <x v="68"/>
    <x v="10"/>
    <x v="2"/>
    <x v="9"/>
    <s v="SanDisk Cruzer 64 GB USB Flash Drive"/>
    <n v="58.11"/>
    <n v="2"/>
    <x v="416"/>
    <x v="4"/>
    <x v="2"/>
  </r>
  <r>
    <n v="45054"/>
    <x v="335"/>
    <x v="3"/>
    <x v="0"/>
    <x v="0"/>
    <s v="Xerox 1920"/>
    <n v="17.940000000000001"/>
    <n v="3"/>
    <x v="858"/>
    <x v="4"/>
    <x v="2"/>
  </r>
  <r>
    <n v="45055"/>
    <x v="331"/>
    <x v="22"/>
    <x v="2"/>
    <x v="9"/>
    <s v="Sony Micro Vault Click 8 GB USB 2.0 Flash Drive"/>
    <n v="93.98"/>
    <n v="2"/>
    <x v="3136"/>
    <x v="4"/>
    <x v="2"/>
  </r>
  <r>
    <n v="45055"/>
    <x v="621"/>
    <x v="2"/>
    <x v="0"/>
    <x v="10"/>
    <s v="Staple envelope"/>
    <n v="9.34"/>
    <n v="1"/>
    <x v="3137"/>
    <x v="4"/>
    <x v="2"/>
  </r>
  <r>
    <n v="45055"/>
    <x v="621"/>
    <x v="2"/>
    <x v="0"/>
    <x v="4"/>
    <s v="Newell 319"/>
    <n v="79.36"/>
    <n v="5"/>
    <x v="241"/>
    <x v="4"/>
    <x v="2"/>
  </r>
  <r>
    <n v="45055"/>
    <x v="152"/>
    <x v="20"/>
    <x v="0"/>
    <x v="4"/>
    <s v="Sanford Pocket Accent Highlighters"/>
    <n v="8"/>
    <n v="5"/>
    <x v="951"/>
    <x v="4"/>
    <x v="2"/>
  </r>
  <r>
    <n v="45055"/>
    <x v="332"/>
    <x v="3"/>
    <x v="0"/>
    <x v="0"/>
    <s v="TOPS Money Receipt Book, Consecutively Numbered in Red,"/>
    <n v="32.04"/>
    <n v="4"/>
    <x v="1165"/>
    <x v="4"/>
    <x v="2"/>
  </r>
  <r>
    <n v="45055"/>
    <x v="2"/>
    <x v="0"/>
    <x v="2"/>
    <x v="6"/>
    <s v="I Need's 3d Hello Kitty Hybrid Silicone Case Cover for HTC One X 4g with 3d Hello Kitty Stylus Pen Green/pink"/>
    <n v="19.14"/>
    <n v="2"/>
    <x v="1090"/>
    <x v="4"/>
    <x v="2"/>
  </r>
  <r>
    <n v="45055"/>
    <x v="433"/>
    <x v="6"/>
    <x v="0"/>
    <x v="4"/>
    <s v="4009 Highlighters by Sanford"/>
    <n v="27.86"/>
    <n v="7"/>
    <x v="3138"/>
    <x v="4"/>
    <x v="2"/>
  </r>
  <r>
    <n v="45055"/>
    <x v="755"/>
    <x v="0"/>
    <x v="0"/>
    <x v="2"/>
    <s v="Hot File 7-Pocket, Floor Stand"/>
    <n v="856.66"/>
    <n v="6"/>
    <x v="507"/>
    <x v="4"/>
    <x v="2"/>
  </r>
  <r>
    <n v="45055"/>
    <x v="755"/>
    <x v="0"/>
    <x v="0"/>
    <x v="3"/>
    <s v="Ibico Standard Transparent Covers"/>
    <n v="13.18"/>
    <n v="4"/>
    <x v="3139"/>
    <x v="4"/>
    <x v="2"/>
  </r>
  <r>
    <n v="45055"/>
    <x v="755"/>
    <x v="0"/>
    <x v="0"/>
    <x v="12"/>
    <s v="Euro Pro Shark Stick Mini Vacuum"/>
    <n v="48.78"/>
    <n v="4"/>
    <x v="3140"/>
    <x v="4"/>
    <x v="2"/>
  </r>
  <r>
    <n v="45055"/>
    <x v="755"/>
    <x v="0"/>
    <x v="0"/>
    <x v="0"/>
    <s v="Xerox 1911"/>
    <n v="76.64"/>
    <n v="2"/>
    <x v="2542"/>
    <x v="4"/>
    <x v="2"/>
  </r>
  <r>
    <n v="45055"/>
    <x v="755"/>
    <x v="0"/>
    <x v="0"/>
    <x v="3"/>
    <s v="GBC VeloBind Cover Sets"/>
    <n v="18.53"/>
    <n v="6"/>
    <x v="3141"/>
    <x v="4"/>
    <x v="2"/>
  </r>
  <r>
    <n v="45056"/>
    <x v="310"/>
    <x v="22"/>
    <x v="0"/>
    <x v="0"/>
    <s v="Xerox 1965"/>
    <n v="11.96"/>
    <n v="2"/>
    <x v="679"/>
    <x v="4"/>
    <x v="2"/>
  </r>
  <r>
    <n v="45056"/>
    <x v="431"/>
    <x v="2"/>
    <x v="2"/>
    <x v="6"/>
    <s v="ClearOne CHATAttach 160 -Â speaker phone"/>
    <n v="743.99"/>
    <n v="2"/>
    <x v="3142"/>
    <x v="4"/>
    <x v="2"/>
  </r>
  <r>
    <n v="45056"/>
    <x v="344"/>
    <x v="1"/>
    <x v="0"/>
    <x v="10"/>
    <s v="Grip Seal Envelopes"/>
    <n v="7.07"/>
    <n v="2"/>
    <x v="1712"/>
    <x v="4"/>
    <x v="2"/>
  </r>
  <r>
    <n v="45057"/>
    <x v="207"/>
    <x v="3"/>
    <x v="0"/>
    <x v="0"/>
    <s v="Xerox 1920"/>
    <n v="5.98"/>
    <n v="1"/>
    <x v="773"/>
    <x v="4"/>
    <x v="2"/>
  </r>
  <r>
    <n v="45058"/>
    <x v="422"/>
    <x v="6"/>
    <x v="0"/>
    <x v="4"/>
    <s v="Rogers Handheld Barrel Pencil Sharpener"/>
    <n v="10.96"/>
    <n v="4"/>
    <x v="1057"/>
    <x v="4"/>
    <x v="2"/>
  </r>
  <r>
    <n v="45058"/>
    <x v="76"/>
    <x v="2"/>
    <x v="0"/>
    <x v="2"/>
    <s v="Belkin 19&quot; Vented Equipment Shelf, Black"/>
    <n v="82.37"/>
    <n v="2"/>
    <x v="2017"/>
    <x v="4"/>
    <x v="2"/>
  </r>
  <r>
    <n v="45058"/>
    <x v="747"/>
    <x v="22"/>
    <x v="0"/>
    <x v="10"/>
    <s v="Manila Recycled Extra-Heavyweight Clasp Envelopes, 6&quot; x 9&quot;"/>
    <n v="54.9"/>
    <n v="5"/>
    <x v="3143"/>
    <x v="4"/>
    <x v="2"/>
  </r>
  <r>
    <n v="45058"/>
    <x v="312"/>
    <x v="20"/>
    <x v="1"/>
    <x v="8"/>
    <s v="OIC Stacking Trays"/>
    <n v="10.02"/>
    <n v="3"/>
    <x v="1892"/>
    <x v="4"/>
    <x v="2"/>
  </r>
  <r>
    <n v="45058"/>
    <x v="312"/>
    <x v="20"/>
    <x v="2"/>
    <x v="6"/>
    <s v="Jawbone JAMBOX Wireless Bluetooth Speaker"/>
    <n v="631.96"/>
    <n v="4"/>
    <x v="2436"/>
    <x v="4"/>
    <x v="2"/>
  </r>
  <r>
    <n v="45058"/>
    <x v="98"/>
    <x v="3"/>
    <x v="2"/>
    <x v="9"/>
    <s v="Memorex Mini Travel Drive 32 GB USB 2.0 Flash Drive"/>
    <n v="120"/>
    <n v="6"/>
    <x v="3144"/>
    <x v="4"/>
    <x v="2"/>
  </r>
  <r>
    <n v="45058"/>
    <x v="98"/>
    <x v="3"/>
    <x v="0"/>
    <x v="12"/>
    <s v="Staple holder"/>
    <n v="8.67"/>
    <n v="1"/>
    <x v="115"/>
    <x v="4"/>
    <x v="2"/>
  </r>
  <r>
    <n v="45060"/>
    <x v="564"/>
    <x v="10"/>
    <x v="1"/>
    <x v="8"/>
    <s v="GE 48&quot; Fluorescent Tube, Cool White Energy Saver, 34 Watts, 30/Box"/>
    <n v="79.38"/>
    <n v="1"/>
    <x v="3145"/>
    <x v="4"/>
    <x v="2"/>
  </r>
  <r>
    <n v="45060"/>
    <x v="521"/>
    <x v="16"/>
    <x v="0"/>
    <x v="3"/>
    <s v="GBC DocuBind P50 Personal Binding Machine"/>
    <n v="57.58"/>
    <n v="3"/>
    <x v="3146"/>
    <x v="4"/>
    <x v="2"/>
  </r>
  <r>
    <n v="45060"/>
    <x v="521"/>
    <x v="16"/>
    <x v="0"/>
    <x v="0"/>
    <s v="Xerox 23"/>
    <n v="31.1"/>
    <n v="6"/>
    <x v="782"/>
    <x v="4"/>
    <x v="2"/>
  </r>
  <r>
    <n v="45060"/>
    <x v="521"/>
    <x v="16"/>
    <x v="1"/>
    <x v="8"/>
    <s v="DAX Copper Panel Document Frame, 5 x 7 Size"/>
    <n v="30.19"/>
    <n v="3"/>
    <x v="1109"/>
    <x v="4"/>
    <x v="2"/>
  </r>
  <r>
    <n v="45060"/>
    <x v="521"/>
    <x v="16"/>
    <x v="2"/>
    <x v="6"/>
    <s v="LF Elite 3D Dazzle Designer Hard Case Cover, Lf Stylus Pen and Wiper For Apple Iphone 5c Mini Lite"/>
    <n v="43.6"/>
    <n v="5"/>
    <x v="409"/>
    <x v="4"/>
    <x v="2"/>
  </r>
  <r>
    <n v="45060"/>
    <x v="521"/>
    <x v="16"/>
    <x v="0"/>
    <x v="4"/>
    <s v="Dixon Ticonderoga Pencils"/>
    <n v="4.7699999999999996"/>
    <n v="2"/>
    <x v="3147"/>
    <x v="4"/>
    <x v="2"/>
  </r>
  <r>
    <n v="45060"/>
    <x v="521"/>
    <x v="16"/>
    <x v="0"/>
    <x v="3"/>
    <s v="Wilson Jones International Size A4 Ring Binders"/>
    <n v="10.38"/>
    <n v="2"/>
    <x v="3148"/>
    <x v="4"/>
    <x v="2"/>
  </r>
  <r>
    <n v="45060"/>
    <x v="521"/>
    <x v="16"/>
    <x v="0"/>
    <x v="3"/>
    <s v="Avery Heavy-Duty EZD  Binder With Locking Rings"/>
    <n v="13.39"/>
    <n v="8"/>
    <x v="3149"/>
    <x v="4"/>
    <x v="2"/>
  </r>
  <r>
    <n v="45060"/>
    <x v="495"/>
    <x v="12"/>
    <x v="2"/>
    <x v="9"/>
    <s v="ImationÂ 16GB Mini TravelDrive USB 2.0Â Flash Drive"/>
    <n v="185.53"/>
    <n v="7"/>
    <x v="3150"/>
    <x v="4"/>
    <x v="2"/>
  </r>
  <r>
    <n v="45061"/>
    <x v="188"/>
    <x v="29"/>
    <x v="0"/>
    <x v="3"/>
    <s v="GBC DocuBind P50 Personal Binding Machine"/>
    <n v="511.84"/>
    <n v="8"/>
    <x v="3151"/>
    <x v="4"/>
    <x v="2"/>
  </r>
  <r>
    <n v="45061"/>
    <x v="188"/>
    <x v="29"/>
    <x v="0"/>
    <x v="4"/>
    <s v="Boston KS Multi-Size Manual Pencil Sharpener"/>
    <n v="91.96"/>
    <n v="4"/>
    <x v="3152"/>
    <x v="4"/>
    <x v="2"/>
  </r>
  <r>
    <n v="45061"/>
    <x v="188"/>
    <x v="29"/>
    <x v="0"/>
    <x v="4"/>
    <s v="Newell 344"/>
    <n v="8.34"/>
    <n v="3"/>
    <x v="1733"/>
    <x v="4"/>
    <x v="2"/>
  </r>
  <r>
    <n v="45061"/>
    <x v="426"/>
    <x v="20"/>
    <x v="0"/>
    <x v="3"/>
    <s v="Binder Posts"/>
    <n v="13.78"/>
    <n v="3"/>
    <x v="1611"/>
    <x v="4"/>
    <x v="2"/>
  </r>
  <r>
    <n v="45061"/>
    <x v="0"/>
    <x v="16"/>
    <x v="0"/>
    <x v="3"/>
    <s v="GBC Instant Report Kit"/>
    <n v="7.76"/>
    <n v="4"/>
    <x v="3153"/>
    <x v="4"/>
    <x v="2"/>
  </r>
  <r>
    <n v="45061"/>
    <x v="46"/>
    <x v="10"/>
    <x v="0"/>
    <x v="0"/>
    <s v="TOPS Voice Message Log Book, Flash Format"/>
    <n v="15.23"/>
    <n v="4"/>
    <x v="1547"/>
    <x v="4"/>
    <x v="2"/>
  </r>
  <r>
    <n v="45062"/>
    <x v="728"/>
    <x v="37"/>
    <x v="0"/>
    <x v="2"/>
    <s v="SAFCO Commercial Wire Shelving, Black"/>
    <n v="552.55999999999995"/>
    <n v="4"/>
    <x v="62"/>
    <x v="4"/>
    <x v="2"/>
  </r>
  <r>
    <n v="45062"/>
    <x v="445"/>
    <x v="3"/>
    <x v="0"/>
    <x v="0"/>
    <s v="Xerox 196"/>
    <n v="17.34"/>
    <n v="3"/>
    <x v="838"/>
    <x v="4"/>
    <x v="2"/>
  </r>
  <r>
    <n v="45062"/>
    <x v="42"/>
    <x v="3"/>
    <x v="1"/>
    <x v="8"/>
    <s v="Tenex Carpeted, Granite-Look or Clear Contemporary Contour Shape Chair Mats"/>
    <n v="282.83999999999997"/>
    <n v="4"/>
    <x v="593"/>
    <x v="4"/>
    <x v="2"/>
  </r>
  <r>
    <n v="45062"/>
    <x v="42"/>
    <x v="3"/>
    <x v="0"/>
    <x v="1"/>
    <s v="Avery 481"/>
    <n v="27.72"/>
    <n v="9"/>
    <x v="3154"/>
    <x v="4"/>
    <x v="2"/>
  </r>
  <r>
    <n v="45063"/>
    <x v="132"/>
    <x v="16"/>
    <x v="0"/>
    <x v="3"/>
    <s v="Pressboard Hanging Data Binders for Unburst Sheets"/>
    <n v="2.95"/>
    <n v="2"/>
    <x v="2992"/>
    <x v="4"/>
    <x v="2"/>
  </r>
  <r>
    <n v="45063"/>
    <x v="132"/>
    <x v="16"/>
    <x v="0"/>
    <x v="3"/>
    <s v="GBC Prepunched Paper, 19-Hole, for Binding Systems, 24-lb"/>
    <n v="27.02"/>
    <n v="6"/>
    <x v="3155"/>
    <x v="4"/>
    <x v="2"/>
  </r>
  <r>
    <n v="45063"/>
    <x v="316"/>
    <x v="37"/>
    <x v="0"/>
    <x v="14"/>
    <s v="Acme Forged Steel Scissors with Black Enamel Handles"/>
    <n v="65.17"/>
    <n v="7"/>
    <x v="3156"/>
    <x v="4"/>
    <x v="2"/>
  </r>
  <r>
    <n v="45063"/>
    <x v="316"/>
    <x v="37"/>
    <x v="0"/>
    <x v="1"/>
    <s v="Avery 519"/>
    <n v="14.62"/>
    <n v="2"/>
    <x v="96"/>
    <x v="4"/>
    <x v="2"/>
  </r>
  <r>
    <n v="45063"/>
    <x v="316"/>
    <x v="37"/>
    <x v="1"/>
    <x v="8"/>
    <s v="Eldon Advantage Chair Mats for Low to Medium Pile Carpets"/>
    <n v="173.24"/>
    <n v="4"/>
    <x v="3157"/>
    <x v="4"/>
    <x v="2"/>
  </r>
  <r>
    <n v="45063"/>
    <x v="399"/>
    <x v="1"/>
    <x v="0"/>
    <x v="3"/>
    <s v="Acco Recycled 2&quot; Capacity Laser Printer Hanging Data Binders"/>
    <n v="2.89"/>
    <n v="1"/>
    <x v="2360"/>
    <x v="4"/>
    <x v="2"/>
  </r>
  <r>
    <n v="45063"/>
    <x v="399"/>
    <x v="1"/>
    <x v="0"/>
    <x v="7"/>
    <s v="Acco Hot Clips Clips to Go"/>
    <n v="7.9"/>
    <n v="3"/>
    <x v="3158"/>
    <x v="4"/>
    <x v="2"/>
  </r>
  <r>
    <n v="45063"/>
    <x v="399"/>
    <x v="1"/>
    <x v="1"/>
    <x v="8"/>
    <s v="Flat Face Poster Frame"/>
    <n v="22.61"/>
    <n v="3"/>
    <x v="3106"/>
    <x v="4"/>
    <x v="2"/>
  </r>
  <r>
    <n v="45063"/>
    <x v="399"/>
    <x v="1"/>
    <x v="0"/>
    <x v="0"/>
    <s v="Wirebound Message Books, Four 2 3/4 x 5 Forms per Page, 200 Sets per Book"/>
    <n v="30.53"/>
    <n v="8"/>
    <x v="3159"/>
    <x v="4"/>
    <x v="2"/>
  </r>
  <r>
    <n v="45064"/>
    <x v="34"/>
    <x v="3"/>
    <x v="0"/>
    <x v="2"/>
    <s v="Home/Office Personal File Carts"/>
    <n v="104.28"/>
    <n v="3"/>
    <x v="3160"/>
    <x v="4"/>
    <x v="2"/>
  </r>
  <r>
    <n v="45064"/>
    <x v="34"/>
    <x v="3"/>
    <x v="0"/>
    <x v="0"/>
    <s v="Universal Premium White Copier/Laser Paper (20Lb. and 87 Bright)"/>
    <n v="17.940000000000001"/>
    <n v="3"/>
    <x v="450"/>
    <x v="4"/>
    <x v="2"/>
  </r>
  <r>
    <n v="45065"/>
    <x v="224"/>
    <x v="6"/>
    <x v="1"/>
    <x v="5"/>
    <s v="Hon 4070 Series Pagoda Round Back Stacking Chairs"/>
    <n v="641.96"/>
    <n v="2"/>
    <x v="3161"/>
    <x v="4"/>
    <x v="2"/>
  </r>
  <r>
    <n v="45065"/>
    <x v="84"/>
    <x v="20"/>
    <x v="0"/>
    <x v="12"/>
    <s v="Belkin Premiere Surge Master II 8-outlet surge protector"/>
    <n v="242.9"/>
    <n v="5"/>
    <x v="3162"/>
    <x v="4"/>
    <x v="2"/>
  </r>
  <r>
    <n v="45065"/>
    <x v="84"/>
    <x v="20"/>
    <x v="0"/>
    <x v="2"/>
    <s v="Safco Industrial Wire Shelving System"/>
    <n v="454.9"/>
    <n v="5"/>
    <x v="62"/>
    <x v="4"/>
    <x v="2"/>
  </r>
  <r>
    <n v="45065"/>
    <x v="84"/>
    <x v="20"/>
    <x v="1"/>
    <x v="8"/>
    <s v="Nu-Dell Float Frame 11 x 14 1/2"/>
    <n v="35.92"/>
    <n v="4"/>
    <x v="796"/>
    <x v="4"/>
    <x v="2"/>
  </r>
  <r>
    <n v="45065"/>
    <x v="84"/>
    <x v="20"/>
    <x v="1"/>
    <x v="8"/>
    <s v="DAX Value U-Channel Document Frames, Easel Back"/>
    <n v="39.76"/>
    <n v="8"/>
    <x v="3163"/>
    <x v="4"/>
    <x v="2"/>
  </r>
  <r>
    <n v="45065"/>
    <x v="84"/>
    <x v="20"/>
    <x v="0"/>
    <x v="3"/>
    <s v="Recycled Easel Ring Binders"/>
    <n v="47.74"/>
    <n v="4"/>
    <x v="194"/>
    <x v="4"/>
    <x v="2"/>
  </r>
  <r>
    <n v="45065"/>
    <x v="478"/>
    <x v="3"/>
    <x v="0"/>
    <x v="3"/>
    <s v="GBC Personal VeloBind Strips"/>
    <n v="9.58"/>
    <n v="1"/>
    <x v="318"/>
    <x v="4"/>
    <x v="2"/>
  </r>
  <r>
    <n v="45065"/>
    <x v="132"/>
    <x v="18"/>
    <x v="0"/>
    <x v="4"/>
    <s v="Newell 341"/>
    <n v="21.4"/>
    <n v="5"/>
    <x v="363"/>
    <x v="4"/>
    <x v="2"/>
  </r>
  <r>
    <n v="45065"/>
    <x v="123"/>
    <x v="3"/>
    <x v="0"/>
    <x v="12"/>
    <s v="Staple holder"/>
    <n v="87.84"/>
    <n v="8"/>
    <x v="3164"/>
    <x v="4"/>
    <x v="2"/>
  </r>
  <r>
    <n v="45066"/>
    <x v="81"/>
    <x v="3"/>
    <x v="1"/>
    <x v="8"/>
    <s v="Luxo Professional Fluorescent Magnifier Lamp with Clamp-Mount Base"/>
    <n v="1049.2"/>
    <n v="5"/>
    <x v="3165"/>
    <x v="4"/>
    <x v="2"/>
  </r>
  <r>
    <n v="45066"/>
    <x v="81"/>
    <x v="3"/>
    <x v="0"/>
    <x v="3"/>
    <s v="Wilson Jones Turn Tabs Binder Tool for Ring Binders"/>
    <n v="15.42"/>
    <n v="4"/>
    <x v="1648"/>
    <x v="4"/>
    <x v="2"/>
  </r>
  <r>
    <n v="45066"/>
    <x v="519"/>
    <x v="25"/>
    <x v="2"/>
    <x v="6"/>
    <s v="Cisco Unified IP Phone 7945G VoIP phone"/>
    <n v="1363.96"/>
    <n v="5"/>
    <x v="2965"/>
    <x v="4"/>
    <x v="2"/>
  </r>
  <r>
    <n v="45066"/>
    <x v="622"/>
    <x v="16"/>
    <x v="0"/>
    <x v="3"/>
    <s v="Avery Non-Stick Binders"/>
    <n v="2.69"/>
    <n v="2"/>
    <x v="656"/>
    <x v="4"/>
    <x v="2"/>
  </r>
  <r>
    <n v="45066"/>
    <x v="469"/>
    <x v="26"/>
    <x v="0"/>
    <x v="3"/>
    <s v="GBC Durable Plastic Covers"/>
    <n v="40.64"/>
    <n v="7"/>
    <x v="3166"/>
    <x v="4"/>
    <x v="2"/>
  </r>
  <r>
    <n v="45067"/>
    <x v="564"/>
    <x v="3"/>
    <x v="2"/>
    <x v="6"/>
    <s v="Motorola HK250 Universal Bluetooth Headset"/>
    <n v="55.18"/>
    <n v="3"/>
    <x v="3167"/>
    <x v="4"/>
    <x v="2"/>
  </r>
  <r>
    <n v="45067"/>
    <x v="564"/>
    <x v="3"/>
    <x v="2"/>
    <x v="9"/>
    <s v="ImationÂ 16GB Mini TravelDrive USB 2.0Â Flash Drive"/>
    <n v="66.260000000000005"/>
    <n v="2"/>
    <x v="3168"/>
    <x v="4"/>
    <x v="2"/>
  </r>
  <r>
    <n v="45067"/>
    <x v="49"/>
    <x v="17"/>
    <x v="2"/>
    <x v="15"/>
    <s v="Panasonic KX MB2061 Multifunction Printer"/>
    <n v="2396.4"/>
    <n v="10"/>
    <x v="3169"/>
    <x v="4"/>
    <x v="2"/>
  </r>
  <r>
    <n v="45067"/>
    <x v="85"/>
    <x v="43"/>
    <x v="0"/>
    <x v="0"/>
    <s v="Easy-staple paper"/>
    <n v="111.96"/>
    <n v="2"/>
    <x v="3170"/>
    <x v="4"/>
    <x v="2"/>
  </r>
  <r>
    <n v="45067"/>
    <x v="756"/>
    <x v="0"/>
    <x v="0"/>
    <x v="3"/>
    <s v="Pressboard Covers with Storage Hooks, 9 1/2&quot; x 11&quot;, Light Blue"/>
    <n v="1.96"/>
    <n v="2"/>
    <x v="3171"/>
    <x v="4"/>
    <x v="2"/>
  </r>
  <r>
    <n v="45067"/>
    <x v="756"/>
    <x v="0"/>
    <x v="0"/>
    <x v="0"/>
    <s v="Southworth 100% Cotton The Best Paper"/>
    <n v="82.66"/>
    <n v="9"/>
    <x v="3172"/>
    <x v="4"/>
    <x v="2"/>
  </r>
  <r>
    <n v="45067"/>
    <x v="562"/>
    <x v="1"/>
    <x v="0"/>
    <x v="3"/>
    <s v="Cardinal HOLDit! Binder Insert Strips,Extra Strips"/>
    <n v="3.8"/>
    <n v="3"/>
    <x v="3173"/>
    <x v="4"/>
    <x v="2"/>
  </r>
  <r>
    <n v="45068"/>
    <x v="721"/>
    <x v="23"/>
    <x v="2"/>
    <x v="6"/>
    <s v="AT&amp;T 841000 Phone"/>
    <n v="345"/>
    <n v="5"/>
    <x v="3174"/>
    <x v="4"/>
    <x v="2"/>
  </r>
  <r>
    <n v="45068"/>
    <x v="721"/>
    <x v="23"/>
    <x v="1"/>
    <x v="13"/>
    <s v="Bevis 36 x 72 Conference Tables"/>
    <n v="174.29"/>
    <n v="2"/>
    <x v="3175"/>
    <x v="4"/>
    <x v="2"/>
  </r>
  <r>
    <n v="45068"/>
    <x v="721"/>
    <x v="23"/>
    <x v="0"/>
    <x v="12"/>
    <s v="Eureka Sanitaire  Commercial Upright"/>
    <n v="662.84"/>
    <n v="4"/>
    <x v="3176"/>
    <x v="4"/>
    <x v="2"/>
  </r>
  <r>
    <n v="45068"/>
    <x v="721"/>
    <x v="23"/>
    <x v="2"/>
    <x v="9"/>
    <s v="SanDisk Cruzer 32 GB USB Flash Drive"/>
    <n v="95.1"/>
    <n v="5"/>
    <x v="828"/>
    <x v="4"/>
    <x v="2"/>
  </r>
  <r>
    <n v="45068"/>
    <x v="721"/>
    <x v="23"/>
    <x v="0"/>
    <x v="10"/>
    <s v="Ampad #10 Peel &amp; Seel Holiday Envelopes"/>
    <n v="26.88"/>
    <n v="6"/>
    <x v="3177"/>
    <x v="4"/>
    <x v="2"/>
  </r>
  <r>
    <n v="45068"/>
    <x v="721"/>
    <x v="23"/>
    <x v="2"/>
    <x v="6"/>
    <s v="Digium D40 VoIP phone"/>
    <n v="257.98"/>
    <n v="2"/>
    <x v="1168"/>
    <x v="4"/>
    <x v="2"/>
  </r>
  <r>
    <n v="45068"/>
    <x v="467"/>
    <x v="4"/>
    <x v="0"/>
    <x v="1"/>
    <s v="Avery 493"/>
    <n v="14.73"/>
    <n v="3"/>
    <x v="2920"/>
    <x v="4"/>
    <x v="2"/>
  </r>
  <r>
    <n v="45068"/>
    <x v="458"/>
    <x v="3"/>
    <x v="2"/>
    <x v="6"/>
    <s v="Nortel Business Series Terminal T7208 Digital phone"/>
    <n v="222.38"/>
    <n v="2"/>
    <x v="1612"/>
    <x v="4"/>
    <x v="2"/>
  </r>
  <r>
    <n v="45069"/>
    <x v="437"/>
    <x v="3"/>
    <x v="1"/>
    <x v="8"/>
    <s v="Eldon Image Series Desk Accessories, Ebony"/>
    <n v="37.049999999999997"/>
    <n v="3"/>
    <x v="3178"/>
    <x v="4"/>
    <x v="2"/>
  </r>
  <r>
    <n v="45069"/>
    <x v="318"/>
    <x v="1"/>
    <x v="2"/>
    <x v="6"/>
    <s v="Mitel MiVoice 5330e IP Phone"/>
    <n v="1979.93"/>
    <n v="9"/>
    <x v="2159"/>
    <x v="4"/>
    <x v="2"/>
  </r>
  <r>
    <n v="45069"/>
    <x v="64"/>
    <x v="33"/>
    <x v="0"/>
    <x v="0"/>
    <s v="Xerox 1949"/>
    <n v="4.9800000000000004"/>
    <n v="1"/>
    <x v="1967"/>
    <x v="4"/>
    <x v="2"/>
  </r>
  <r>
    <n v="45069"/>
    <x v="757"/>
    <x v="2"/>
    <x v="2"/>
    <x v="16"/>
    <s v="Canon imageCLASS 2200 Advanced Copier"/>
    <n v="8399.98"/>
    <n v="4"/>
    <x v="3179"/>
    <x v="4"/>
    <x v="2"/>
  </r>
  <r>
    <n v="45069"/>
    <x v="757"/>
    <x v="2"/>
    <x v="0"/>
    <x v="3"/>
    <s v="Avery Legal 4-Ring Binder"/>
    <n v="6.29"/>
    <n v="1"/>
    <x v="3180"/>
    <x v="4"/>
    <x v="2"/>
  </r>
  <r>
    <n v="45069"/>
    <x v="757"/>
    <x v="2"/>
    <x v="0"/>
    <x v="0"/>
    <s v="Xerox 224"/>
    <n v="10.37"/>
    <n v="2"/>
    <x v="316"/>
    <x v="4"/>
    <x v="2"/>
  </r>
  <r>
    <n v="45069"/>
    <x v="757"/>
    <x v="2"/>
    <x v="2"/>
    <x v="6"/>
    <s v="Avaya 5410 Digital phone"/>
    <n v="122.38"/>
    <n v="3"/>
    <x v="3181"/>
    <x v="4"/>
    <x v="2"/>
  </r>
  <r>
    <n v="45070"/>
    <x v="469"/>
    <x v="6"/>
    <x v="0"/>
    <x v="14"/>
    <s v="Acme Hot Forged Carbon Steel Scissors with Nickel-Plated Handles, 3 7/8&quot; Cut, 8&quot;L"/>
    <n v="69.5"/>
    <n v="5"/>
    <x v="468"/>
    <x v="4"/>
    <x v="2"/>
  </r>
  <r>
    <n v="45070"/>
    <x v="469"/>
    <x v="6"/>
    <x v="0"/>
    <x v="0"/>
    <s v="Xerox 1911"/>
    <n v="191.6"/>
    <n v="4"/>
    <x v="3182"/>
    <x v="4"/>
    <x v="2"/>
  </r>
  <r>
    <n v="45070"/>
    <x v="285"/>
    <x v="2"/>
    <x v="0"/>
    <x v="4"/>
    <s v="BIC Liqua Brite Liner"/>
    <n v="16.66"/>
    <n v="3"/>
    <x v="3183"/>
    <x v="4"/>
    <x v="2"/>
  </r>
  <r>
    <n v="45071"/>
    <x v="640"/>
    <x v="4"/>
    <x v="1"/>
    <x v="8"/>
    <s v="Eldon Expressions Mahogany Wood Desk Collection"/>
    <n v="24.96"/>
    <n v="4"/>
    <x v="3184"/>
    <x v="4"/>
    <x v="2"/>
  </r>
  <r>
    <n v="45071"/>
    <x v="640"/>
    <x v="4"/>
    <x v="0"/>
    <x v="0"/>
    <s v="Wirebound Service Call Books, 5 1/2&quot; x 4&quot;"/>
    <n v="19.36"/>
    <n v="2"/>
    <x v="49"/>
    <x v="4"/>
    <x v="2"/>
  </r>
  <r>
    <n v="45071"/>
    <x v="640"/>
    <x v="4"/>
    <x v="0"/>
    <x v="2"/>
    <s v="Fellowes Strictly Business Drawer File, Letter/Legal Size"/>
    <n v="1267.6500000000001"/>
    <n v="9"/>
    <x v="3185"/>
    <x v="4"/>
    <x v="2"/>
  </r>
  <r>
    <n v="45072"/>
    <x v="102"/>
    <x v="0"/>
    <x v="0"/>
    <x v="0"/>
    <s v="Xerox 212"/>
    <n v="10.37"/>
    <n v="2"/>
    <x v="316"/>
    <x v="4"/>
    <x v="2"/>
  </r>
  <r>
    <n v="45072"/>
    <x v="102"/>
    <x v="0"/>
    <x v="1"/>
    <x v="5"/>
    <s v="Office Star Flex Back Scooter Chair with White Frame"/>
    <n v="388.43"/>
    <n v="5"/>
    <x v="3186"/>
    <x v="4"/>
    <x v="2"/>
  </r>
  <r>
    <n v="45072"/>
    <x v="102"/>
    <x v="0"/>
    <x v="0"/>
    <x v="0"/>
    <s v="Universal Premium White Copier/Laser Paper (20Lb. and 87 Bright)"/>
    <n v="14.35"/>
    <n v="3"/>
    <x v="3121"/>
    <x v="4"/>
    <x v="2"/>
  </r>
  <r>
    <n v="45072"/>
    <x v="102"/>
    <x v="0"/>
    <x v="2"/>
    <x v="9"/>
    <s v="Logitech G13 Programmable Gameboard with LCD Display"/>
    <n v="63.99"/>
    <n v="1"/>
    <x v="578"/>
    <x v="4"/>
    <x v="2"/>
  </r>
  <r>
    <n v="45072"/>
    <x v="263"/>
    <x v="44"/>
    <x v="0"/>
    <x v="0"/>
    <s v="Weyerhaeuser First Choice Laser/Copy Paper (20Lb. and 88 Bright)"/>
    <n v="19.440000000000001"/>
    <n v="3"/>
    <x v="5"/>
    <x v="4"/>
    <x v="2"/>
  </r>
  <r>
    <n v="45072"/>
    <x v="263"/>
    <x v="44"/>
    <x v="0"/>
    <x v="3"/>
    <s v="Wilson Jones Turn Tabs Binder Tool for Ring Binders"/>
    <n v="9.64"/>
    <n v="2"/>
    <x v="97"/>
    <x v="4"/>
    <x v="2"/>
  </r>
  <r>
    <n v="45072"/>
    <x v="263"/>
    <x v="44"/>
    <x v="0"/>
    <x v="0"/>
    <s v="Telephone Message Books with Fax/Mobile Section, 5 1/2&quot; x 3 3/16&quot;"/>
    <n v="12.7"/>
    <n v="2"/>
    <x v="460"/>
    <x v="4"/>
    <x v="2"/>
  </r>
  <r>
    <n v="45072"/>
    <x v="263"/>
    <x v="44"/>
    <x v="1"/>
    <x v="8"/>
    <s v="9-3/4 Diameter Round Wall Clock"/>
    <n v="41.37"/>
    <n v="3"/>
    <x v="3187"/>
    <x v="4"/>
    <x v="2"/>
  </r>
  <r>
    <n v="45072"/>
    <x v="495"/>
    <x v="2"/>
    <x v="0"/>
    <x v="4"/>
    <s v="OIC #2 Pencils, Medium Soft"/>
    <n v="1.5"/>
    <n v="1"/>
    <x v="3188"/>
    <x v="4"/>
    <x v="2"/>
  </r>
  <r>
    <n v="45072"/>
    <x v="495"/>
    <x v="2"/>
    <x v="0"/>
    <x v="12"/>
    <s v="Holmes HEPA Air Purifier"/>
    <n v="34.85"/>
    <n v="2"/>
    <x v="3189"/>
    <x v="4"/>
    <x v="2"/>
  </r>
  <r>
    <n v="45072"/>
    <x v="149"/>
    <x v="3"/>
    <x v="0"/>
    <x v="7"/>
    <s v="Alliance Big Bands Rubber Bands, 12/Pack"/>
    <n v="5.94"/>
    <n v="3"/>
    <x v="62"/>
    <x v="4"/>
    <x v="2"/>
  </r>
  <r>
    <n v="45072"/>
    <x v="149"/>
    <x v="3"/>
    <x v="0"/>
    <x v="0"/>
    <s v="Xerox 1946"/>
    <n v="45.36"/>
    <n v="7"/>
    <x v="407"/>
    <x v="4"/>
    <x v="2"/>
  </r>
  <r>
    <n v="45072"/>
    <x v="149"/>
    <x v="3"/>
    <x v="2"/>
    <x v="6"/>
    <s v="Cisco SPA508G"/>
    <n v="211.17"/>
    <n v="4"/>
    <x v="3190"/>
    <x v="4"/>
    <x v="2"/>
  </r>
  <r>
    <n v="45072"/>
    <x v="149"/>
    <x v="3"/>
    <x v="1"/>
    <x v="5"/>
    <s v="Global Low Back Tilter Chair"/>
    <n v="484.7"/>
    <n v="6"/>
    <x v="3191"/>
    <x v="4"/>
    <x v="2"/>
  </r>
  <r>
    <n v="45072"/>
    <x v="149"/>
    <x v="3"/>
    <x v="2"/>
    <x v="15"/>
    <s v="Fellowes Powershred HS-440 4-Sheet High Security Shredder"/>
    <n v="371.98"/>
    <n v="3"/>
    <x v="3192"/>
    <x v="4"/>
    <x v="2"/>
  </r>
  <r>
    <n v="45072"/>
    <x v="552"/>
    <x v="16"/>
    <x v="0"/>
    <x v="2"/>
    <s v="Advantus Rolling Drawer Organizers"/>
    <n v="184.7"/>
    <n v="6"/>
    <x v="647"/>
    <x v="4"/>
    <x v="2"/>
  </r>
  <r>
    <n v="45072"/>
    <x v="552"/>
    <x v="16"/>
    <x v="2"/>
    <x v="9"/>
    <s v="ImationÂ 32GB Pocket Pro USB 3.0Â Flash DriveÂ - 32 GB - Black - 1 P ..."/>
    <n v="47.92"/>
    <n v="2"/>
    <x v="3193"/>
    <x v="4"/>
    <x v="2"/>
  </r>
  <r>
    <n v="45072"/>
    <x v="752"/>
    <x v="21"/>
    <x v="1"/>
    <x v="8"/>
    <s v="Nu-Dell Float Frame 11 x 14 1/2"/>
    <n v="26.94"/>
    <n v="3"/>
    <x v="3194"/>
    <x v="4"/>
    <x v="2"/>
  </r>
  <r>
    <n v="45073"/>
    <x v="174"/>
    <x v="14"/>
    <x v="1"/>
    <x v="5"/>
    <s v="HON 5400 Series Task Chairs for Big and Tall"/>
    <n v="3504.9"/>
    <n v="5"/>
    <x v="3195"/>
    <x v="4"/>
    <x v="2"/>
  </r>
  <r>
    <n v="45073"/>
    <x v="174"/>
    <x v="14"/>
    <x v="0"/>
    <x v="0"/>
    <s v="Xerox 1910"/>
    <n v="144.12"/>
    <n v="3"/>
    <x v="1373"/>
    <x v="4"/>
    <x v="2"/>
  </r>
  <r>
    <n v="45073"/>
    <x v="174"/>
    <x v="14"/>
    <x v="0"/>
    <x v="0"/>
    <s v="Xerox 1915"/>
    <n v="314.55"/>
    <n v="3"/>
    <x v="3196"/>
    <x v="4"/>
    <x v="2"/>
  </r>
  <r>
    <n v="45073"/>
    <x v="267"/>
    <x v="1"/>
    <x v="1"/>
    <x v="8"/>
    <s v="36X48 HARDFLOOR CHAIRMAT"/>
    <n v="25.18"/>
    <n v="3"/>
    <x v="3197"/>
    <x v="4"/>
    <x v="2"/>
  </r>
  <r>
    <n v="45073"/>
    <x v="267"/>
    <x v="1"/>
    <x v="1"/>
    <x v="8"/>
    <s v="G.E. Halogen Desk Lamp Bulbs"/>
    <n v="5.58"/>
    <n v="2"/>
    <x v="1675"/>
    <x v="4"/>
    <x v="2"/>
  </r>
  <r>
    <n v="45073"/>
    <x v="267"/>
    <x v="1"/>
    <x v="0"/>
    <x v="2"/>
    <s v="Standard Rollaway File with Lock"/>
    <n v="1297.3699999999999"/>
    <n v="9"/>
    <x v="3198"/>
    <x v="4"/>
    <x v="2"/>
  </r>
  <r>
    <n v="45073"/>
    <x v="462"/>
    <x v="3"/>
    <x v="0"/>
    <x v="0"/>
    <s v="Wirebound Message Books, Four 2 3/4 x 5 White Forms per Page"/>
    <n v="13.38"/>
    <n v="2"/>
    <x v="2661"/>
    <x v="4"/>
    <x v="2"/>
  </r>
  <r>
    <n v="45074"/>
    <x v="329"/>
    <x v="29"/>
    <x v="0"/>
    <x v="4"/>
    <s v="Boston School Pro Electric Pencil Sharpener, 1670"/>
    <n v="185.88"/>
    <n v="6"/>
    <x v="3199"/>
    <x v="4"/>
    <x v="2"/>
  </r>
  <r>
    <n v="45074"/>
    <x v="566"/>
    <x v="16"/>
    <x v="1"/>
    <x v="5"/>
    <s v="Novimex Fabric Task Chair"/>
    <n v="390.27"/>
    <n v="8"/>
    <x v="3200"/>
    <x v="4"/>
    <x v="2"/>
  </r>
  <r>
    <n v="45074"/>
    <x v="566"/>
    <x v="16"/>
    <x v="0"/>
    <x v="0"/>
    <s v="Great White Multi-Use Recycled Paper (20Lb. and 84 Bright)"/>
    <n v="62.19"/>
    <n v="13"/>
    <x v="503"/>
    <x v="4"/>
    <x v="2"/>
  </r>
  <r>
    <n v="45074"/>
    <x v="68"/>
    <x v="3"/>
    <x v="0"/>
    <x v="12"/>
    <s v="Kensington 7 Outlet MasterPiece HOMEOFFICE Power Control Center"/>
    <n v="262.24"/>
    <n v="2"/>
    <x v="3201"/>
    <x v="4"/>
    <x v="2"/>
  </r>
  <r>
    <n v="45074"/>
    <x v="68"/>
    <x v="3"/>
    <x v="0"/>
    <x v="0"/>
    <s v="Xerox 1991"/>
    <n v="182.72"/>
    <n v="8"/>
    <x v="1643"/>
    <x v="4"/>
    <x v="2"/>
  </r>
  <r>
    <n v="45074"/>
    <x v="68"/>
    <x v="3"/>
    <x v="2"/>
    <x v="9"/>
    <s v="ImationÂ Clip USBÂ flash driveÂ - 8 GB"/>
    <n v="131.6"/>
    <n v="7"/>
    <x v="3202"/>
    <x v="4"/>
    <x v="2"/>
  </r>
  <r>
    <n v="45074"/>
    <x v="68"/>
    <x v="3"/>
    <x v="0"/>
    <x v="3"/>
    <s v="Wilson Jones Hanging View Binder, White, 1&quot;"/>
    <n v="22.72"/>
    <n v="4"/>
    <x v="842"/>
    <x v="4"/>
    <x v="2"/>
  </r>
  <r>
    <n v="45074"/>
    <x v="68"/>
    <x v="3"/>
    <x v="2"/>
    <x v="15"/>
    <s v="Okidata C331dn Printer"/>
    <n v="558.4"/>
    <n v="2"/>
    <x v="2148"/>
    <x v="4"/>
    <x v="2"/>
  </r>
  <r>
    <n v="45074"/>
    <x v="150"/>
    <x v="20"/>
    <x v="0"/>
    <x v="14"/>
    <s v="Fiskars Softgrip Scissors"/>
    <n v="54.9"/>
    <n v="5"/>
    <x v="2623"/>
    <x v="4"/>
    <x v="2"/>
  </r>
  <r>
    <n v="45074"/>
    <x v="451"/>
    <x v="1"/>
    <x v="2"/>
    <x v="6"/>
    <s v="Wilson Electronics DB Pro Signal Booster"/>
    <n v="286.39999999999998"/>
    <n v="1"/>
    <x v="3203"/>
    <x v="4"/>
    <x v="2"/>
  </r>
  <r>
    <n v="45075"/>
    <x v="556"/>
    <x v="33"/>
    <x v="2"/>
    <x v="6"/>
    <s v="Panasonic KX-TG9471B"/>
    <n v="979.95"/>
    <n v="5"/>
    <x v="2172"/>
    <x v="4"/>
    <x v="2"/>
  </r>
  <r>
    <n v="45075"/>
    <x v="556"/>
    <x v="33"/>
    <x v="0"/>
    <x v="3"/>
    <s v="Presstex Flexible Ring Binders"/>
    <n v="22.75"/>
    <n v="5"/>
    <x v="2717"/>
    <x v="4"/>
    <x v="2"/>
  </r>
  <r>
    <n v="45075"/>
    <x v="745"/>
    <x v="15"/>
    <x v="0"/>
    <x v="3"/>
    <s v="GBC ProClick Spines for 32-Hole Punch"/>
    <n v="11.28"/>
    <n v="3"/>
    <x v="3204"/>
    <x v="4"/>
    <x v="2"/>
  </r>
  <r>
    <n v="45075"/>
    <x v="745"/>
    <x v="15"/>
    <x v="0"/>
    <x v="4"/>
    <s v="Newell 333"/>
    <n v="4.45"/>
    <n v="2"/>
    <x v="190"/>
    <x v="4"/>
    <x v="2"/>
  </r>
  <r>
    <n v="45075"/>
    <x v="745"/>
    <x v="15"/>
    <x v="1"/>
    <x v="8"/>
    <s v="3M Polarizing Light Filter Sleeves"/>
    <n v="44.76"/>
    <n v="3"/>
    <x v="3205"/>
    <x v="4"/>
    <x v="2"/>
  </r>
  <r>
    <n v="45076"/>
    <x v="706"/>
    <x v="26"/>
    <x v="0"/>
    <x v="3"/>
    <s v="Vinyl Sectional Post Binders"/>
    <n v="22.62"/>
    <n v="2"/>
    <x v="3206"/>
    <x v="4"/>
    <x v="2"/>
  </r>
  <r>
    <n v="45076"/>
    <x v="706"/>
    <x v="26"/>
    <x v="0"/>
    <x v="3"/>
    <s v="GBC Standard Therm-A-Bind Covers"/>
    <n v="14.95"/>
    <n v="2"/>
    <x v="1673"/>
    <x v="4"/>
    <x v="2"/>
  </r>
  <r>
    <n v="45076"/>
    <x v="706"/>
    <x v="26"/>
    <x v="1"/>
    <x v="5"/>
    <s v="Global Troy Executive Leather Low-Back Tilter"/>
    <n v="801.57"/>
    <n v="2"/>
    <x v="682"/>
    <x v="4"/>
    <x v="2"/>
  </r>
  <r>
    <n v="45076"/>
    <x v="706"/>
    <x v="26"/>
    <x v="0"/>
    <x v="3"/>
    <s v="Storex Flexible Poly Binders with Double Pockets"/>
    <n v="2.38"/>
    <n v="3"/>
    <x v="3207"/>
    <x v="4"/>
    <x v="2"/>
  </r>
  <r>
    <n v="45076"/>
    <x v="706"/>
    <x v="26"/>
    <x v="0"/>
    <x v="0"/>
    <s v="White Dual Perf Computer Printout Paper, 2700 Sheets, 1 Part, Heavyweight, 20 lbs., 14 7/8 x 11"/>
    <n v="32.79"/>
    <n v="1"/>
    <x v="851"/>
    <x v="4"/>
    <x v="2"/>
  </r>
  <r>
    <n v="45076"/>
    <x v="758"/>
    <x v="25"/>
    <x v="0"/>
    <x v="3"/>
    <s v="Angle-D Ring Binders"/>
    <n v="3.28"/>
    <n v="2"/>
    <x v="458"/>
    <x v="4"/>
    <x v="2"/>
  </r>
  <r>
    <n v="45076"/>
    <x v="196"/>
    <x v="10"/>
    <x v="2"/>
    <x v="16"/>
    <s v="Canon Imageclass D680 Copier / Fax"/>
    <n v="839.99"/>
    <n v="2"/>
    <x v="3208"/>
    <x v="4"/>
    <x v="2"/>
  </r>
  <r>
    <n v="45076"/>
    <x v="123"/>
    <x v="6"/>
    <x v="1"/>
    <x v="13"/>
    <s v="Hon Rectangular Conference Tables"/>
    <n v="2275.5"/>
    <n v="10"/>
    <x v="3209"/>
    <x v="4"/>
    <x v="2"/>
  </r>
  <r>
    <n v="45076"/>
    <x v="123"/>
    <x v="6"/>
    <x v="2"/>
    <x v="9"/>
    <s v="Plantronics CS510 - Over-the-Head monaural Wireless Headset System"/>
    <n v="1979.7"/>
    <n v="6"/>
    <x v="3210"/>
    <x v="4"/>
    <x v="2"/>
  </r>
  <r>
    <n v="45076"/>
    <x v="123"/>
    <x v="6"/>
    <x v="0"/>
    <x v="1"/>
    <s v="Avery 473"/>
    <n v="62.1"/>
    <n v="6"/>
    <x v="3211"/>
    <x v="4"/>
    <x v="2"/>
  </r>
  <r>
    <n v="45076"/>
    <x v="176"/>
    <x v="10"/>
    <x v="0"/>
    <x v="12"/>
    <s v="Euro-Pro Shark Turbo Vacuum"/>
    <n v="123.92"/>
    <n v="5"/>
    <x v="49"/>
    <x v="4"/>
    <x v="2"/>
  </r>
  <r>
    <n v="45076"/>
    <x v="483"/>
    <x v="3"/>
    <x v="0"/>
    <x v="0"/>
    <s v="Xerox 228"/>
    <n v="38.880000000000003"/>
    <n v="6"/>
    <x v="2107"/>
    <x v="4"/>
    <x v="2"/>
  </r>
  <r>
    <n v="45076"/>
    <x v="306"/>
    <x v="21"/>
    <x v="0"/>
    <x v="12"/>
    <s v="Acco 7-Outlet Masterpiece Power Center, Wihtout Fax/Phone Line Protection"/>
    <n v="364.74"/>
    <n v="3"/>
    <x v="3212"/>
    <x v="4"/>
    <x v="2"/>
  </r>
  <r>
    <n v="45076"/>
    <x v="306"/>
    <x v="21"/>
    <x v="1"/>
    <x v="8"/>
    <s v="DAX Charcoal/Nickel-Tone Document Frame, 5 x 7"/>
    <n v="47.4"/>
    <n v="5"/>
    <x v="3213"/>
    <x v="4"/>
    <x v="2"/>
  </r>
  <r>
    <n v="45076"/>
    <x v="306"/>
    <x v="21"/>
    <x v="0"/>
    <x v="2"/>
    <s v="Eldon Simplefile Box Office"/>
    <n v="49.76"/>
    <n v="4"/>
    <x v="3214"/>
    <x v="4"/>
    <x v="2"/>
  </r>
  <r>
    <n v="45076"/>
    <x v="306"/>
    <x v="21"/>
    <x v="0"/>
    <x v="4"/>
    <s v="Newell 333"/>
    <n v="5.56"/>
    <n v="2"/>
    <x v="1777"/>
    <x v="4"/>
    <x v="2"/>
  </r>
  <r>
    <n v="45076"/>
    <x v="306"/>
    <x v="21"/>
    <x v="0"/>
    <x v="0"/>
    <s v="Xerox 1915"/>
    <n v="629.1"/>
    <n v="6"/>
    <x v="1343"/>
    <x v="4"/>
    <x v="2"/>
  </r>
  <r>
    <n v="45076"/>
    <x v="306"/>
    <x v="21"/>
    <x v="0"/>
    <x v="4"/>
    <s v="Newell 343"/>
    <n v="14.7"/>
    <n v="5"/>
    <x v="3215"/>
    <x v="4"/>
    <x v="2"/>
  </r>
  <r>
    <n v="45076"/>
    <x v="306"/>
    <x v="21"/>
    <x v="0"/>
    <x v="0"/>
    <s v="Xerox 217"/>
    <n v="45.36"/>
    <n v="7"/>
    <x v="407"/>
    <x v="4"/>
    <x v="2"/>
  </r>
  <r>
    <n v="45076"/>
    <x v="306"/>
    <x v="21"/>
    <x v="2"/>
    <x v="6"/>
    <s v="VTech DS6151"/>
    <n v="125.99"/>
    <n v="1"/>
    <x v="3216"/>
    <x v="4"/>
    <x v="2"/>
  </r>
  <r>
    <n v="45076"/>
    <x v="739"/>
    <x v="3"/>
    <x v="1"/>
    <x v="8"/>
    <s v="36X48 HARDFLOOR CHAIRMAT"/>
    <n v="167.84"/>
    <n v="8"/>
    <x v="3217"/>
    <x v="4"/>
    <x v="2"/>
  </r>
  <r>
    <n v="45076"/>
    <x v="615"/>
    <x v="6"/>
    <x v="0"/>
    <x v="10"/>
    <s v="Redi-Strip #10 Envelopes, 4 1/8 x 9 1/2"/>
    <n v="26.55"/>
    <n v="9"/>
    <x v="56"/>
    <x v="4"/>
    <x v="2"/>
  </r>
  <r>
    <n v="45076"/>
    <x v="615"/>
    <x v="6"/>
    <x v="2"/>
    <x v="9"/>
    <s v="Sony Micro Vault Click 16 GB USB 2.0 Flash Drive"/>
    <n v="111.98"/>
    <n v="2"/>
    <x v="3218"/>
    <x v="4"/>
    <x v="2"/>
  </r>
  <r>
    <n v="45076"/>
    <x v="372"/>
    <x v="0"/>
    <x v="2"/>
    <x v="6"/>
    <s v="Anker 36W 4-Port USB Wall Charger Travel Power Adapter for iPhone 5s 5c 5"/>
    <n v="79.959999999999994"/>
    <n v="5"/>
    <x v="697"/>
    <x v="4"/>
    <x v="2"/>
  </r>
  <r>
    <n v="45076"/>
    <x v="372"/>
    <x v="0"/>
    <x v="2"/>
    <x v="9"/>
    <s v="Sony Micro Vault Click 16 GB USB 2.0 Flash Drive"/>
    <n v="223.96"/>
    <n v="5"/>
    <x v="592"/>
    <x v="4"/>
    <x v="2"/>
  </r>
  <r>
    <n v="45077"/>
    <x v="443"/>
    <x v="1"/>
    <x v="1"/>
    <x v="8"/>
    <s v="Executive Impressions 16-1/2&quot; Circular Wall Clock"/>
    <n v="32.06"/>
    <n v="3"/>
    <x v="3219"/>
    <x v="4"/>
    <x v="2"/>
  </r>
  <r>
    <n v="45077"/>
    <x v="443"/>
    <x v="1"/>
    <x v="0"/>
    <x v="0"/>
    <s v="Xerox 1899"/>
    <n v="18.5"/>
    <n v="4"/>
    <x v="516"/>
    <x v="4"/>
    <x v="2"/>
  </r>
  <r>
    <n v="45077"/>
    <x v="443"/>
    <x v="1"/>
    <x v="1"/>
    <x v="5"/>
    <s v="Global Highback Leather Tilter in Burgundy"/>
    <n v="191.08"/>
    <n v="3"/>
    <x v="3220"/>
    <x v="4"/>
    <x v="2"/>
  </r>
  <r>
    <n v="45077"/>
    <x v="443"/>
    <x v="1"/>
    <x v="0"/>
    <x v="0"/>
    <s v="Xerox 212"/>
    <n v="10.37"/>
    <n v="2"/>
    <x v="316"/>
    <x v="4"/>
    <x v="2"/>
  </r>
  <r>
    <n v="45077"/>
    <x v="685"/>
    <x v="20"/>
    <x v="0"/>
    <x v="3"/>
    <s v="Avery Hidden Tab Dividers for Binding Systems"/>
    <n v="7.15"/>
    <n v="3"/>
    <x v="2139"/>
    <x v="4"/>
    <x v="2"/>
  </r>
  <r>
    <n v="45077"/>
    <x v="685"/>
    <x v="20"/>
    <x v="2"/>
    <x v="6"/>
    <s v="Jackery Bar Premium Fast-charging Portable Charger"/>
    <n v="179.7"/>
    <n v="6"/>
    <x v="3221"/>
    <x v="4"/>
    <x v="2"/>
  </r>
  <r>
    <n v="45079"/>
    <x v="385"/>
    <x v="2"/>
    <x v="0"/>
    <x v="2"/>
    <s v="Carina Double Wide Media Storage Towers in Natural &amp; Black"/>
    <n v="64.78"/>
    <n v="1"/>
    <x v="2255"/>
    <x v="5"/>
    <x v="2"/>
  </r>
  <r>
    <n v="45079"/>
    <x v="150"/>
    <x v="22"/>
    <x v="0"/>
    <x v="0"/>
    <s v="Riverleaf Stik-Withit Designer Note Cubes"/>
    <n v="30.18"/>
    <n v="3"/>
    <x v="1245"/>
    <x v="5"/>
    <x v="2"/>
  </r>
  <r>
    <n v="45079"/>
    <x v="150"/>
    <x v="22"/>
    <x v="0"/>
    <x v="3"/>
    <s v="Acco PRESSTEX Data Binder with Storage Hooks, Dark Blue, 14 7/8&quot; X 11&quot;"/>
    <n v="51.65"/>
    <n v="12"/>
    <x v="1179"/>
    <x v="5"/>
    <x v="2"/>
  </r>
  <r>
    <n v="45079"/>
    <x v="150"/>
    <x v="22"/>
    <x v="0"/>
    <x v="3"/>
    <s v="Acco Translucent Poly Ring Binders"/>
    <n v="11.23"/>
    <n v="3"/>
    <x v="28"/>
    <x v="5"/>
    <x v="2"/>
  </r>
  <r>
    <n v="45080"/>
    <x v="85"/>
    <x v="3"/>
    <x v="1"/>
    <x v="13"/>
    <s v="Hon 61000 Series Interactive Training Tables"/>
    <n v="71.09"/>
    <n v="2"/>
    <x v="3123"/>
    <x v="5"/>
    <x v="2"/>
  </r>
  <r>
    <n v="45081"/>
    <x v="502"/>
    <x v="6"/>
    <x v="0"/>
    <x v="0"/>
    <s v="Snap-A-Way Black Print Carbonless Ruled Speed Letter, Triplicate"/>
    <n v="75.88"/>
    <n v="2"/>
    <x v="1171"/>
    <x v="5"/>
    <x v="2"/>
  </r>
  <r>
    <n v="45081"/>
    <x v="318"/>
    <x v="1"/>
    <x v="0"/>
    <x v="0"/>
    <s v="Xerox 1957"/>
    <n v="25.92"/>
    <n v="5"/>
    <x v="3222"/>
    <x v="5"/>
    <x v="2"/>
  </r>
  <r>
    <n v="45081"/>
    <x v="318"/>
    <x v="1"/>
    <x v="1"/>
    <x v="8"/>
    <s v="Luxo Professional Fluorescent Magnifier Lamp with Clamp-Mount Base"/>
    <n v="419.68"/>
    <n v="5"/>
    <x v="3223"/>
    <x v="5"/>
    <x v="2"/>
  </r>
  <r>
    <n v="45081"/>
    <x v="318"/>
    <x v="1"/>
    <x v="1"/>
    <x v="8"/>
    <s v="Staple-based wall hangings"/>
    <n v="11.69"/>
    <n v="3"/>
    <x v="3224"/>
    <x v="5"/>
    <x v="2"/>
  </r>
  <r>
    <n v="45081"/>
    <x v="318"/>
    <x v="1"/>
    <x v="2"/>
    <x v="6"/>
    <s v="PureGear Roll-On Screen Protector"/>
    <n v="31.98"/>
    <n v="2"/>
    <x v="3225"/>
    <x v="5"/>
    <x v="2"/>
  </r>
  <r>
    <n v="45081"/>
    <x v="318"/>
    <x v="1"/>
    <x v="1"/>
    <x v="13"/>
    <s v="KI Conference Tables"/>
    <n v="177.23"/>
    <n v="5"/>
    <x v="3226"/>
    <x v="5"/>
    <x v="2"/>
  </r>
  <r>
    <n v="45081"/>
    <x v="318"/>
    <x v="1"/>
    <x v="1"/>
    <x v="8"/>
    <s v="Eldon 100 Class Desk Accessories"/>
    <n v="4.04"/>
    <n v="3"/>
    <x v="3227"/>
    <x v="5"/>
    <x v="2"/>
  </r>
  <r>
    <n v="45081"/>
    <x v="318"/>
    <x v="1"/>
    <x v="0"/>
    <x v="4"/>
    <s v="Binney &amp; Smith Crayola Metallic Colored Pencils, 8-Color Set"/>
    <n v="7.41"/>
    <n v="2"/>
    <x v="217"/>
    <x v="5"/>
    <x v="2"/>
  </r>
  <r>
    <n v="45081"/>
    <x v="647"/>
    <x v="20"/>
    <x v="0"/>
    <x v="0"/>
    <s v="Easy-staple paper"/>
    <n v="14.94"/>
    <n v="3"/>
    <x v="162"/>
    <x v="5"/>
    <x v="2"/>
  </r>
  <r>
    <n v="45081"/>
    <x v="647"/>
    <x v="20"/>
    <x v="2"/>
    <x v="15"/>
    <s v="Panasonic KX MC6040 Color Laser Multifunction Printer"/>
    <n v="1349.85"/>
    <n v="3"/>
    <x v="3228"/>
    <x v="5"/>
    <x v="2"/>
  </r>
  <r>
    <n v="45081"/>
    <x v="647"/>
    <x v="20"/>
    <x v="1"/>
    <x v="11"/>
    <s v="Sauder Inglewood Library Bookcases"/>
    <n v="136.78"/>
    <n v="1"/>
    <x v="3229"/>
    <x v="5"/>
    <x v="2"/>
  </r>
  <r>
    <n v="45081"/>
    <x v="647"/>
    <x v="20"/>
    <x v="1"/>
    <x v="8"/>
    <s v="Linden 10&quot; Round Wall Clock, Black"/>
    <n v="61.12"/>
    <n v="4"/>
    <x v="3230"/>
    <x v="5"/>
    <x v="2"/>
  </r>
  <r>
    <n v="45082"/>
    <x v="179"/>
    <x v="2"/>
    <x v="0"/>
    <x v="2"/>
    <s v="Eldon Base for stackable storage shelf, platinum"/>
    <n v="124.61"/>
    <n v="4"/>
    <x v="3231"/>
    <x v="5"/>
    <x v="2"/>
  </r>
  <r>
    <n v="45082"/>
    <x v="179"/>
    <x v="2"/>
    <x v="0"/>
    <x v="1"/>
    <s v="Avery 502"/>
    <n v="7.56"/>
    <n v="3"/>
    <x v="505"/>
    <x v="5"/>
    <x v="2"/>
  </r>
  <r>
    <n v="45082"/>
    <x v="219"/>
    <x v="7"/>
    <x v="0"/>
    <x v="2"/>
    <s v="Standard Rollaway File with Lock"/>
    <n v="360.38"/>
    <n v="2"/>
    <x v="2769"/>
    <x v="5"/>
    <x v="2"/>
  </r>
  <r>
    <n v="45082"/>
    <x v="219"/>
    <x v="7"/>
    <x v="0"/>
    <x v="4"/>
    <s v="Newell 314"/>
    <n v="11.16"/>
    <n v="2"/>
    <x v="3232"/>
    <x v="5"/>
    <x v="2"/>
  </r>
  <r>
    <n v="45082"/>
    <x v="219"/>
    <x v="7"/>
    <x v="0"/>
    <x v="1"/>
    <s v="Avery White Multi-Purpose Labels"/>
    <n v="14.94"/>
    <n v="3"/>
    <x v="96"/>
    <x v="5"/>
    <x v="2"/>
  </r>
  <r>
    <n v="45082"/>
    <x v="74"/>
    <x v="3"/>
    <x v="0"/>
    <x v="3"/>
    <s v="Avery Non-Stick Binders"/>
    <n v="21.55"/>
    <n v="6"/>
    <x v="3233"/>
    <x v="5"/>
    <x v="2"/>
  </r>
  <r>
    <n v="45082"/>
    <x v="74"/>
    <x v="3"/>
    <x v="0"/>
    <x v="12"/>
    <s v="Acco 6 Outlet Guardian Premium Surge Suppressor"/>
    <n v="58.24"/>
    <n v="4"/>
    <x v="3234"/>
    <x v="5"/>
    <x v="2"/>
  </r>
  <r>
    <n v="45082"/>
    <x v="590"/>
    <x v="22"/>
    <x v="0"/>
    <x v="14"/>
    <s v="Acme Box Cutter Scissors"/>
    <n v="61.38"/>
    <n v="6"/>
    <x v="3235"/>
    <x v="5"/>
    <x v="2"/>
  </r>
  <r>
    <n v="45083"/>
    <x v="554"/>
    <x v="1"/>
    <x v="2"/>
    <x v="6"/>
    <s v="Cisco Small Business SPA 502G VoIP phone"/>
    <n v="328.22"/>
    <n v="4"/>
    <x v="3236"/>
    <x v="5"/>
    <x v="2"/>
  </r>
  <r>
    <n v="45083"/>
    <x v="56"/>
    <x v="32"/>
    <x v="0"/>
    <x v="2"/>
    <s v="Letter Size Cart"/>
    <n v="714.3"/>
    <n v="5"/>
    <x v="2571"/>
    <x v="5"/>
    <x v="2"/>
  </r>
  <r>
    <n v="45083"/>
    <x v="759"/>
    <x v="32"/>
    <x v="0"/>
    <x v="0"/>
    <s v="Xerox 1935"/>
    <n v="105.52"/>
    <n v="4"/>
    <x v="1453"/>
    <x v="5"/>
    <x v="2"/>
  </r>
  <r>
    <n v="45083"/>
    <x v="584"/>
    <x v="13"/>
    <x v="2"/>
    <x v="9"/>
    <s v="Logitech Trackman Marble Mouse"/>
    <n v="179.94"/>
    <n v="6"/>
    <x v="3237"/>
    <x v="5"/>
    <x v="2"/>
  </r>
  <r>
    <n v="45083"/>
    <x v="584"/>
    <x v="13"/>
    <x v="2"/>
    <x v="9"/>
    <s v="Kingston Digital DataTraveler 16GB USB 2.0"/>
    <n v="26.85"/>
    <n v="3"/>
    <x v="1194"/>
    <x v="5"/>
    <x v="2"/>
  </r>
  <r>
    <n v="45083"/>
    <x v="584"/>
    <x v="13"/>
    <x v="2"/>
    <x v="9"/>
    <s v="Plantronics S12 Corded Telephone Headset System"/>
    <n v="323.37"/>
    <n v="3"/>
    <x v="1841"/>
    <x v="5"/>
    <x v="2"/>
  </r>
  <r>
    <n v="45083"/>
    <x v="584"/>
    <x v="13"/>
    <x v="0"/>
    <x v="0"/>
    <s v="Xerox 191"/>
    <n v="59.94"/>
    <n v="3"/>
    <x v="2200"/>
    <x v="5"/>
    <x v="2"/>
  </r>
  <r>
    <n v="45083"/>
    <x v="584"/>
    <x v="13"/>
    <x v="0"/>
    <x v="3"/>
    <s v="Trimflex Flexible Post Binders"/>
    <n v="64.14"/>
    <n v="3"/>
    <x v="2496"/>
    <x v="5"/>
    <x v="2"/>
  </r>
  <r>
    <n v="45083"/>
    <x v="584"/>
    <x v="13"/>
    <x v="0"/>
    <x v="3"/>
    <s v="Avery Binder Labels"/>
    <n v="11.67"/>
    <n v="3"/>
    <x v="1925"/>
    <x v="5"/>
    <x v="2"/>
  </r>
  <r>
    <n v="45083"/>
    <x v="584"/>
    <x v="13"/>
    <x v="0"/>
    <x v="0"/>
    <s v="Xerox 230"/>
    <n v="12.96"/>
    <n v="2"/>
    <x v="113"/>
    <x v="5"/>
    <x v="2"/>
  </r>
  <r>
    <n v="45083"/>
    <x v="237"/>
    <x v="3"/>
    <x v="0"/>
    <x v="1"/>
    <s v="Avery 488"/>
    <n v="22.05"/>
    <n v="7"/>
    <x v="2711"/>
    <x v="5"/>
    <x v="2"/>
  </r>
  <r>
    <n v="45083"/>
    <x v="237"/>
    <x v="3"/>
    <x v="0"/>
    <x v="0"/>
    <s v="Xerox Blank Computer Paper"/>
    <n v="99.9"/>
    <n v="5"/>
    <x v="3238"/>
    <x v="5"/>
    <x v="2"/>
  </r>
  <r>
    <n v="45083"/>
    <x v="5"/>
    <x v="3"/>
    <x v="2"/>
    <x v="6"/>
    <s v="Samsung Galaxy Mega 6.3"/>
    <n v="3023.93"/>
    <n v="9"/>
    <x v="3239"/>
    <x v="5"/>
    <x v="2"/>
  </r>
  <r>
    <n v="45083"/>
    <x v="5"/>
    <x v="3"/>
    <x v="2"/>
    <x v="9"/>
    <s v="Rosewill 107 Normal Keys USB Wired Standard Keyboard"/>
    <n v="26.96"/>
    <n v="2"/>
    <x v="949"/>
    <x v="5"/>
    <x v="2"/>
  </r>
  <r>
    <n v="45083"/>
    <x v="5"/>
    <x v="3"/>
    <x v="2"/>
    <x v="6"/>
    <s v="Bose SoundLink Bluetooth Speaker"/>
    <n v="477.6"/>
    <n v="3"/>
    <x v="3240"/>
    <x v="5"/>
    <x v="2"/>
  </r>
  <r>
    <n v="45083"/>
    <x v="760"/>
    <x v="10"/>
    <x v="1"/>
    <x v="8"/>
    <s v="Electrix Halogen Magnifier Lamp"/>
    <n v="466.32"/>
    <n v="3"/>
    <x v="3241"/>
    <x v="5"/>
    <x v="2"/>
  </r>
  <r>
    <n v="45083"/>
    <x v="760"/>
    <x v="10"/>
    <x v="1"/>
    <x v="8"/>
    <s v="Deflect-o EconoMat Nonstudded, No Bevel Mat"/>
    <n v="82.64"/>
    <n v="2"/>
    <x v="62"/>
    <x v="5"/>
    <x v="2"/>
  </r>
  <r>
    <n v="45084"/>
    <x v="476"/>
    <x v="20"/>
    <x v="0"/>
    <x v="0"/>
    <s v="Xerox 226"/>
    <n v="32.4"/>
    <n v="5"/>
    <x v="327"/>
    <x v="5"/>
    <x v="2"/>
  </r>
  <r>
    <n v="45084"/>
    <x v="365"/>
    <x v="3"/>
    <x v="0"/>
    <x v="3"/>
    <s v="Avery Hanging File Binders"/>
    <n v="4.78"/>
    <n v="1"/>
    <x v="839"/>
    <x v="5"/>
    <x v="2"/>
  </r>
  <r>
    <n v="45084"/>
    <x v="365"/>
    <x v="3"/>
    <x v="0"/>
    <x v="0"/>
    <s v="While You Were Out Pads, 50 per Pad, 4 x 5 1/4, Green Cycle"/>
    <n v="4.7300000000000004"/>
    <n v="1"/>
    <x v="2139"/>
    <x v="5"/>
    <x v="2"/>
  </r>
  <r>
    <n v="45084"/>
    <x v="761"/>
    <x v="2"/>
    <x v="0"/>
    <x v="7"/>
    <s v="Ideal Clamps"/>
    <n v="9.65"/>
    <n v="6"/>
    <x v="3137"/>
    <x v="5"/>
    <x v="2"/>
  </r>
  <r>
    <n v="45086"/>
    <x v="193"/>
    <x v="3"/>
    <x v="2"/>
    <x v="6"/>
    <s v="Avaya 4621SW VoIP phone"/>
    <n v="177.48"/>
    <n v="3"/>
    <x v="613"/>
    <x v="5"/>
    <x v="2"/>
  </r>
  <r>
    <n v="45086"/>
    <x v="460"/>
    <x v="16"/>
    <x v="2"/>
    <x v="15"/>
    <s v="Cisco CP-7937G Unified IP Conference Station Phone"/>
    <n v="695.7"/>
    <n v="2"/>
    <x v="3242"/>
    <x v="5"/>
    <x v="2"/>
  </r>
  <r>
    <n v="45086"/>
    <x v="622"/>
    <x v="3"/>
    <x v="1"/>
    <x v="5"/>
    <s v="Global Deluxe Stacking Chair, Gray"/>
    <n v="122.35"/>
    <n v="3"/>
    <x v="1075"/>
    <x v="5"/>
    <x v="2"/>
  </r>
  <r>
    <n v="45086"/>
    <x v="499"/>
    <x v="28"/>
    <x v="1"/>
    <x v="13"/>
    <s v="Bush Cubix Conference Tables, Fully Assembled"/>
    <n v="692.94"/>
    <n v="3"/>
    <x v="3243"/>
    <x v="5"/>
    <x v="2"/>
  </r>
  <r>
    <n v="45087"/>
    <x v="635"/>
    <x v="3"/>
    <x v="0"/>
    <x v="1"/>
    <s v="Avery 473"/>
    <n v="20.7"/>
    <n v="2"/>
    <x v="2293"/>
    <x v="5"/>
    <x v="2"/>
  </r>
  <r>
    <n v="45087"/>
    <x v="635"/>
    <x v="3"/>
    <x v="1"/>
    <x v="13"/>
    <s v="Bretford Â“Just In TimeÂ” Height-Adjustable Multi-Task Work Tables"/>
    <n v="1335.68"/>
    <n v="4"/>
    <x v="3244"/>
    <x v="5"/>
    <x v="2"/>
  </r>
  <r>
    <n v="45087"/>
    <x v="635"/>
    <x v="3"/>
    <x v="0"/>
    <x v="0"/>
    <s v="Xerox 226"/>
    <n v="32.4"/>
    <n v="5"/>
    <x v="327"/>
    <x v="5"/>
    <x v="2"/>
  </r>
  <r>
    <n v="45087"/>
    <x v="733"/>
    <x v="2"/>
    <x v="0"/>
    <x v="1"/>
    <s v="Avery 487"/>
    <n v="23.62"/>
    <n v="8"/>
    <x v="2333"/>
    <x v="5"/>
    <x v="2"/>
  </r>
  <r>
    <n v="45088"/>
    <x v="126"/>
    <x v="0"/>
    <x v="0"/>
    <x v="3"/>
    <s v="Computer Printout Index Tabs"/>
    <n v="1.34"/>
    <n v="4"/>
    <x v="3245"/>
    <x v="5"/>
    <x v="2"/>
  </r>
  <r>
    <n v="45088"/>
    <x v="126"/>
    <x v="0"/>
    <x v="0"/>
    <x v="3"/>
    <s v="GBC Wire Binding Combs"/>
    <n v="8.27"/>
    <n v="4"/>
    <x v="3008"/>
    <x v="5"/>
    <x v="2"/>
  </r>
  <r>
    <n v="45088"/>
    <x v="126"/>
    <x v="0"/>
    <x v="1"/>
    <x v="8"/>
    <s v="Stacking Tray, Side-Loading, Legal, Smoke"/>
    <n v="12.54"/>
    <n v="7"/>
    <x v="256"/>
    <x v="5"/>
    <x v="2"/>
  </r>
  <r>
    <n v="45088"/>
    <x v="414"/>
    <x v="20"/>
    <x v="2"/>
    <x v="9"/>
    <s v="Razer Kraken PRO Over Ear PC and Music Headset"/>
    <n v="239.97"/>
    <n v="3"/>
    <x v="611"/>
    <x v="5"/>
    <x v="2"/>
  </r>
  <r>
    <n v="45088"/>
    <x v="145"/>
    <x v="22"/>
    <x v="0"/>
    <x v="1"/>
    <s v="Avery 486"/>
    <n v="14.62"/>
    <n v="2"/>
    <x v="96"/>
    <x v="5"/>
    <x v="2"/>
  </r>
  <r>
    <n v="45088"/>
    <x v="145"/>
    <x v="22"/>
    <x v="0"/>
    <x v="3"/>
    <s v="Wilson Jones Turn Tabs Binder Tool for Ring Binders"/>
    <n v="53.98"/>
    <n v="14"/>
    <x v="3246"/>
    <x v="5"/>
    <x v="2"/>
  </r>
  <r>
    <n v="45088"/>
    <x v="145"/>
    <x v="22"/>
    <x v="2"/>
    <x v="9"/>
    <s v="Logitech G35 7.1-Channel Surround Sound Headset"/>
    <n v="389.97"/>
    <n v="3"/>
    <x v="3247"/>
    <x v="5"/>
    <x v="2"/>
  </r>
  <r>
    <n v="45088"/>
    <x v="9"/>
    <x v="3"/>
    <x v="1"/>
    <x v="13"/>
    <s v="Bretford Rectangular Conference Table Tops"/>
    <n v="902.71"/>
    <n v="3"/>
    <x v="3248"/>
    <x v="5"/>
    <x v="2"/>
  </r>
  <r>
    <n v="45089"/>
    <x v="762"/>
    <x v="3"/>
    <x v="0"/>
    <x v="1"/>
    <s v="Self-Adhesive Address Labels for Typewriters by Universal"/>
    <n v="14.62"/>
    <n v="2"/>
    <x v="96"/>
    <x v="5"/>
    <x v="2"/>
  </r>
  <r>
    <n v="45089"/>
    <x v="660"/>
    <x v="33"/>
    <x v="0"/>
    <x v="12"/>
    <s v="1.7 Cubic Foot Compact &quot;Cube&quot; Office Refrigerators"/>
    <n v="208.16"/>
    <n v="1"/>
    <x v="462"/>
    <x v="5"/>
    <x v="2"/>
  </r>
  <r>
    <n v="45089"/>
    <x v="660"/>
    <x v="33"/>
    <x v="0"/>
    <x v="3"/>
    <s v="Avery Heavy-Duty EZD  Binder With Locking Rings"/>
    <n v="16.739999999999998"/>
    <n v="3"/>
    <x v="3249"/>
    <x v="5"/>
    <x v="2"/>
  </r>
  <r>
    <n v="45089"/>
    <x v="236"/>
    <x v="7"/>
    <x v="1"/>
    <x v="8"/>
    <s v="Artistic Insta-Plaque"/>
    <n v="47.04"/>
    <n v="3"/>
    <x v="2171"/>
    <x v="5"/>
    <x v="2"/>
  </r>
  <r>
    <n v="45089"/>
    <x v="236"/>
    <x v="7"/>
    <x v="0"/>
    <x v="3"/>
    <s v="DXL Angle-View Binders with Locking Rings by Samsill"/>
    <n v="30.84"/>
    <n v="4"/>
    <x v="1245"/>
    <x v="5"/>
    <x v="2"/>
  </r>
  <r>
    <n v="45089"/>
    <x v="236"/>
    <x v="7"/>
    <x v="0"/>
    <x v="2"/>
    <s v="Companion Letter/Legal File, Black"/>
    <n v="226.56"/>
    <n v="6"/>
    <x v="3250"/>
    <x v="5"/>
    <x v="2"/>
  </r>
  <r>
    <n v="45089"/>
    <x v="236"/>
    <x v="7"/>
    <x v="0"/>
    <x v="10"/>
    <s v="Globe Weis Peel &amp; Seel First Class Envelopes"/>
    <n v="115.02"/>
    <n v="9"/>
    <x v="3251"/>
    <x v="5"/>
    <x v="2"/>
  </r>
  <r>
    <n v="45089"/>
    <x v="236"/>
    <x v="7"/>
    <x v="2"/>
    <x v="6"/>
    <s v="KLD Oscar II Style Snap-on Ultra Thin Side Flip Synthetic Leather Cover Case for HTC One HTC M7"/>
    <n v="68.040000000000006"/>
    <n v="7"/>
    <x v="3252"/>
    <x v="5"/>
    <x v="2"/>
  </r>
  <r>
    <n v="45089"/>
    <x v="675"/>
    <x v="1"/>
    <x v="2"/>
    <x v="15"/>
    <s v="Canon Color ImageCLASS MF8580Cdw Wireless Laser All-In-One Printer, Copier, Scanner"/>
    <n v="1007.98"/>
    <n v="3"/>
    <x v="640"/>
    <x v="5"/>
    <x v="2"/>
  </r>
  <r>
    <n v="45089"/>
    <x v="675"/>
    <x v="1"/>
    <x v="0"/>
    <x v="0"/>
    <s v="Xerox 1908"/>
    <n v="313.49"/>
    <n v="7"/>
    <x v="3253"/>
    <x v="5"/>
    <x v="2"/>
  </r>
  <r>
    <n v="45089"/>
    <x v="353"/>
    <x v="1"/>
    <x v="0"/>
    <x v="0"/>
    <s v="Xerox 1978"/>
    <n v="23.12"/>
    <n v="5"/>
    <x v="3254"/>
    <x v="5"/>
    <x v="2"/>
  </r>
  <r>
    <n v="45089"/>
    <x v="710"/>
    <x v="20"/>
    <x v="0"/>
    <x v="0"/>
    <s v="IBM Multi-Purpose Copy Paper, 8 1/2 x 11&quot;, Case"/>
    <n v="92.94"/>
    <n v="3"/>
    <x v="794"/>
    <x v="5"/>
    <x v="2"/>
  </r>
  <r>
    <n v="45089"/>
    <x v="710"/>
    <x v="20"/>
    <x v="0"/>
    <x v="12"/>
    <s v="Bionaire 99.97% HEPA Air Cleaner"/>
    <n v="52.56"/>
    <n v="3"/>
    <x v="1794"/>
    <x v="5"/>
    <x v="2"/>
  </r>
  <r>
    <n v="45089"/>
    <x v="400"/>
    <x v="3"/>
    <x v="0"/>
    <x v="0"/>
    <s v="IBM Multi-Purpose Copy Paper, 8 1/2 x 11&quot;, Case"/>
    <n v="185.88"/>
    <n v="6"/>
    <x v="3255"/>
    <x v="5"/>
    <x v="2"/>
  </r>
  <r>
    <n v="45089"/>
    <x v="400"/>
    <x v="3"/>
    <x v="0"/>
    <x v="0"/>
    <s v="Xerox 228"/>
    <n v="12.96"/>
    <n v="2"/>
    <x v="113"/>
    <x v="5"/>
    <x v="2"/>
  </r>
  <r>
    <n v="45089"/>
    <x v="299"/>
    <x v="0"/>
    <x v="0"/>
    <x v="12"/>
    <s v="APC 7 Outlet Network SurgeArrest Surge Protector"/>
    <n v="64.38"/>
    <n v="4"/>
    <x v="3256"/>
    <x v="5"/>
    <x v="2"/>
  </r>
  <r>
    <n v="45089"/>
    <x v="299"/>
    <x v="0"/>
    <x v="1"/>
    <x v="8"/>
    <s v="Dax Clear Box Frame"/>
    <n v="6.98"/>
    <n v="2"/>
    <x v="3257"/>
    <x v="5"/>
    <x v="2"/>
  </r>
  <r>
    <n v="45089"/>
    <x v="299"/>
    <x v="0"/>
    <x v="0"/>
    <x v="4"/>
    <s v="Nontoxic Chalk"/>
    <n v="11.26"/>
    <n v="8"/>
    <x v="3258"/>
    <x v="5"/>
    <x v="2"/>
  </r>
  <r>
    <n v="45089"/>
    <x v="299"/>
    <x v="0"/>
    <x v="0"/>
    <x v="0"/>
    <s v="Xerox 1975"/>
    <n v="15.55"/>
    <n v="3"/>
    <x v="1291"/>
    <x v="5"/>
    <x v="2"/>
  </r>
  <r>
    <n v="45089"/>
    <x v="299"/>
    <x v="0"/>
    <x v="1"/>
    <x v="5"/>
    <s v="Global Enterprise Series Seating High-Back Swivel/Tilt Chairs"/>
    <n v="379.37"/>
    <n v="2"/>
    <x v="3259"/>
    <x v="5"/>
    <x v="2"/>
  </r>
  <r>
    <n v="45089"/>
    <x v="299"/>
    <x v="0"/>
    <x v="0"/>
    <x v="2"/>
    <s v="Staple magnet"/>
    <n v="67.540000000000006"/>
    <n v="9"/>
    <x v="1359"/>
    <x v="5"/>
    <x v="2"/>
  </r>
  <r>
    <n v="45089"/>
    <x v="299"/>
    <x v="0"/>
    <x v="0"/>
    <x v="3"/>
    <s v="Acco Pressboard Covers with Storage Hooks, 14 7/8&quot; x 11&quot;, Executive Red"/>
    <n v="1.52"/>
    <n v="2"/>
    <x v="3260"/>
    <x v="5"/>
    <x v="2"/>
  </r>
  <r>
    <n v="45090"/>
    <x v="90"/>
    <x v="14"/>
    <x v="2"/>
    <x v="6"/>
    <s v="Ooma Telo VoIP Home Phone System"/>
    <n v="377.97"/>
    <n v="3"/>
    <x v="2587"/>
    <x v="5"/>
    <x v="2"/>
  </r>
  <r>
    <n v="45090"/>
    <x v="331"/>
    <x v="42"/>
    <x v="0"/>
    <x v="1"/>
    <s v="Avery 51"/>
    <n v="18.899999999999999"/>
    <n v="3"/>
    <x v="1061"/>
    <x v="5"/>
    <x v="2"/>
  </r>
  <r>
    <n v="45090"/>
    <x v="217"/>
    <x v="20"/>
    <x v="0"/>
    <x v="3"/>
    <s v="Premium Transparent Presentation Covers by GBC"/>
    <n v="33.57"/>
    <n v="2"/>
    <x v="3217"/>
    <x v="5"/>
    <x v="2"/>
  </r>
  <r>
    <n v="45091"/>
    <x v="298"/>
    <x v="3"/>
    <x v="0"/>
    <x v="4"/>
    <s v="Newell 326"/>
    <n v="7.04"/>
    <n v="4"/>
    <x v="2118"/>
    <x v="5"/>
    <x v="2"/>
  </r>
  <r>
    <n v="45091"/>
    <x v="298"/>
    <x v="3"/>
    <x v="1"/>
    <x v="8"/>
    <s v="GE General Purpose, Extra Long Life, Showcase &amp; Floodlight Incandescent Bulbs"/>
    <n v="8.73"/>
    <n v="3"/>
    <x v="60"/>
    <x v="5"/>
    <x v="2"/>
  </r>
  <r>
    <n v="45091"/>
    <x v="298"/>
    <x v="3"/>
    <x v="2"/>
    <x v="9"/>
    <s v="Logitech ClearChat Comfort/USB Headset H390"/>
    <n v="29.29"/>
    <n v="1"/>
    <x v="1369"/>
    <x v="5"/>
    <x v="2"/>
  </r>
  <r>
    <n v="45091"/>
    <x v="298"/>
    <x v="3"/>
    <x v="0"/>
    <x v="4"/>
    <s v="Newell 346"/>
    <n v="8.64"/>
    <n v="3"/>
    <x v="368"/>
    <x v="5"/>
    <x v="2"/>
  </r>
  <r>
    <n v="45091"/>
    <x v="167"/>
    <x v="3"/>
    <x v="1"/>
    <x v="11"/>
    <s v="Bush Heritage Pine Collection 5-Shelf Bookcase, Albany Pine Finish, *Special Order"/>
    <n v="599.16999999999996"/>
    <n v="5"/>
    <x v="3261"/>
    <x v="5"/>
    <x v="2"/>
  </r>
  <r>
    <n v="45091"/>
    <x v="290"/>
    <x v="3"/>
    <x v="1"/>
    <x v="13"/>
    <s v="Bush Cubix Conference Tables, Fully Assembled"/>
    <n v="1293.49"/>
    <n v="7"/>
    <x v="1694"/>
    <x v="5"/>
    <x v="2"/>
  </r>
  <r>
    <n v="45091"/>
    <x v="763"/>
    <x v="2"/>
    <x v="1"/>
    <x v="13"/>
    <s v="Global Adaptabilities Conference Tables"/>
    <n v="337.18"/>
    <n v="2"/>
    <x v="3262"/>
    <x v="5"/>
    <x v="2"/>
  </r>
  <r>
    <n v="45091"/>
    <x v="98"/>
    <x v="16"/>
    <x v="0"/>
    <x v="3"/>
    <s v="GBC Twin Loop Wire Binding Elements"/>
    <n v="39.94"/>
    <n v="4"/>
    <x v="3263"/>
    <x v="5"/>
    <x v="2"/>
  </r>
  <r>
    <n v="45091"/>
    <x v="98"/>
    <x v="16"/>
    <x v="2"/>
    <x v="9"/>
    <s v="Verbatim Slim CD and DVD Storage Cases, 50/Pack"/>
    <n v="18.46"/>
    <n v="2"/>
    <x v="3264"/>
    <x v="5"/>
    <x v="2"/>
  </r>
  <r>
    <n v="45091"/>
    <x v="278"/>
    <x v="22"/>
    <x v="1"/>
    <x v="13"/>
    <s v="Hon Non-Folding Utility Tables"/>
    <n v="1115.17"/>
    <n v="7"/>
    <x v="3265"/>
    <x v="5"/>
    <x v="2"/>
  </r>
  <r>
    <n v="45092"/>
    <x v="462"/>
    <x v="0"/>
    <x v="0"/>
    <x v="0"/>
    <s v="Xerox 19"/>
    <n v="173.49"/>
    <n v="7"/>
    <x v="1985"/>
    <x v="5"/>
    <x v="2"/>
  </r>
  <r>
    <n v="45093"/>
    <x v="649"/>
    <x v="3"/>
    <x v="0"/>
    <x v="0"/>
    <s v="Wirebound Message Books, Four 2 3/4&quot; x 5&quot; Forms per Page, 600 Sets per Book"/>
    <n v="46.35"/>
    <n v="5"/>
    <x v="1279"/>
    <x v="5"/>
    <x v="2"/>
  </r>
  <r>
    <n v="45093"/>
    <x v="594"/>
    <x v="15"/>
    <x v="2"/>
    <x v="15"/>
    <s v="Penpower WorldCard Pro Card Scanner"/>
    <n v="91.48"/>
    <n v="1"/>
    <x v="687"/>
    <x v="5"/>
    <x v="2"/>
  </r>
  <r>
    <n v="45093"/>
    <x v="612"/>
    <x v="7"/>
    <x v="0"/>
    <x v="1"/>
    <s v="Avery 518"/>
    <n v="9.4499999999999993"/>
    <n v="3"/>
    <x v="406"/>
    <x v="5"/>
    <x v="2"/>
  </r>
  <r>
    <n v="45094"/>
    <x v="764"/>
    <x v="20"/>
    <x v="0"/>
    <x v="2"/>
    <s v="Home/Office Personal File Carts"/>
    <n v="208.56"/>
    <n v="6"/>
    <x v="3266"/>
    <x v="5"/>
    <x v="2"/>
  </r>
  <r>
    <n v="45094"/>
    <x v="764"/>
    <x v="20"/>
    <x v="0"/>
    <x v="0"/>
    <s v="Xerox 232"/>
    <n v="32.4"/>
    <n v="5"/>
    <x v="327"/>
    <x v="5"/>
    <x v="2"/>
  </r>
  <r>
    <n v="45094"/>
    <x v="764"/>
    <x v="20"/>
    <x v="1"/>
    <x v="5"/>
    <s v="Novimex Turbo Task Chair"/>
    <n v="319.41000000000003"/>
    <n v="5"/>
    <x v="2908"/>
    <x v="5"/>
    <x v="2"/>
  </r>
  <r>
    <n v="45094"/>
    <x v="764"/>
    <x v="20"/>
    <x v="0"/>
    <x v="0"/>
    <s v="Array Parchment Paper, Assorted Colors"/>
    <n v="14.56"/>
    <n v="2"/>
    <x v="1592"/>
    <x v="5"/>
    <x v="2"/>
  </r>
  <r>
    <n v="45094"/>
    <x v="764"/>
    <x v="20"/>
    <x v="2"/>
    <x v="9"/>
    <s v="ImationÂ 8gb Micro Traveldrive Usb 2.0Â Flash Drive"/>
    <n v="30"/>
    <n v="2"/>
    <x v="3267"/>
    <x v="5"/>
    <x v="2"/>
  </r>
  <r>
    <n v="45094"/>
    <x v="764"/>
    <x v="20"/>
    <x v="0"/>
    <x v="3"/>
    <s v="Plastic Binding Combs"/>
    <n v="48.48"/>
    <n v="4"/>
    <x v="3268"/>
    <x v="5"/>
    <x v="2"/>
  </r>
  <r>
    <n v="45094"/>
    <x v="764"/>
    <x v="20"/>
    <x v="0"/>
    <x v="4"/>
    <s v="Prang Dustless Chalk Sticks"/>
    <n v="1.68"/>
    <n v="1"/>
    <x v="243"/>
    <x v="5"/>
    <x v="2"/>
  </r>
  <r>
    <n v="45094"/>
    <x v="466"/>
    <x v="3"/>
    <x v="0"/>
    <x v="0"/>
    <s v="Xerox 1934"/>
    <n v="111.96"/>
    <n v="2"/>
    <x v="3170"/>
    <x v="5"/>
    <x v="2"/>
  </r>
  <r>
    <n v="45094"/>
    <x v="667"/>
    <x v="20"/>
    <x v="0"/>
    <x v="2"/>
    <s v="Rogers Jumbo File, Granite"/>
    <n v="40.74"/>
    <n v="3"/>
    <x v="1018"/>
    <x v="5"/>
    <x v="2"/>
  </r>
  <r>
    <n v="45094"/>
    <x v="30"/>
    <x v="3"/>
    <x v="1"/>
    <x v="11"/>
    <s v="Bush Heritage Pine Collection 5-Shelf Bookcase, Albany Pine Finish, *Special Order"/>
    <n v="239.67"/>
    <n v="2"/>
    <x v="3269"/>
    <x v="5"/>
    <x v="2"/>
  </r>
  <r>
    <n v="45094"/>
    <x v="30"/>
    <x v="3"/>
    <x v="0"/>
    <x v="1"/>
    <s v="Avery 496"/>
    <n v="22.5"/>
    <n v="6"/>
    <x v="1334"/>
    <x v="5"/>
    <x v="2"/>
  </r>
  <r>
    <n v="45094"/>
    <x v="30"/>
    <x v="3"/>
    <x v="0"/>
    <x v="0"/>
    <s v="Xerox 1914"/>
    <n v="219.84"/>
    <n v="4"/>
    <x v="3270"/>
    <x v="5"/>
    <x v="2"/>
  </r>
  <r>
    <n v="45094"/>
    <x v="164"/>
    <x v="26"/>
    <x v="1"/>
    <x v="8"/>
    <s v="Rubbermaid ClusterMat Chairmats, Mat Size- 66&quot; x 60&quot;, Lip 20&quot; x 11&quot; -90 Degree Angle"/>
    <n v="266.35000000000002"/>
    <n v="3"/>
    <x v="718"/>
    <x v="5"/>
    <x v="2"/>
  </r>
  <r>
    <n v="45094"/>
    <x v="164"/>
    <x v="26"/>
    <x v="1"/>
    <x v="5"/>
    <s v="Global Manager's Adjustable Task Chair, Storm"/>
    <n v="483.14"/>
    <n v="4"/>
    <x v="3271"/>
    <x v="5"/>
    <x v="2"/>
  </r>
  <r>
    <n v="45094"/>
    <x v="85"/>
    <x v="37"/>
    <x v="0"/>
    <x v="3"/>
    <s v="Ibico Presentation Index for Binding Systems"/>
    <n v="7.96"/>
    <n v="2"/>
    <x v="1048"/>
    <x v="5"/>
    <x v="2"/>
  </r>
  <r>
    <n v="45094"/>
    <x v="85"/>
    <x v="37"/>
    <x v="2"/>
    <x v="6"/>
    <s v="Wireless Extenders zBoost YX545 SOHO Signal Booster"/>
    <n v="566.97"/>
    <n v="3"/>
    <x v="3272"/>
    <x v="5"/>
    <x v="2"/>
  </r>
  <r>
    <n v="45094"/>
    <x v="85"/>
    <x v="37"/>
    <x v="0"/>
    <x v="4"/>
    <s v="Newell 35"/>
    <n v="9.84"/>
    <n v="3"/>
    <x v="1029"/>
    <x v="5"/>
    <x v="2"/>
  </r>
  <r>
    <n v="45094"/>
    <x v="491"/>
    <x v="20"/>
    <x v="1"/>
    <x v="13"/>
    <s v="Hon 2111 Invitation Series Corner Table"/>
    <n v="376.87"/>
    <n v="3"/>
    <x v="3273"/>
    <x v="5"/>
    <x v="2"/>
  </r>
  <r>
    <n v="45095"/>
    <x v="239"/>
    <x v="1"/>
    <x v="0"/>
    <x v="0"/>
    <s v="Xerox 1937"/>
    <n v="76.86"/>
    <n v="2"/>
    <x v="3143"/>
    <x v="5"/>
    <x v="2"/>
  </r>
  <r>
    <n v="45095"/>
    <x v="660"/>
    <x v="2"/>
    <x v="0"/>
    <x v="0"/>
    <s v="Xerox 1900"/>
    <n v="6.85"/>
    <n v="2"/>
    <x v="959"/>
    <x v="5"/>
    <x v="2"/>
  </r>
  <r>
    <n v="45095"/>
    <x v="660"/>
    <x v="2"/>
    <x v="0"/>
    <x v="3"/>
    <s v="DXL Angle-View Binders with Locking Rings by Samsill"/>
    <n v="4.63"/>
    <n v="2"/>
    <x v="219"/>
    <x v="5"/>
    <x v="2"/>
  </r>
  <r>
    <n v="45095"/>
    <x v="660"/>
    <x v="2"/>
    <x v="0"/>
    <x v="12"/>
    <s v="Harmony Air Purifier"/>
    <n v="453.6"/>
    <n v="3"/>
    <x v="533"/>
    <x v="5"/>
    <x v="2"/>
  </r>
  <r>
    <n v="45096"/>
    <x v="385"/>
    <x v="3"/>
    <x v="0"/>
    <x v="0"/>
    <s v="Message Book, Standard Line &quot;While You Were Out&quot;, 5 1/2&quot; X 4&quot;, 200 Sets/Book"/>
    <n v="17.12"/>
    <n v="2"/>
    <x v="1000"/>
    <x v="5"/>
    <x v="2"/>
  </r>
  <r>
    <n v="45097"/>
    <x v="352"/>
    <x v="7"/>
    <x v="2"/>
    <x v="9"/>
    <s v="ImationÂ 8gb Micro Traveldrive Usb 2.0Â Flash Drive"/>
    <n v="45"/>
    <n v="3"/>
    <x v="700"/>
    <x v="5"/>
    <x v="2"/>
  </r>
  <r>
    <n v="45097"/>
    <x v="352"/>
    <x v="7"/>
    <x v="2"/>
    <x v="6"/>
    <s v="LF Elite 3D Dazzle Designer Hard Case Cover, Lf Stylus Pen and Wiper For Apple Iphone 5c Mini Lite"/>
    <n v="21.8"/>
    <n v="2"/>
    <x v="2622"/>
    <x v="5"/>
    <x v="2"/>
  </r>
  <r>
    <n v="45097"/>
    <x v="679"/>
    <x v="3"/>
    <x v="0"/>
    <x v="4"/>
    <s v="DIXON Oriole Pencils"/>
    <n v="5.16"/>
    <n v="2"/>
    <x v="2514"/>
    <x v="5"/>
    <x v="2"/>
  </r>
  <r>
    <n v="45097"/>
    <x v="679"/>
    <x v="3"/>
    <x v="0"/>
    <x v="0"/>
    <s v="Xerox 202"/>
    <n v="38.880000000000003"/>
    <n v="6"/>
    <x v="2107"/>
    <x v="5"/>
    <x v="2"/>
  </r>
  <r>
    <n v="45097"/>
    <x v="651"/>
    <x v="2"/>
    <x v="0"/>
    <x v="0"/>
    <s v="Wirebound Message Books, 2 7/8&quot; x 5&quot;, 3 Forms per Page"/>
    <n v="45.06"/>
    <n v="8"/>
    <x v="3274"/>
    <x v="5"/>
    <x v="2"/>
  </r>
  <r>
    <n v="45097"/>
    <x v="651"/>
    <x v="2"/>
    <x v="0"/>
    <x v="3"/>
    <s v="JM Magazine Binder"/>
    <n v="29.72"/>
    <n v="6"/>
    <x v="3275"/>
    <x v="5"/>
    <x v="2"/>
  </r>
  <r>
    <n v="45097"/>
    <x v="651"/>
    <x v="2"/>
    <x v="0"/>
    <x v="0"/>
    <s v="Xerox 202"/>
    <n v="15.55"/>
    <n v="3"/>
    <x v="192"/>
    <x v="5"/>
    <x v="2"/>
  </r>
  <r>
    <n v="45097"/>
    <x v="651"/>
    <x v="2"/>
    <x v="0"/>
    <x v="12"/>
    <s v="Sanyo 2.5 Cubic Foot Mid-Size Office Refrigerators"/>
    <n v="447.7"/>
    <n v="2"/>
    <x v="3276"/>
    <x v="5"/>
    <x v="2"/>
  </r>
  <r>
    <n v="45097"/>
    <x v="554"/>
    <x v="3"/>
    <x v="0"/>
    <x v="0"/>
    <s v="Xerox 1898"/>
    <n v="46.76"/>
    <n v="7"/>
    <x v="3277"/>
    <x v="5"/>
    <x v="2"/>
  </r>
  <r>
    <n v="45097"/>
    <x v="554"/>
    <x v="3"/>
    <x v="0"/>
    <x v="3"/>
    <s v="GBC Plastic Binding Combs"/>
    <n v="17.71"/>
    <n v="3"/>
    <x v="2630"/>
    <x v="5"/>
    <x v="2"/>
  </r>
  <r>
    <n v="45097"/>
    <x v="554"/>
    <x v="3"/>
    <x v="0"/>
    <x v="12"/>
    <s v="Belkin 6 Outlet Metallic Surge Strip"/>
    <n v="21.78"/>
    <n v="2"/>
    <x v="814"/>
    <x v="5"/>
    <x v="2"/>
  </r>
  <r>
    <n v="45097"/>
    <x v="554"/>
    <x v="3"/>
    <x v="0"/>
    <x v="2"/>
    <s v="Fellowes Bankers Box Recycled Super Stor/Drawer"/>
    <n v="161.94"/>
    <n v="3"/>
    <x v="584"/>
    <x v="5"/>
    <x v="2"/>
  </r>
  <r>
    <n v="45097"/>
    <x v="554"/>
    <x v="3"/>
    <x v="1"/>
    <x v="5"/>
    <s v="Hon Valutask Swivel Chairs"/>
    <n v="161.57"/>
    <n v="2"/>
    <x v="1368"/>
    <x v="5"/>
    <x v="2"/>
  </r>
  <r>
    <n v="45097"/>
    <x v="400"/>
    <x v="0"/>
    <x v="2"/>
    <x v="9"/>
    <s v="Logitech Trackman Marble Mouse"/>
    <n v="95.97"/>
    <n v="4"/>
    <x v="485"/>
    <x v="5"/>
    <x v="2"/>
  </r>
  <r>
    <n v="45097"/>
    <x v="400"/>
    <x v="0"/>
    <x v="0"/>
    <x v="0"/>
    <s v="Xerox 206"/>
    <n v="10.37"/>
    <n v="2"/>
    <x v="316"/>
    <x v="5"/>
    <x v="2"/>
  </r>
  <r>
    <n v="45097"/>
    <x v="183"/>
    <x v="39"/>
    <x v="2"/>
    <x v="9"/>
    <s v="ImationÂ 30456 USBÂ Flash DriveÂ 8GB"/>
    <n v="6.9"/>
    <n v="1"/>
    <x v="357"/>
    <x v="5"/>
    <x v="2"/>
  </r>
  <r>
    <n v="45097"/>
    <x v="183"/>
    <x v="39"/>
    <x v="1"/>
    <x v="8"/>
    <s v="Executive Impressions 13&quot; Clairmont Wall Clock"/>
    <n v="57.69"/>
    <n v="3"/>
    <x v="873"/>
    <x v="5"/>
    <x v="2"/>
  </r>
  <r>
    <n v="45098"/>
    <x v="423"/>
    <x v="20"/>
    <x v="0"/>
    <x v="3"/>
    <s v="SpineVue Locking Slant-D Ring Binders by Cardinal"/>
    <n v="36.56"/>
    <n v="5"/>
    <x v="3278"/>
    <x v="5"/>
    <x v="2"/>
  </r>
  <r>
    <n v="45098"/>
    <x v="423"/>
    <x v="20"/>
    <x v="0"/>
    <x v="3"/>
    <s v="Premium Transparent Presentation Covers, No Pattern/Clear, 8 1/2&quot; x 11&quot;"/>
    <n v="186.14"/>
    <n v="6"/>
    <x v="3279"/>
    <x v="5"/>
    <x v="2"/>
  </r>
  <r>
    <n v="45098"/>
    <x v="423"/>
    <x v="20"/>
    <x v="1"/>
    <x v="11"/>
    <s v="O'Sullivan Living Dimensions 5-Shelf Bookcases"/>
    <n v="353.57"/>
    <n v="2"/>
    <x v="515"/>
    <x v="5"/>
    <x v="2"/>
  </r>
  <r>
    <n v="45098"/>
    <x v="590"/>
    <x v="1"/>
    <x v="0"/>
    <x v="3"/>
    <s v="Avery Durable Slant Ring Binders With Label Holder"/>
    <n v="0.84"/>
    <n v="1"/>
    <x v="3280"/>
    <x v="5"/>
    <x v="2"/>
  </r>
  <r>
    <n v="45100"/>
    <x v="576"/>
    <x v="20"/>
    <x v="0"/>
    <x v="1"/>
    <s v="Avery 4027 File Folder Labels for Dot Matrix Printers, 5000 Labels per Box, White"/>
    <n v="122.12"/>
    <n v="4"/>
    <x v="3281"/>
    <x v="5"/>
    <x v="2"/>
  </r>
  <r>
    <n v="45100"/>
    <x v="576"/>
    <x v="20"/>
    <x v="0"/>
    <x v="1"/>
    <s v="Avery 52"/>
    <n v="18.45"/>
    <n v="5"/>
    <x v="1570"/>
    <x v="5"/>
    <x v="2"/>
  </r>
  <r>
    <n v="45100"/>
    <x v="576"/>
    <x v="20"/>
    <x v="0"/>
    <x v="2"/>
    <s v="Fellowes Bankers Box Staxonsteel Drawer File/Stacking System"/>
    <n v="324.89999999999998"/>
    <n v="5"/>
    <x v="3282"/>
    <x v="5"/>
    <x v="2"/>
  </r>
  <r>
    <n v="45100"/>
    <x v="576"/>
    <x v="20"/>
    <x v="0"/>
    <x v="0"/>
    <s v="Tops White Computer Printout Paper"/>
    <n v="146.72999999999999"/>
    <n v="3"/>
    <x v="1142"/>
    <x v="5"/>
    <x v="2"/>
  </r>
  <r>
    <n v="45100"/>
    <x v="576"/>
    <x v="20"/>
    <x v="0"/>
    <x v="7"/>
    <s v="Translucent Push Pins by OIC"/>
    <n v="3.96"/>
    <n v="2"/>
    <x v="935"/>
    <x v="5"/>
    <x v="2"/>
  </r>
  <r>
    <n v="45100"/>
    <x v="585"/>
    <x v="20"/>
    <x v="0"/>
    <x v="14"/>
    <s v="Compact Automatic Electric Letter Opener"/>
    <n v="835.17"/>
    <n v="7"/>
    <x v="1269"/>
    <x v="5"/>
    <x v="2"/>
  </r>
  <r>
    <n v="45100"/>
    <x v="131"/>
    <x v="3"/>
    <x v="0"/>
    <x v="2"/>
    <s v="Mobile Personal File Cube"/>
    <n v="93.68"/>
    <n v="4"/>
    <x v="3283"/>
    <x v="5"/>
    <x v="2"/>
  </r>
  <r>
    <n v="45100"/>
    <x v="131"/>
    <x v="3"/>
    <x v="0"/>
    <x v="1"/>
    <s v="Avery 516"/>
    <n v="21.93"/>
    <n v="3"/>
    <x v="1848"/>
    <x v="5"/>
    <x v="2"/>
  </r>
  <r>
    <n v="45100"/>
    <x v="131"/>
    <x v="3"/>
    <x v="2"/>
    <x v="6"/>
    <s v="Nortel Meridian M3904 Professional Digital phone"/>
    <n v="862.34"/>
    <n v="7"/>
    <x v="3284"/>
    <x v="5"/>
    <x v="2"/>
  </r>
  <r>
    <n v="45100"/>
    <x v="131"/>
    <x v="3"/>
    <x v="0"/>
    <x v="0"/>
    <s v="Xerox 1884"/>
    <n v="19.98"/>
    <n v="1"/>
    <x v="364"/>
    <x v="5"/>
    <x v="2"/>
  </r>
  <r>
    <n v="45100"/>
    <x v="533"/>
    <x v="20"/>
    <x v="0"/>
    <x v="1"/>
    <s v="Avery 487"/>
    <n v="25.83"/>
    <n v="7"/>
    <x v="724"/>
    <x v="5"/>
    <x v="2"/>
  </r>
  <r>
    <n v="45101"/>
    <x v="649"/>
    <x v="3"/>
    <x v="2"/>
    <x v="6"/>
    <s v="Macally Suction Cup Mount"/>
    <n v="38.24"/>
    <n v="4"/>
    <x v="2036"/>
    <x v="5"/>
    <x v="2"/>
  </r>
  <r>
    <n v="45101"/>
    <x v="19"/>
    <x v="18"/>
    <x v="2"/>
    <x v="6"/>
    <s v="Panasonic KX TS208W Corded phone"/>
    <n v="440.91"/>
    <n v="9"/>
    <x v="3285"/>
    <x v="5"/>
    <x v="2"/>
  </r>
  <r>
    <n v="45101"/>
    <x v="526"/>
    <x v="0"/>
    <x v="0"/>
    <x v="12"/>
    <s v="Holmes HEPA Air Purifier"/>
    <n v="8.7100000000000009"/>
    <n v="2"/>
    <x v="3286"/>
    <x v="5"/>
    <x v="2"/>
  </r>
  <r>
    <n v="45101"/>
    <x v="655"/>
    <x v="3"/>
    <x v="2"/>
    <x v="15"/>
    <s v="Okidata MB760 Printer"/>
    <n v="4476.8"/>
    <n v="4"/>
    <x v="3287"/>
    <x v="5"/>
    <x v="2"/>
  </r>
  <r>
    <n v="45101"/>
    <x v="655"/>
    <x v="3"/>
    <x v="0"/>
    <x v="0"/>
    <s v="Xerox 189"/>
    <n v="104.85"/>
    <n v="1"/>
    <x v="672"/>
    <x v="5"/>
    <x v="2"/>
  </r>
  <r>
    <n v="45101"/>
    <x v="655"/>
    <x v="3"/>
    <x v="0"/>
    <x v="12"/>
    <s v="APC 7 Outlet Network SurgeArrest Surge Protector"/>
    <n v="241.44"/>
    <n v="3"/>
    <x v="1312"/>
    <x v="5"/>
    <x v="2"/>
  </r>
  <r>
    <n v="45102"/>
    <x v="161"/>
    <x v="2"/>
    <x v="1"/>
    <x v="5"/>
    <s v="Global Leather Highback Executive Chair with Pneumatic Height Adjustment, Black"/>
    <n v="422.06"/>
    <n v="3"/>
    <x v="3288"/>
    <x v="5"/>
    <x v="2"/>
  </r>
  <r>
    <n v="45102"/>
    <x v="161"/>
    <x v="2"/>
    <x v="0"/>
    <x v="3"/>
    <s v="GBC Wire Binding Strips"/>
    <n v="38.090000000000003"/>
    <n v="4"/>
    <x v="3289"/>
    <x v="5"/>
    <x v="2"/>
  </r>
  <r>
    <n v="45102"/>
    <x v="161"/>
    <x v="2"/>
    <x v="0"/>
    <x v="2"/>
    <s v="Gould Plastics 9-Pocket Panel Bin, 18-3/8w x 5-1/4d x 20-1/2h, Black"/>
    <n v="254.35"/>
    <n v="6"/>
    <x v="3290"/>
    <x v="5"/>
    <x v="2"/>
  </r>
  <r>
    <n v="45102"/>
    <x v="83"/>
    <x v="3"/>
    <x v="0"/>
    <x v="12"/>
    <s v="Fellowes Mighty 8 Compact Surge Protector"/>
    <n v="60.81"/>
    <n v="3"/>
    <x v="3291"/>
    <x v="5"/>
    <x v="2"/>
  </r>
  <r>
    <n v="45102"/>
    <x v="391"/>
    <x v="0"/>
    <x v="1"/>
    <x v="5"/>
    <s v="Global Value Mid-Back Manager's Chair, Gray"/>
    <n v="85.25"/>
    <n v="2"/>
    <x v="3292"/>
    <x v="5"/>
    <x v="2"/>
  </r>
  <r>
    <n v="45102"/>
    <x v="391"/>
    <x v="0"/>
    <x v="1"/>
    <x v="8"/>
    <s v="Eldon Executive Woodline II Cherry Finish Desk Accessories"/>
    <n v="32.71"/>
    <n v="2"/>
    <x v="3293"/>
    <x v="5"/>
    <x v="2"/>
  </r>
  <r>
    <n v="45103"/>
    <x v="130"/>
    <x v="20"/>
    <x v="0"/>
    <x v="4"/>
    <s v="Prang Colored Pencils"/>
    <n v="14.7"/>
    <n v="5"/>
    <x v="168"/>
    <x v="5"/>
    <x v="2"/>
  </r>
  <r>
    <n v="45103"/>
    <x v="130"/>
    <x v="20"/>
    <x v="0"/>
    <x v="2"/>
    <s v="Fellowes Strictly Business Drawer File, Letter/Legal Size"/>
    <n v="704.25"/>
    <n v="5"/>
    <x v="1572"/>
    <x v="5"/>
    <x v="2"/>
  </r>
  <r>
    <n v="45103"/>
    <x v="344"/>
    <x v="43"/>
    <x v="0"/>
    <x v="2"/>
    <s v="Woodgrain Magazine Files by Perma"/>
    <n v="14.9"/>
    <n v="5"/>
    <x v="2326"/>
    <x v="5"/>
    <x v="2"/>
  </r>
  <r>
    <n v="45103"/>
    <x v="314"/>
    <x v="0"/>
    <x v="2"/>
    <x v="9"/>
    <s v="Memorex Mini Travel Drive 4 GB USB 2.0 Flash Drive"/>
    <n v="13.62"/>
    <n v="2"/>
    <x v="3294"/>
    <x v="5"/>
    <x v="2"/>
  </r>
  <r>
    <n v="45103"/>
    <x v="416"/>
    <x v="3"/>
    <x v="1"/>
    <x v="8"/>
    <s v="Eldon Expressions Wood Desk Accessories, Oak"/>
    <n v="22.14"/>
    <n v="3"/>
    <x v="2630"/>
    <x v="5"/>
    <x v="2"/>
  </r>
  <r>
    <n v="45103"/>
    <x v="765"/>
    <x v="1"/>
    <x v="0"/>
    <x v="4"/>
    <s v="Newell 311"/>
    <n v="5.3"/>
    <n v="3"/>
    <x v="973"/>
    <x v="5"/>
    <x v="2"/>
  </r>
  <r>
    <n v="45103"/>
    <x v="659"/>
    <x v="14"/>
    <x v="0"/>
    <x v="0"/>
    <s v="White Dual Perf Computer Printout Paper, 2700 Sheets, 1 Part, Heavyweight, 20 lbs., 14 7/8 x 11"/>
    <n v="368.91"/>
    <n v="9"/>
    <x v="2663"/>
    <x v="5"/>
    <x v="2"/>
  </r>
  <r>
    <n v="45103"/>
    <x v="659"/>
    <x v="14"/>
    <x v="0"/>
    <x v="3"/>
    <s v="Insertable Tab Post Binder Dividers"/>
    <n v="8.02"/>
    <n v="1"/>
    <x v="949"/>
    <x v="5"/>
    <x v="2"/>
  </r>
  <r>
    <n v="45103"/>
    <x v="659"/>
    <x v="14"/>
    <x v="0"/>
    <x v="2"/>
    <s v="SAFCO Mobile Desk Side File, Wire Frame"/>
    <n v="171.04"/>
    <n v="4"/>
    <x v="3295"/>
    <x v="5"/>
    <x v="2"/>
  </r>
  <r>
    <n v="45103"/>
    <x v="512"/>
    <x v="3"/>
    <x v="0"/>
    <x v="14"/>
    <s v="Premier Electric Letter Opener"/>
    <n v="231.72"/>
    <n v="2"/>
    <x v="3296"/>
    <x v="5"/>
    <x v="2"/>
  </r>
  <r>
    <n v="45103"/>
    <x v="512"/>
    <x v="3"/>
    <x v="0"/>
    <x v="7"/>
    <s v="OIC Binder Clips"/>
    <n v="17.899999999999999"/>
    <n v="5"/>
    <x v="53"/>
    <x v="5"/>
    <x v="2"/>
  </r>
  <r>
    <n v="45103"/>
    <x v="512"/>
    <x v="3"/>
    <x v="0"/>
    <x v="0"/>
    <s v="Ampad Phone Message Book, Recycled, 400 Message Capacity, 5 Â¾Â” x 11Â”"/>
    <n v="12.48"/>
    <n v="2"/>
    <x v="3297"/>
    <x v="5"/>
    <x v="2"/>
  </r>
  <r>
    <n v="45103"/>
    <x v="379"/>
    <x v="20"/>
    <x v="2"/>
    <x v="9"/>
    <s v="AmazonBasics 3-Button USB Wired Mouse"/>
    <n v="20.97"/>
    <n v="3"/>
    <x v="3298"/>
    <x v="5"/>
    <x v="2"/>
  </r>
  <r>
    <n v="45103"/>
    <x v="379"/>
    <x v="20"/>
    <x v="2"/>
    <x v="9"/>
    <s v="Perixx PERIBOARD-512B, Ergonomic Split Keyboard"/>
    <n v="139.96"/>
    <n v="4"/>
    <x v="1861"/>
    <x v="5"/>
    <x v="2"/>
  </r>
  <r>
    <n v="45103"/>
    <x v="379"/>
    <x v="20"/>
    <x v="1"/>
    <x v="8"/>
    <s v="DAX Executive Solid Wood Document Frame, Desktop or Hang, Mahogany, 5 x 7"/>
    <n v="37.74"/>
    <n v="3"/>
    <x v="3299"/>
    <x v="5"/>
    <x v="2"/>
  </r>
  <r>
    <n v="45103"/>
    <x v="766"/>
    <x v="4"/>
    <x v="2"/>
    <x v="6"/>
    <s v="Cisco IPÂ PhoneÂ 7961G VoIPÂ phoneÂ - Dark gray"/>
    <n v="135.94999999999999"/>
    <n v="1"/>
    <x v="3300"/>
    <x v="5"/>
    <x v="2"/>
  </r>
  <r>
    <n v="45104"/>
    <x v="121"/>
    <x v="1"/>
    <x v="0"/>
    <x v="0"/>
    <s v="Wirebound Message Books, Four 2 3/4 x 5 White Forms per Page"/>
    <n v="37.46"/>
    <n v="7"/>
    <x v="3072"/>
    <x v="5"/>
    <x v="2"/>
  </r>
  <r>
    <n v="45104"/>
    <x v="121"/>
    <x v="1"/>
    <x v="1"/>
    <x v="5"/>
    <s v="Global Commerce Series Low-Back Swivel/Tilt Chairs"/>
    <n v="539.66"/>
    <n v="3"/>
    <x v="3301"/>
    <x v="5"/>
    <x v="2"/>
  </r>
  <r>
    <n v="45104"/>
    <x v="461"/>
    <x v="3"/>
    <x v="2"/>
    <x v="6"/>
    <s v="Ooma Telo VoIP Home Phone System"/>
    <n v="201.58"/>
    <n v="2"/>
    <x v="3302"/>
    <x v="5"/>
    <x v="2"/>
  </r>
  <r>
    <n v="45105"/>
    <x v="334"/>
    <x v="1"/>
    <x v="2"/>
    <x v="6"/>
    <s v="Polycom CX300 Desktop Phone USB VoIP phone"/>
    <n v="359.98"/>
    <n v="3"/>
    <x v="1586"/>
    <x v="5"/>
    <x v="2"/>
  </r>
  <r>
    <n v="45105"/>
    <x v="10"/>
    <x v="3"/>
    <x v="0"/>
    <x v="3"/>
    <s v="Recycled Pressboard Report Cover with Reinforced Top Hinge"/>
    <n v="7.75"/>
    <n v="3"/>
    <x v="1120"/>
    <x v="5"/>
    <x v="2"/>
  </r>
  <r>
    <n v="45105"/>
    <x v="10"/>
    <x v="3"/>
    <x v="0"/>
    <x v="3"/>
    <s v="GBC Premium Transparent Covers with Diagonal Lined Pattern"/>
    <n v="33.57"/>
    <n v="2"/>
    <x v="3217"/>
    <x v="5"/>
    <x v="2"/>
  </r>
  <r>
    <n v="45105"/>
    <x v="652"/>
    <x v="23"/>
    <x v="1"/>
    <x v="5"/>
    <s v="Global Armless Task Chair, Royal Blue"/>
    <n v="121.96"/>
    <n v="2"/>
    <x v="2660"/>
    <x v="5"/>
    <x v="2"/>
  </r>
  <r>
    <n v="45105"/>
    <x v="652"/>
    <x v="23"/>
    <x v="0"/>
    <x v="12"/>
    <s v="Disposable Triple-Filter Dust Bags"/>
    <n v="8.74"/>
    <n v="2"/>
    <x v="2477"/>
    <x v="5"/>
    <x v="2"/>
  </r>
  <r>
    <n v="45105"/>
    <x v="652"/>
    <x v="23"/>
    <x v="0"/>
    <x v="0"/>
    <s v="Xerox 1960"/>
    <n v="61.96"/>
    <n v="2"/>
    <x v="1141"/>
    <x v="5"/>
    <x v="2"/>
  </r>
  <r>
    <n v="45105"/>
    <x v="652"/>
    <x v="23"/>
    <x v="0"/>
    <x v="3"/>
    <s v="Ibico Presentation Index for Binding Systems"/>
    <n v="7.96"/>
    <n v="2"/>
    <x v="1048"/>
    <x v="5"/>
    <x v="2"/>
  </r>
  <r>
    <n v="45105"/>
    <x v="652"/>
    <x v="23"/>
    <x v="0"/>
    <x v="12"/>
    <s v="Holmes Replacement Filter for HEPA Air Cleaner, Very Large Room, HEPA Filter"/>
    <n v="275.24"/>
    <n v="4"/>
    <x v="3303"/>
    <x v="5"/>
    <x v="2"/>
  </r>
  <r>
    <n v="45106"/>
    <x v="261"/>
    <x v="9"/>
    <x v="0"/>
    <x v="2"/>
    <s v="Fellowes Bankers Box Stor/Drawer Steel Plus"/>
    <n v="191.88"/>
    <n v="6"/>
    <x v="1557"/>
    <x v="5"/>
    <x v="2"/>
  </r>
  <r>
    <n v="45107"/>
    <x v="413"/>
    <x v="4"/>
    <x v="0"/>
    <x v="4"/>
    <s v="Bulldog Vacuum Base Pencil Sharpener"/>
    <n v="35.97"/>
    <n v="3"/>
    <x v="2320"/>
    <x v="5"/>
    <x v="2"/>
  </r>
  <r>
    <n v="45107"/>
    <x v="413"/>
    <x v="4"/>
    <x v="1"/>
    <x v="11"/>
    <s v="O'Sullivan 2-Door Barrister Bookcase in Odessa Pine"/>
    <n v="1266.8599999999999"/>
    <n v="7"/>
    <x v="3304"/>
    <x v="5"/>
    <x v="2"/>
  </r>
  <r>
    <n v="45107"/>
    <x v="303"/>
    <x v="1"/>
    <x v="2"/>
    <x v="9"/>
    <s v="Kingston Digital DataTraveler 16GB USB 2.0"/>
    <n v="50.12"/>
    <n v="7"/>
    <x v="1783"/>
    <x v="5"/>
    <x v="2"/>
  </r>
  <r>
    <n v="45108"/>
    <x v="705"/>
    <x v="9"/>
    <x v="0"/>
    <x v="3"/>
    <s v="Wilson Jones Hanging View Binder, White, 1&quot;"/>
    <n v="14.2"/>
    <n v="2"/>
    <x v="3189"/>
    <x v="6"/>
    <x v="2"/>
  </r>
  <r>
    <n v="45108"/>
    <x v="705"/>
    <x v="9"/>
    <x v="0"/>
    <x v="0"/>
    <s v="Xerox 210"/>
    <n v="12.96"/>
    <n v="2"/>
    <x v="113"/>
    <x v="6"/>
    <x v="2"/>
  </r>
  <r>
    <n v="45108"/>
    <x v="705"/>
    <x v="9"/>
    <x v="0"/>
    <x v="3"/>
    <s v="Binding Machine Supplies"/>
    <n v="58.34"/>
    <n v="2"/>
    <x v="3305"/>
    <x v="6"/>
    <x v="2"/>
  </r>
  <r>
    <n v="45108"/>
    <x v="306"/>
    <x v="27"/>
    <x v="2"/>
    <x v="16"/>
    <s v="Hewlett Packard 310 Color Digital Copier"/>
    <n v="1499.95"/>
    <n v="5"/>
    <x v="2739"/>
    <x v="6"/>
    <x v="2"/>
  </r>
  <r>
    <n v="45108"/>
    <x v="720"/>
    <x v="20"/>
    <x v="0"/>
    <x v="1"/>
    <s v="Avery 477"/>
    <n v="30.53"/>
    <n v="1"/>
    <x v="3306"/>
    <x v="6"/>
    <x v="2"/>
  </r>
  <r>
    <n v="45108"/>
    <x v="720"/>
    <x v="20"/>
    <x v="2"/>
    <x v="9"/>
    <s v="KeyTronicÂ KT400U2 -Â KeyboardÂ - Black"/>
    <n v="30.84"/>
    <n v="3"/>
    <x v="2459"/>
    <x v="6"/>
    <x v="2"/>
  </r>
  <r>
    <n v="45108"/>
    <x v="720"/>
    <x v="20"/>
    <x v="0"/>
    <x v="0"/>
    <s v="Southworth 25% Cotton Antique Laid Paper &amp; Envelopes"/>
    <n v="75.06"/>
    <n v="9"/>
    <x v="3307"/>
    <x v="6"/>
    <x v="2"/>
  </r>
  <r>
    <n v="45108"/>
    <x v="327"/>
    <x v="22"/>
    <x v="0"/>
    <x v="3"/>
    <s v="Zipper Ring Binder Pockets"/>
    <n v="2.5"/>
    <n v="1"/>
    <x v="1191"/>
    <x v="6"/>
    <x v="2"/>
  </r>
  <r>
    <n v="45109"/>
    <x v="169"/>
    <x v="3"/>
    <x v="1"/>
    <x v="5"/>
    <s v="Hon Deluxe Fabric Upholstered Stacking Chairs"/>
    <n v="195.18"/>
    <n v="1"/>
    <x v="3308"/>
    <x v="6"/>
    <x v="2"/>
  </r>
  <r>
    <n v="45109"/>
    <x v="175"/>
    <x v="6"/>
    <x v="0"/>
    <x v="4"/>
    <s v="Avery Hi-Liter Pen Style Six-Color Fluorescent Set"/>
    <n v="7.7"/>
    <n v="2"/>
    <x v="673"/>
    <x v="6"/>
    <x v="2"/>
  </r>
  <r>
    <n v="45109"/>
    <x v="400"/>
    <x v="0"/>
    <x v="1"/>
    <x v="5"/>
    <s v="Global Airflow Leather Mesh Back Chair, Black"/>
    <n v="528.42999999999995"/>
    <n v="5"/>
    <x v="62"/>
    <x v="6"/>
    <x v="2"/>
  </r>
  <r>
    <n v="45109"/>
    <x v="400"/>
    <x v="0"/>
    <x v="0"/>
    <x v="0"/>
    <s v="Xerox 201"/>
    <n v="41.47"/>
    <n v="8"/>
    <x v="598"/>
    <x v="6"/>
    <x v="2"/>
  </r>
  <r>
    <n v="45110"/>
    <x v="606"/>
    <x v="3"/>
    <x v="0"/>
    <x v="0"/>
    <s v="Xerox 200"/>
    <n v="12.96"/>
    <n v="2"/>
    <x v="113"/>
    <x v="6"/>
    <x v="2"/>
  </r>
  <r>
    <n v="45110"/>
    <x v="606"/>
    <x v="3"/>
    <x v="0"/>
    <x v="7"/>
    <s v="Brites Rubber Bands, 1 1/2 oz. Box"/>
    <n v="3.96"/>
    <n v="2"/>
    <x v="3309"/>
    <x v="6"/>
    <x v="2"/>
  </r>
  <r>
    <n v="45110"/>
    <x v="78"/>
    <x v="20"/>
    <x v="0"/>
    <x v="12"/>
    <s v="Avanti 1.7 Cu. Ft. Refrigerator"/>
    <n v="706.86"/>
    <n v="7"/>
    <x v="3310"/>
    <x v="6"/>
    <x v="2"/>
  </r>
  <r>
    <n v="45110"/>
    <x v="76"/>
    <x v="2"/>
    <x v="0"/>
    <x v="0"/>
    <s v="Xerox 1925"/>
    <n v="123.92"/>
    <n v="5"/>
    <x v="3311"/>
    <x v="6"/>
    <x v="2"/>
  </r>
  <r>
    <n v="45111"/>
    <x v="266"/>
    <x v="3"/>
    <x v="1"/>
    <x v="8"/>
    <s v="Master Caster Door Stop, Brown"/>
    <n v="25.4"/>
    <n v="5"/>
    <x v="3030"/>
    <x v="6"/>
    <x v="2"/>
  </r>
  <r>
    <n v="45111"/>
    <x v="266"/>
    <x v="3"/>
    <x v="0"/>
    <x v="10"/>
    <s v="Inter-Office Recycled Envelopes, Brown Kraft, Button-String,10&quot; x 13&quot; , 100/Box"/>
    <n v="43.96"/>
    <n v="2"/>
    <x v="3312"/>
    <x v="6"/>
    <x v="2"/>
  </r>
  <r>
    <n v="45111"/>
    <x v="266"/>
    <x v="3"/>
    <x v="1"/>
    <x v="11"/>
    <s v="Atlantic Metals Mobile 5-Shelf Bookcases, Custom Colors"/>
    <n v="1279.17"/>
    <n v="5"/>
    <x v="3313"/>
    <x v="6"/>
    <x v="2"/>
  </r>
  <r>
    <n v="45111"/>
    <x v="266"/>
    <x v="3"/>
    <x v="0"/>
    <x v="2"/>
    <s v="Eldon Shelf Savers Cubes and Bins"/>
    <n v="27.92"/>
    <n v="4"/>
    <x v="1759"/>
    <x v="6"/>
    <x v="2"/>
  </r>
  <r>
    <n v="45111"/>
    <x v="81"/>
    <x v="22"/>
    <x v="1"/>
    <x v="8"/>
    <s v="Master Caster Door Stop, Brown"/>
    <n v="25.4"/>
    <n v="5"/>
    <x v="3030"/>
    <x v="6"/>
    <x v="2"/>
  </r>
  <r>
    <n v="45111"/>
    <x v="81"/>
    <x v="22"/>
    <x v="2"/>
    <x v="6"/>
    <s v="Avaya 4621SW VoIP phone"/>
    <n v="177.48"/>
    <n v="3"/>
    <x v="613"/>
    <x v="6"/>
    <x v="2"/>
  </r>
  <r>
    <n v="45111"/>
    <x v="81"/>
    <x v="22"/>
    <x v="2"/>
    <x v="6"/>
    <s v="OtterBox Defender Series Case - Samsung Galaxy S4"/>
    <n v="71.98"/>
    <n v="3"/>
    <x v="246"/>
    <x v="6"/>
    <x v="2"/>
  </r>
  <r>
    <n v="45114"/>
    <x v="571"/>
    <x v="16"/>
    <x v="0"/>
    <x v="14"/>
    <s v="Acme Softgrip Scissors"/>
    <n v="45.58"/>
    <n v="7"/>
    <x v="3229"/>
    <x v="6"/>
    <x v="2"/>
  </r>
  <r>
    <n v="45114"/>
    <x v="195"/>
    <x v="3"/>
    <x v="1"/>
    <x v="8"/>
    <s v="Howard Miller 11-1/2&quot; Diameter Grantwood Wall Clock"/>
    <n v="215.65"/>
    <n v="5"/>
    <x v="3314"/>
    <x v="6"/>
    <x v="2"/>
  </r>
  <r>
    <n v="45114"/>
    <x v="45"/>
    <x v="1"/>
    <x v="1"/>
    <x v="8"/>
    <s v="Flat Face Poster Frame"/>
    <n v="60.29"/>
    <n v="8"/>
    <x v="3315"/>
    <x v="6"/>
    <x v="2"/>
  </r>
  <r>
    <n v="45114"/>
    <x v="45"/>
    <x v="1"/>
    <x v="0"/>
    <x v="7"/>
    <s v="Acco Hot Clips Clips to Go"/>
    <n v="2.63"/>
    <n v="1"/>
    <x v="595"/>
    <x v="6"/>
    <x v="2"/>
  </r>
  <r>
    <n v="45114"/>
    <x v="45"/>
    <x v="1"/>
    <x v="0"/>
    <x v="0"/>
    <s v="Tops Wirebound Message Log Books"/>
    <n v="23.69"/>
    <n v="9"/>
    <x v="472"/>
    <x v="6"/>
    <x v="2"/>
  </r>
  <r>
    <n v="45114"/>
    <x v="45"/>
    <x v="1"/>
    <x v="1"/>
    <x v="5"/>
    <s v="Global Ergonomic Managers Chair"/>
    <n v="253.37"/>
    <n v="2"/>
    <x v="1387"/>
    <x v="6"/>
    <x v="2"/>
  </r>
  <r>
    <n v="45114"/>
    <x v="757"/>
    <x v="3"/>
    <x v="1"/>
    <x v="5"/>
    <s v="Global Leather Task Chair, Black"/>
    <n v="287.97000000000003"/>
    <n v="4"/>
    <x v="3114"/>
    <x v="6"/>
    <x v="2"/>
  </r>
  <r>
    <n v="45114"/>
    <x v="757"/>
    <x v="3"/>
    <x v="2"/>
    <x v="16"/>
    <s v="Canon PC1060 Personal Laser Copier"/>
    <n v="2799.96"/>
    <n v="5"/>
    <x v="3316"/>
    <x v="6"/>
    <x v="2"/>
  </r>
  <r>
    <n v="45114"/>
    <x v="757"/>
    <x v="3"/>
    <x v="0"/>
    <x v="0"/>
    <s v="Xerox 1942"/>
    <n v="48.94"/>
    <n v="1"/>
    <x v="943"/>
    <x v="6"/>
    <x v="2"/>
  </r>
  <r>
    <n v="45114"/>
    <x v="570"/>
    <x v="2"/>
    <x v="0"/>
    <x v="1"/>
    <s v="Permanent Self-Adhesive File Folder Labels for Typewriters, 1 1/8 x 3 1/2, White"/>
    <n v="10.08"/>
    <n v="2"/>
    <x v="649"/>
    <x v="6"/>
    <x v="2"/>
  </r>
  <r>
    <n v="45114"/>
    <x v="570"/>
    <x v="2"/>
    <x v="2"/>
    <x v="6"/>
    <s v="Panasonic KX T7731-B Digital phone"/>
    <n v="59.99"/>
    <n v="1"/>
    <x v="1286"/>
    <x v="6"/>
    <x v="2"/>
  </r>
  <r>
    <n v="45114"/>
    <x v="570"/>
    <x v="2"/>
    <x v="0"/>
    <x v="3"/>
    <s v="Acco Pressboard Covers with Storage Hooks, 14 7/8&quot; x 11&quot;, Executive Red"/>
    <n v="5.72"/>
    <n v="5"/>
    <x v="3317"/>
    <x v="6"/>
    <x v="2"/>
  </r>
  <r>
    <n v="45114"/>
    <x v="570"/>
    <x v="2"/>
    <x v="0"/>
    <x v="3"/>
    <s v="GBC Standard Plastic Binding Systems' Combs"/>
    <n v="9.42"/>
    <n v="5"/>
    <x v="3318"/>
    <x v="6"/>
    <x v="2"/>
  </r>
  <r>
    <n v="45114"/>
    <x v="655"/>
    <x v="27"/>
    <x v="0"/>
    <x v="0"/>
    <s v="Xerox 226"/>
    <n v="12.96"/>
    <n v="2"/>
    <x v="113"/>
    <x v="6"/>
    <x v="2"/>
  </r>
  <r>
    <n v="45114"/>
    <x v="655"/>
    <x v="27"/>
    <x v="0"/>
    <x v="4"/>
    <s v="Boston KS Multi-Size Manual Pencil Sharpener"/>
    <n v="45.98"/>
    <n v="2"/>
    <x v="749"/>
    <x v="6"/>
    <x v="2"/>
  </r>
  <r>
    <n v="45115"/>
    <x v="759"/>
    <x v="0"/>
    <x v="2"/>
    <x v="6"/>
    <s v="Cisco SPA 502G IP Phone"/>
    <n v="863.64"/>
    <n v="9"/>
    <x v="3319"/>
    <x v="6"/>
    <x v="2"/>
  </r>
  <r>
    <n v="45115"/>
    <x v="759"/>
    <x v="0"/>
    <x v="0"/>
    <x v="4"/>
    <s v="Newell 345"/>
    <n v="47.62"/>
    <n v="3"/>
    <x v="3294"/>
    <x v="6"/>
    <x v="2"/>
  </r>
  <r>
    <n v="45115"/>
    <x v="364"/>
    <x v="26"/>
    <x v="0"/>
    <x v="3"/>
    <s v="GBC Twin Loop Wire Binding Elements"/>
    <n v="19.97"/>
    <n v="2"/>
    <x v="3320"/>
    <x v="6"/>
    <x v="2"/>
  </r>
  <r>
    <n v="45115"/>
    <x v="364"/>
    <x v="26"/>
    <x v="0"/>
    <x v="2"/>
    <s v="Perma STOR-ALL Hanging File Box, 13 1/8&quot;W x 12 1/4&quot;D x 10 1/2&quot;H"/>
    <n v="33.49"/>
    <n v="7"/>
    <x v="1464"/>
    <x v="6"/>
    <x v="2"/>
  </r>
  <r>
    <n v="45115"/>
    <x v="364"/>
    <x v="26"/>
    <x v="0"/>
    <x v="3"/>
    <s v="Wilson Jones Active Use Binders"/>
    <n v="8.74"/>
    <n v="4"/>
    <x v="2259"/>
    <x v="6"/>
    <x v="2"/>
  </r>
  <r>
    <n v="45115"/>
    <x v="364"/>
    <x v="26"/>
    <x v="1"/>
    <x v="5"/>
    <s v="SAFCO Arco Folding Chair"/>
    <n v="662.88"/>
    <n v="3"/>
    <x v="1510"/>
    <x v="6"/>
    <x v="2"/>
  </r>
  <r>
    <n v="45115"/>
    <x v="393"/>
    <x v="22"/>
    <x v="2"/>
    <x v="6"/>
    <s v="Logitech Mobile Speakerphone P710e -Â speaker phone"/>
    <n v="107.98"/>
    <n v="1"/>
    <x v="3321"/>
    <x v="6"/>
    <x v="2"/>
  </r>
  <r>
    <n v="45115"/>
    <x v="393"/>
    <x v="22"/>
    <x v="0"/>
    <x v="3"/>
    <s v="Fellowes Twister Kit, Gray/Clear, 3/pkg"/>
    <n v="19.3"/>
    <n v="3"/>
    <x v="1175"/>
    <x v="6"/>
    <x v="2"/>
  </r>
  <r>
    <n v="45115"/>
    <x v="368"/>
    <x v="16"/>
    <x v="2"/>
    <x v="6"/>
    <s v="Jabra SPEAK 410 Multidevice Speakerphone"/>
    <n v="823.96"/>
    <n v="5"/>
    <x v="3322"/>
    <x v="6"/>
    <x v="2"/>
  </r>
  <r>
    <n v="45115"/>
    <x v="368"/>
    <x v="16"/>
    <x v="0"/>
    <x v="0"/>
    <s v="Xerox 1921"/>
    <n v="15.98"/>
    <n v="2"/>
    <x v="3323"/>
    <x v="6"/>
    <x v="2"/>
  </r>
  <r>
    <n v="45115"/>
    <x v="424"/>
    <x v="43"/>
    <x v="0"/>
    <x v="0"/>
    <s v="Xerox 213"/>
    <n v="12.96"/>
    <n v="2"/>
    <x v="113"/>
    <x v="6"/>
    <x v="2"/>
  </r>
  <r>
    <n v="45116"/>
    <x v="104"/>
    <x v="20"/>
    <x v="1"/>
    <x v="5"/>
    <s v="Hon GuestStacker Chair"/>
    <n v="408.01"/>
    <n v="2"/>
    <x v="3324"/>
    <x v="6"/>
    <x v="2"/>
  </r>
  <r>
    <n v="45116"/>
    <x v="104"/>
    <x v="20"/>
    <x v="1"/>
    <x v="8"/>
    <s v="Deflect-o EconoMat Studded, No Bevel Mat for Low Pile Carpeting"/>
    <n v="165.28"/>
    <n v="4"/>
    <x v="3325"/>
    <x v="6"/>
    <x v="2"/>
  </r>
  <r>
    <n v="45117"/>
    <x v="158"/>
    <x v="12"/>
    <x v="0"/>
    <x v="2"/>
    <s v="Sterilite Officeware Hinged File Box"/>
    <n v="16.77"/>
    <n v="2"/>
    <x v="935"/>
    <x v="6"/>
    <x v="2"/>
  </r>
  <r>
    <n v="45117"/>
    <x v="564"/>
    <x v="0"/>
    <x v="0"/>
    <x v="2"/>
    <s v="Fellowes Strictly Business Drawer File, Letter/Legal Size"/>
    <n v="338.04"/>
    <n v="3"/>
    <x v="3326"/>
    <x v="6"/>
    <x v="2"/>
  </r>
  <r>
    <n v="45117"/>
    <x v="564"/>
    <x v="0"/>
    <x v="0"/>
    <x v="4"/>
    <s v="Boston Heavy-Duty Trimline Electric Pencil Sharpeners"/>
    <n v="154.24"/>
    <n v="4"/>
    <x v="816"/>
    <x v="6"/>
    <x v="2"/>
  </r>
  <r>
    <n v="45117"/>
    <x v="327"/>
    <x v="12"/>
    <x v="0"/>
    <x v="3"/>
    <s v="GBC Standard Therm-A-Bind Covers"/>
    <n v="44.86"/>
    <n v="6"/>
    <x v="3327"/>
    <x v="6"/>
    <x v="2"/>
  </r>
  <r>
    <n v="45117"/>
    <x v="400"/>
    <x v="2"/>
    <x v="2"/>
    <x v="15"/>
    <s v="Brother MFC-9340CDW LED All-In-One Printer, Copier Scanner"/>
    <n v="341.99"/>
    <n v="3"/>
    <x v="3328"/>
    <x v="6"/>
    <x v="2"/>
  </r>
  <r>
    <n v="45119"/>
    <x v="94"/>
    <x v="3"/>
    <x v="2"/>
    <x v="6"/>
    <s v="Cisco SPA525G2 IP Phone - Wireless"/>
    <n v="95.76"/>
    <n v="6"/>
    <x v="3329"/>
    <x v="6"/>
    <x v="2"/>
  </r>
  <r>
    <n v="45121"/>
    <x v="442"/>
    <x v="12"/>
    <x v="2"/>
    <x v="6"/>
    <s v="LG Electronics Tone+ HBS-730 Bluetooth Headset"/>
    <n v="380.86"/>
    <n v="8"/>
    <x v="3330"/>
    <x v="6"/>
    <x v="2"/>
  </r>
  <r>
    <n v="45121"/>
    <x v="633"/>
    <x v="2"/>
    <x v="0"/>
    <x v="14"/>
    <s v="Acme Stainless Steel Office Snips"/>
    <n v="11.63"/>
    <n v="2"/>
    <x v="2708"/>
    <x v="6"/>
    <x v="2"/>
  </r>
  <r>
    <n v="45121"/>
    <x v="490"/>
    <x v="20"/>
    <x v="0"/>
    <x v="2"/>
    <s v="Personal Folder Holder, Ebony"/>
    <n v="11.21"/>
    <n v="1"/>
    <x v="1220"/>
    <x v="6"/>
    <x v="2"/>
  </r>
  <r>
    <n v="45121"/>
    <x v="490"/>
    <x v="20"/>
    <x v="0"/>
    <x v="3"/>
    <s v="Acco Hanging Data Binders"/>
    <n v="9.14"/>
    <n v="3"/>
    <x v="1161"/>
    <x v="6"/>
    <x v="2"/>
  </r>
  <r>
    <n v="45121"/>
    <x v="490"/>
    <x v="20"/>
    <x v="0"/>
    <x v="7"/>
    <s v="Ideal Clamps"/>
    <n v="14.07"/>
    <n v="7"/>
    <x v="309"/>
    <x v="6"/>
    <x v="2"/>
  </r>
  <r>
    <n v="45121"/>
    <x v="490"/>
    <x v="20"/>
    <x v="0"/>
    <x v="4"/>
    <s v="Newell 315"/>
    <n v="41.86"/>
    <n v="7"/>
    <x v="274"/>
    <x v="6"/>
    <x v="2"/>
  </r>
  <r>
    <n v="45121"/>
    <x v="490"/>
    <x v="20"/>
    <x v="0"/>
    <x v="3"/>
    <s v="Pressboard Data Binders by Wilson Jones"/>
    <n v="8.5399999999999991"/>
    <n v="2"/>
    <x v="245"/>
    <x v="6"/>
    <x v="2"/>
  </r>
  <r>
    <n v="45121"/>
    <x v="490"/>
    <x v="20"/>
    <x v="1"/>
    <x v="11"/>
    <s v="O'Sullivan 2-Door Barrister Bookcase in Odessa Pine"/>
    <n v="579.14"/>
    <n v="4"/>
    <x v="3331"/>
    <x v="6"/>
    <x v="2"/>
  </r>
  <r>
    <n v="45121"/>
    <x v="240"/>
    <x v="0"/>
    <x v="2"/>
    <x v="6"/>
    <s v="Blue Parrot B250XT Professional Grade Wireless BluetoothÂ HeadsetÂ with"/>
    <n v="419.94"/>
    <n v="7"/>
    <x v="428"/>
    <x v="6"/>
    <x v="2"/>
  </r>
  <r>
    <n v="45121"/>
    <x v="696"/>
    <x v="20"/>
    <x v="0"/>
    <x v="3"/>
    <s v="GBC Standard Plastic Binding Systems Combs"/>
    <n v="14.16"/>
    <n v="2"/>
    <x v="3229"/>
    <x v="6"/>
    <x v="2"/>
  </r>
  <r>
    <n v="45121"/>
    <x v="663"/>
    <x v="33"/>
    <x v="2"/>
    <x v="9"/>
    <s v="HP Standard 104 key PS/2 Keyboard"/>
    <n v="29"/>
    <n v="2"/>
    <x v="1332"/>
    <x v="6"/>
    <x v="2"/>
  </r>
  <r>
    <n v="45121"/>
    <x v="238"/>
    <x v="20"/>
    <x v="0"/>
    <x v="7"/>
    <s v="Acco Hot Clips Clips to Go"/>
    <n v="29.61"/>
    <n v="9"/>
    <x v="1260"/>
    <x v="6"/>
    <x v="2"/>
  </r>
  <r>
    <n v="45121"/>
    <x v="143"/>
    <x v="0"/>
    <x v="0"/>
    <x v="0"/>
    <s v="Xerox 1914"/>
    <n v="219.84"/>
    <n v="5"/>
    <x v="3332"/>
    <x v="6"/>
    <x v="2"/>
  </r>
  <r>
    <n v="45121"/>
    <x v="767"/>
    <x v="4"/>
    <x v="0"/>
    <x v="3"/>
    <s v="Cardinal Holdit Data Disk Pockets"/>
    <n v="36.4"/>
    <n v="5"/>
    <x v="3333"/>
    <x v="6"/>
    <x v="2"/>
  </r>
  <r>
    <n v="45121"/>
    <x v="767"/>
    <x v="4"/>
    <x v="1"/>
    <x v="8"/>
    <s v="Howard Miller 13-3/4&quot; Diameter Brushed Chrome Round Wall Clock"/>
    <n v="51.75"/>
    <n v="1"/>
    <x v="1030"/>
    <x v="6"/>
    <x v="2"/>
  </r>
  <r>
    <n v="45121"/>
    <x v="745"/>
    <x v="3"/>
    <x v="2"/>
    <x v="6"/>
    <s v="Panasonic Kx-TS550"/>
    <n v="110.38"/>
    <n v="3"/>
    <x v="3334"/>
    <x v="6"/>
    <x v="2"/>
  </r>
  <r>
    <n v="45121"/>
    <x v="745"/>
    <x v="3"/>
    <x v="0"/>
    <x v="12"/>
    <s v="Holmes 99% HEPA Air Purifier"/>
    <n v="151.62"/>
    <n v="7"/>
    <x v="3335"/>
    <x v="6"/>
    <x v="2"/>
  </r>
  <r>
    <n v="45121"/>
    <x v="745"/>
    <x v="3"/>
    <x v="1"/>
    <x v="8"/>
    <s v="Deflect-O Glasstique Clear Desk Accessories"/>
    <n v="30.8"/>
    <n v="4"/>
    <x v="3336"/>
    <x v="6"/>
    <x v="2"/>
  </r>
  <r>
    <n v="45122"/>
    <x v="511"/>
    <x v="27"/>
    <x v="0"/>
    <x v="14"/>
    <s v="Fiskars Home &amp; Office Scissors"/>
    <n v="44.4"/>
    <n v="5"/>
    <x v="3337"/>
    <x v="6"/>
    <x v="2"/>
  </r>
  <r>
    <n v="45122"/>
    <x v="231"/>
    <x v="11"/>
    <x v="1"/>
    <x v="5"/>
    <s v="Bevis Steel Folding Chairs"/>
    <n v="230.28"/>
    <n v="3"/>
    <x v="361"/>
    <x v="6"/>
    <x v="2"/>
  </r>
  <r>
    <n v="45122"/>
    <x v="231"/>
    <x v="11"/>
    <x v="0"/>
    <x v="0"/>
    <s v="Xerox 1909"/>
    <n v="105.52"/>
    <n v="5"/>
    <x v="3338"/>
    <x v="6"/>
    <x v="2"/>
  </r>
  <r>
    <n v="45123"/>
    <x v="450"/>
    <x v="0"/>
    <x v="0"/>
    <x v="2"/>
    <s v="Personal Filing Tote with Lid, Black/Gray"/>
    <n v="37.22"/>
    <n v="3"/>
    <x v="239"/>
    <x v="6"/>
    <x v="2"/>
  </r>
  <r>
    <n v="45123"/>
    <x v="450"/>
    <x v="0"/>
    <x v="0"/>
    <x v="0"/>
    <s v="Southworth 25% Cotton Antique Laid Paper &amp; Envelopes"/>
    <n v="20.02"/>
    <n v="3"/>
    <x v="963"/>
    <x v="6"/>
    <x v="2"/>
  </r>
  <r>
    <n v="45123"/>
    <x v="74"/>
    <x v="2"/>
    <x v="2"/>
    <x v="6"/>
    <s v="Mophie Juice Pack Helium for iPhone"/>
    <n v="143.97999999999999"/>
    <n v="3"/>
    <x v="3339"/>
    <x v="6"/>
    <x v="2"/>
  </r>
  <r>
    <n v="45123"/>
    <x v="74"/>
    <x v="2"/>
    <x v="2"/>
    <x v="6"/>
    <s v="GE 2-Jack Phone Line Splitter"/>
    <n v="494.38"/>
    <n v="4"/>
    <x v="3340"/>
    <x v="6"/>
    <x v="2"/>
  </r>
  <r>
    <n v="45123"/>
    <x v="74"/>
    <x v="2"/>
    <x v="0"/>
    <x v="14"/>
    <s v="Acme Value Line Scissors"/>
    <n v="5.84"/>
    <n v="2"/>
    <x v="1881"/>
    <x v="6"/>
    <x v="2"/>
  </r>
  <r>
    <n v="45123"/>
    <x v="231"/>
    <x v="0"/>
    <x v="1"/>
    <x v="8"/>
    <s v="Staple-based wall hangings"/>
    <n v="9.5500000000000007"/>
    <n v="3"/>
    <x v="2651"/>
    <x v="6"/>
    <x v="2"/>
  </r>
  <r>
    <n v="45123"/>
    <x v="104"/>
    <x v="9"/>
    <x v="0"/>
    <x v="10"/>
    <s v="Poly String Tie Envelopes"/>
    <n v="10.199999999999999"/>
    <n v="5"/>
    <x v="546"/>
    <x v="6"/>
    <x v="2"/>
  </r>
  <r>
    <n v="45123"/>
    <x v="104"/>
    <x v="9"/>
    <x v="0"/>
    <x v="4"/>
    <s v="Eberhard Faber 3 1/2&quot; Golf Pencils"/>
    <n v="22.32"/>
    <n v="3"/>
    <x v="276"/>
    <x v="6"/>
    <x v="2"/>
  </r>
  <r>
    <n v="45123"/>
    <x v="104"/>
    <x v="9"/>
    <x v="0"/>
    <x v="3"/>
    <s v="Wilson Jones Turn Tabs Binder Tool for Ring Binders"/>
    <n v="24.1"/>
    <n v="5"/>
    <x v="1890"/>
    <x v="6"/>
    <x v="2"/>
  </r>
  <r>
    <n v="45123"/>
    <x v="104"/>
    <x v="9"/>
    <x v="2"/>
    <x v="9"/>
    <s v="ImationÂ SecureÂ DriveÂ + Hardware Encrypted USBÂ flash driveÂ - 16 GB"/>
    <n v="75.98"/>
    <n v="2"/>
    <x v="2947"/>
    <x v="6"/>
    <x v="2"/>
  </r>
  <r>
    <n v="45123"/>
    <x v="104"/>
    <x v="9"/>
    <x v="0"/>
    <x v="3"/>
    <s v="Recycled Pressboard Report Cover with Reinforced Top Hinge"/>
    <n v="6.46"/>
    <n v="2"/>
    <x v="3341"/>
    <x v="6"/>
    <x v="2"/>
  </r>
  <r>
    <n v="45123"/>
    <x v="104"/>
    <x v="9"/>
    <x v="0"/>
    <x v="0"/>
    <s v="HP Office Paper (20Lb. and 87 Bright)"/>
    <n v="60.12"/>
    <n v="9"/>
    <x v="2345"/>
    <x v="6"/>
    <x v="2"/>
  </r>
  <r>
    <n v="45124"/>
    <x v="141"/>
    <x v="3"/>
    <x v="0"/>
    <x v="2"/>
    <s v="Eldon Base for stackable storage shelf, platinum"/>
    <n v="77.88"/>
    <n v="2"/>
    <x v="577"/>
    <x v="6"/>
    <x v="2"/>
  </r>
  <r>
    <n v="45124"/>
    <x v="212"/>
    <x v="23"/>
    <x v="0"/>
    <x v="12"/>
    <s v="Kensington 4 Outlet MasterPiece Compact Power Control Center"/>
    <n v="162.63999999999999"/>
    <n v="2"/>
    <x v="3342"/>
    <x v="6"/>
    <x v="2"/>
  </r>
  <r>
    <n v="45124"/>
    <x v="212"/>
    <x v="23"/>
    <x v="2"/>
    <x v="6"/>
    <s v="Bose SoundLink Bluetooth Speaker"/>
    <n v="597"/>
    <n v="3"/>
    <x v="3343"/>
    <x v="6"/>
    <x v="2"/>
  </r>
  <r>
    <n v="45124"/>
    <x v="212"/>
    <x v="23"/>
    <x v="0"/>
    <x v="0"/>
    <s v="Eaton Premium Continuous-Feed Paper, 25% Cotton, Letter Size, White, 1000 Shts/Box"/>
    <n v="55.48"/>
    <n v="1"/>
    <x v="284"/>
    <x v="6"/>
    <x v="2"/>
  </r>
  <r>
    <n v="45124"/>
    <x v="182"/>
    <x v="24"/>
    <x v="0"/>
    <x v="0"/>
    <s v="Strathmore Photo Frame Cards"/>
    <n v="21.93"/>
    <n v="3"/>
    <x v="2656"/>
    <x v="6"/>
    <x v="2"/>
  </r>
  <r>
    <n v="45124"/>
    <x v="182"/>
    <x v="24"/>
    <x v="0"/>
    <x v="2"/>
    <s v="Carina 42&quot;Hx23 3/4&quot;W Media Storage Unit"/>
    <n v="242.94"/>
    <n v="3"/>
    <x v="57"/>
    <x v="6"/>
    <x v="2"/>
  </r>
  <r>
    <n v="45124"/>
    <x v="182"/>
    <x v="24"/>
    <x v="0"/>
    <x v="0"/>
    <s v="Rediform Wirebound &quot;Phone Memo&quot; Message Book, 11 x 5-3/4"/>
    <n v="7.64"/>
    <n v="1"/>
    <x v="1048"/>
    <x v="6"/>
    <x v="2"/>
  </r>
  <r>
    <n v="45124"/>
    <x v="182"/>
    <x v="24"/>
    <x v="0"/>
    <x v="0"/>
    <s v="Xerox 1993"/>
    <n v="51.84"/>
    <n v="8"/>
    <x v="3344"/>
    <x v="6"/>
    <x v="2"/>
  </r>
  <r>
    <n v="45124"/>
    <x v="182"/>
    <x v="24"/>
    <x v="0"/>
    <x v="2"/>
    <s v="Tennsco 6- and 18-Compartment Lockers"/>
    <n v="265.17"/>
    <n v="1"/>
    <x v="3345"/>
    <x v="6"/>
    <x v="2"/>
  </r>
  <r>
    <n v="45124"/>
    <x v="380"/>
    <x v="22"/>
    <x v="1"/>
    <x v="8"/>
    <s v="Eldon Image Series Black Desk Accessories"/>
    <n v="12.42"/>
    <n v="3"/>
    <x v="65"/>
    <x v="6"/>
    <x v="2"/>
  </r>
  <r>
    <n v="45124"/>
    <x v="380"/>
    <x v="22"/>
    <x v="2"/>
    <x v="9"/>
    <s v="First Data TMFD35 PIN Pad"/>
    <n v="428.4"/>
    <n v="3"/>
    <x v="3013"/>
    <x v="6"/>
    <x v="2"/>
  </r>
  <r>
    <n v="45124"/>
    <x v="380"/>
    <x v="22"/>
    <x v="1"/>
    <x v="8"/>
    <s v="Eldon 300 Class Desk Accessories, Black"/>
    <n v="24.75"/>
    <n v="5"/>
    <x v="782"/>
    <x v="6"/>
    <x v="2"/>
  </r>
  <r>
    <n v="45124"/>
    <x v="380"/>
    <x v="22"/>
    <x v="0"/>
    <x v="1"/>
    <s v="Round Specialty Laser Printer Labels"/>
    <n v="87.71"/>
    <n v="7"/>
    <x v="1685"/>
    <x v="6"/>
    <x v="2"/>
  </r>
  <r>
    <n v="45124"/>
    <x v="380"/>
    <x v="22"/>
    <x v="0"/>
    <x v="2"/>
    <s v="Home/Office Personal File Carts"/>
    <n v="69.52"/>
    <n v="2"/>
    <x v="3187"/>
    <x v="6"/>
    <x v="2"/>
  </r>
  <r>
    <n v="45124"/>
    <x v="380"/>
    <x v="22"/>
    <x v="2"/>
    <x v="6"/>
    <s v="Cyber Acoustics AC-202b Speech Recognition Stereo Headset"/>
    <n v="20.78"/>
    <n v="2"/>
    <x v="3224"/>
    <x v="6"/>
    <x v="2"/>
  </r>
  <r>
    <n v="45124"/>
    <x v="380"/>
    <x v="22"/>
    <x v="0"/>
    <x v="3"/>
    <s v="Pressboard Data Binder, Crimson, 12&quot; X 8 1/2&quot;"/>
    <n v="12.82"/>
    <n v="3"/>
    <x v="1112"/>
    <x v="6"/>
    <x v="2"/>
  </r>
  <r>
    <n v="45124"/>
    <x v="372"/>
    <x v="20"/>
    <x v="0"/>
    <x v="12"/>
    <s v="Belkin F5C206VTEL 6 Outlet Surge"/>
    <n v="45.96"/>
    <n v="2"/>
    <x v="3346"/>
    <x v="6"/>
    <x v="2"/>
  </r>
  <r>
    <n v="45125"/>
    <x v="637"/>
    <x v="26"/>
    <x v="1"/>
    <x v="5"/>
    <s v="Hon GuestStacker Chair"/>
    <n v="544.01"/>
    <n v="3"/>
    <x v="2199"/>
    <x v="6"/>
    <x v="2"/>
  </r>
  <r>
    <n v="45125"/>
    <x v="637"/>
    <x v="26"/>
    <x v="0"/>
    <x v="3"/>
    <s v="Round Ring Binders"/>
    <n v="1.87"/>
    <n v="3"/>
    <x v="3347"/>
    <x v="6"/>
    <x v="2"/>
  </r>
  <r>
    <n v="45125"/>
    <x v="637"/>
    <x v="26"/>
    <x v="1"/>
    <x v="5"/>
    <s v="Hon 4700 Series Mobuis Mid-Back Task Chairs with Adjustable Arms"/>
    <n v="854.35"/>
    <n v="3"/>
    <x v="2158"/>
    <x v="6"/>
    <x v="2"/>
  </r>
  <r>
    <n v="45125"/>
    <x v="637"/>
    <x v="26"/>
    <x v="0"/>
    <x v="2"/>
    <s v="Sauder Facets Collection Locker/File Cabinet, Sky Alder Finish"/>
    <n v="593.57000000000005"/>
    <n v="2"/>
    <x v="62"/>
    <x v="6"/>
    <x v="2"/>
  </r>
  <r>
    <n v="45125"/>
    <x v="637"/>
    <x v="26"/>
    <x v="0"/>
    <x v="2"/>
    <s v="Fellowes Strictly Business Drawer File, Letter/Legal Size"/>
    <n v="338.04"/>
    <n v="3"/>
    <x v="3326"/>
    <x v="6"/>
    <x v="2"/>
  </r>
  <r>
    <n v="45125"/>
    <x v="121"/>
    <x v="5"/>
    <x v="1"/>
    <x v="5"/>
    <s v="Hon Olson Stacker Stools"/>
    <n v="140.81"/>
    <n v="1"/>
    <x v="3300"/>
    <x v="6"/>
    <x v="2"/>
  </r>
  <r>
    <n v="45125"/>
    <x v="359"/>
    <x v="12"/>
    <x v="0"/>
    <x v="14"/>
    <s v="Elite 5&quot; Scissors"/>
    <n v="33.799999999999997"/>
    <n v="5"/>
    <x v="1362"/>
    <x v="6"/>
    <x v="2"/>
  </r>
  <r>
    <n v="45125"/>
    <x v="743"/>
    <x v="0"/>
    <x v="2"/>
    <x v="9"/>
    <s v="SanDisk Cruzer 4 GB USB Flash Drive"/>
    <n v="15.58"/>
    <n v="3"/>
    <x v="2799"/>
    <x v="6"/>
    <x v="2"/>
  </r>
  <r>
    <n v="45125"/>
    <x v="608"/>
    <x v="12"/>
    <x v="2"/>
    <x v="6"/>
    <s v="iHome FM Clock Radio with Lightning Dock"/>
    <n v="55.99"/>
    <n v="1"/>
    <x v="3137"/>
    <x v="6"/>
    <x v="2"/>
  </r>
  <r>
    <n v="45125"/>
    <x v="646"/>
    <x v="2"/>
    <x v="0"/>
    <x v="4"/>
    <s v="Newell 326"/>
    <n v="11.26"/>
    <n v="8"/>
    <x v="818"/>
    <x v="6"/>
    <x v="2"/>
  </r>
  <r>
    <n v="45125"/>
    <x v="646"/>
    <x v="2"/>
    <x v="0"/>
    <x v="2"/>
    <s v="Steel Personal Filing/Posting Tote"/>
    <n v="284.08"/>
    <n v="10"/>
    <x v="3348"/>
    <x v="6"/>
    <x v="2"/>
  </r>
  <r>
    <n v="45125"/>
    <x v="646"/>
    <x v="2"/>
    <x v="0"/>
    <x v="0"/>
    <s v="Xerox 196"/>
    <n v="18.5"/>
    <n v="4"/>
    <x v="516"/>
    <x v="6"/>
    <x v="2"/>
  </r>
  <r>
    <n v="45126"/>
    <x v="55"/>
    <x v="29"/>
    <x v="1"/>
    <x v="8"/>
    <s v="Advantus Employee of the Month Certificate Frame, 11 x 13-1/2"/>
    <n v="185.58"/>
    <n v="6"/>
    <x v="2614"/>
    <x v="6"/>
    <x v="2"/>
  </r>
  <r>
    <n v="45126"/>
    <x v="55"/>
    <x v="29"/>
    <x v="0"/>
    <x v="3"/>
    <s v="Premium Transparent Presentation Covers, No Pattern/Clear, 8 1/2&quot; x 11&quot;"/>
    <n v="77.56"/>
    <n v="2"/>
    <x v="1863"/>
    <x v="6"/>
    <x v="2"/>
  </r>
  <r>
    <n v="45126"/>
    <x v="55"/>
    <x v="29"/>
    <x v="0"/>
    <x v="2"/>
    <s v="Rogers Deluxe File Chest"/>
    <n v="87.92"/>
    <n v="4"/>
    <x v="1155"/>
    <x v="6"/>
    <x v="2"/>
  </r>
  <r>
    <n v="45126"/>
    <x v="55"/>
    <x v="29"/>
    <x v="0"/>
    <x v="0"/>
    <s v="Xerox 1893"/>
    <n v="245.94"/>
    <n v="6"/>
    <x v="3349"/>
    <x v="6"/>
    <x v="2"/>
  </r>
  <r>
    <n v="45126"/>
    <x v="55"/>
    <x v="29"/>
    <x v="0"/>
    <x v="3"/>
    <s v="Avery Printable Repositionable Plastic Tabs"/>
    <n v="8.6"/>
    <n v="1"/>
    <x v="1129"/>
    <x v="6"/>
    <x v="2"/>
  </r>
  <r>
    <n v="45126"/>
    <x v="55"/>
    <x v="29"/>
    <x v="1"/>
    <x v="11"/>
    <s v="Hon 4-Shelf Metal Bookcases"/>
    <n v="504.9"/>
    <n v="5"/>
    <x v="3350"/>
    <x v="6"/>
    <x v="2"/>
  </r>
  <r>
    <n v="45126"/>
    <x v="492"/>
    <x v="3"/>
    <x v="2"/>
    <x v="6"/>
    <s v="Griffin GC36547 PowerJolt SE Lightning Charger"/>
    <n v="35.979999999999997"/>
    <n v="2"/>
    <x v="704"/>
    <x v="6"/>
    <x v="2"/>
  </r>
  <r>
    <n v="45126"/>
    <x v="492"/>
    <x v="3"/>
    <x v="2"/>
    <x v="9"/>
    <s v="Logitech G35 7.1-Channel Surround Sound Headset"/>
    <n v="389.97"/>
    <n v="3"/>
    <x v="3247"/>
    <x v="6"/>
    <x v="2"/>
  </r>
  <r>
    <n v="45127"/>
    <x v="137"/>
    <x v="20"/>
    <x v="2"/>
    <x v="6"/>
    <s v="invisibleSHIELD by ZAGG Smudge-Free Screen Protector"/>
    <n v="89.95"/>
    <n v="5"/>
    <x v="3351"/>
    <x v="6"/>
    <x v="2"/>
  </r>
  <r>
    <n v="45128"/>
    <x v="369"/>
    <x v="2"/>
    <x v="0"/>
    <x v="3"/>
    <s v="GBC Instant Report Kit"/>
    <n v="1.94"/>
    <n v="1"/>
    <x v="1708"/>
    <x v="6"/>
    <x v="2"/>
  </r>
  <r>
    <n v="45128"/>
    <x v="739"/>
    <x v="10"/>
    <x v="0"/>
    <x v="4"/>
    <s v="Boston 16765 Mini Stand Up Battery Pencil Sharpener"/>
    <n v="18.66"/>
    <n v="2"/>
    <x v="3352"/>
    <x v="6"/>
    <x v="2"/>
  </r>
  <r>
    <n v="45128"/>
    <x v="739"/>
    <x v="10"/>
    <x v="0"/>
    <x v="3"/>
    <s v="Wilson Jones 1&quot; Hanging DublLock Ring Binders"/>
    <n v="11.09"/>
    <n v="7"/>
    <x v="571"/>
    <x v="6"/>
    <x v="2"/>
  </r>
  <r>
    <n v="45128"/>
    <x v="739"/>
    <x v="10"/>
    <x v="0"/>
    <x v="2"/>
    <s v="Safco Steel Mobile File Cart"/>
    <n v="66.69"/>
    <n v="1"/>
    <x v="1112"/>
    <x v="6"/>
    <x v="2"/>
  </r>
  <r>
    <n v="45128"/>
    <x v="739"/>
    <x v="10"/>
    <x v="0"/>
    <x v="2"/>
    <s v="Fellowes Mobile File Cart, Black"/>
    <n v="99.49"/>
    <n v="2"/>
    <x v="2341"/>
    <x v="6"/>
    <x v="2"/>
  </r>
  <r>
    <n v="45128"/>
    <x v="443"/>
    <x v="25"/>
    <x v="0"/>
    <x v="1"/>
    <s v="Avery 494"/>
    <n v="6.26"/>
    <n v="3"/>
    <x v="2118"/>
    <x v="6"/>
    <x v="2"/>
  </r>
  <r>
    <n v="45128"/>
    <x v="443"/>
    <x v="25"/>
    <x v="1"/>
    <x v="5"/>
    <s v="Leather Task Chair, Black"/>
    <n v="363.92"/>
    <n v="5"/>
    <x v="62"/>
    <x v="6"/>
    <x v="2"/>
  </r>
  <r>
    <n v="45128"/>
    <x v="105"/>
    <x v="3"/>
    <x v="0"/>
    <x v="10"/>
    <s v="Ames Color-File Green Diamond Border X-ray Mailers"/>
    <n v="419.9"/>
    <n v="5"/>
    <x v="3353"/>
    <x v="6"/>
    <x v="2"/>
  </r>
  <r>
    <n v="45128"/>
    <x v="105"/>
    <x v="3"/>
    <x v="0"/>
    <x v="1"/>
    <s v="Self-Adhesive Removable Labels"/>
    <n v="3.15"/>
    <n v="1"/>
    <x v="367"/>
    <x v="6"/>
    <x v="2"/>
  </r>
  <r>
    <n v="45129"/>
    <x v="729"/>
    <x v="3"/>
    <x v="0"/>
    <x v="1"/>
    <s v="Self-Adhesive Removable Labels"/>
    <n v="6.3"/>
    <n v="2"/>
    <x v="3354"/>
    <x v="6"/>
    <x v="2"/>
  </r>
  <r>
    <n v="45129"/>
    <x v="740"/>
    <x v="2"/>
    <x v="0"/>
    <x v="4"/>
    <s v="12 Colored Short Pencils"/>
    <n v="4.16"/>
    <n v="2"/>
    <x v="3355"/>
    <x v="6"/>
    <x v="2"/>
  </r>
  <r>
    <n v="45129"/>
    <x v="740"/>
    <x v="2"/>
    <x v="1"/>
    <x v="8"/>
    <s v="Master Caster Door Stop, Large Neon Orange"/>
    <n v="11.65"/>
    <n v="2"/>
    <x v="318"/>
    <x v="6"/>
    <x v="2"/>
  </r>
  <r>
    <n v="45129"/>
    <x v="380"/>
    <x v="14"/>
    <x v="2"/>
    <x v="9"/>
    <s v="Plantronics Audio 995 Wireless Stereo Headset"/>
    <n v="109.95"/>
    <n v="1"/>
    <x v="3356"/>
    <x v="6"/>
    <x v="2"/>
  </r>
  <r>
    <n v="45129"/>
    <x v="380"/>
    <x v="14"/>
    <x v="0"/>
    <x v="2"/>
    <s v="Fellowes Staxonsteel Drawer Files"/>
    <n v="965.85"/>
    <n v="5"/>
    <x v="3357"/>
    <x v="6"/>
    <x v="2"/>
  </r>
  <r>
    <n v="45129"/>
    <x v="380"/>
    <x v="14"/>
    <x v="0"/>
    <x v="4"/>
    <s v="Avery Hi-Liter Smear-Safe Highlighters"/>
    <n v="29.2"/>
    <n v="5"/>
    <x v="448"/>
    <x v="6"/>
    <x v="2"/>
  </r>
  <r>
    <n v="45129"/>
    <x v="380"/>
    <x v="14"/>
    <x v="0"/>
    <x v="0"/>
    <s v="Xerox 192"/>
    <n v="32.4"/>
    <n v="5"/>
    <x v="327"/>
    <x v="6"/>
    <x v="2"/>
  </r>
  <r>
    <n v="45129"/>
    <x v="61"/>
    <x v="17"/>
    <x v="0"/>
    <x v="14"/>
    <s v="Fiskars 8&quot; Scissors, 2/Pack"/>
    <n v="86.2"/>
    <n v="5"/>
    <x v="3358"/>
    <x v="6"/>
    <x v="2"/>
  </r>
  <r>
    <n v="45129"/>
    <x v="591"/>
    <x v="36"/>
    <x v="0"/>
    <x v="12"/>
    <s v="Belkin F9H710-06 7 Outlet SurgeMaster Surge Protector"/>
    <n v="37.68"/>
    <n v="2"/>
    <x v="3359"/>
    <x v="6"/>
    <x v="2"/>
  </r>
  <r>
    <n v="45129"/>
    <x v="591"/>
    <x v="36"/>
    <x v="0"/>
    <x v="0"/>
    <s v="Xerox 216"/>
    <n v="51.84"/>
    <n v="8"/>
    <x v="1746"/>
    <x v="6"/>
    <x v="2"/>
  </r>
  <r>
    <n v="45129"/>
    <x v="591"/>
    <x v="36"/>
    <x v="1"/>
    <x v="8"/>
    <s v="Eldon Stackable Tray, Side-Load, Legal, Smoke"/>
    <n v="27.42"/>
    <n v="3"/>
    <x v="440"/>
    <x v="6"/>
    <x v="2"/>
  </r>
  <r>
    <n v="45129"/>
    <x v="591"/>
    <x v="36"/>
    <x v="0"/>
    <x v="3"/>
    <s v="Wilson Jones Easy Flow II Sheet Lifters"/>
    <n v="5.4"/>
    <n v="3"/>
    <x v="3360"/>
    <x v="6"/>
    <x v="2"/>
  </r>
  <r>
    <n v="45130"/>
    <x v="403"/>
    <x v="16"/>
    <x v="0"/>
    <x v="4"/>
    <s v="Boston 16801 Nautilus Battery Pencil Sharpener"/>
    <n v="35.22"/>
    <n v="2"/>
    <x v="172"/>
    <x v="6"/>
    <x v="2"/>
  </r>
  <r>
    <n v="45130"/>
    <x v="403"/>
    <x v="16"/>
    <x v="0"/>
    <x v="12"/>
    <s v="Holmes Replacement Filter for HEPA Air Cleaner, Large Room"/>
    <n v="23.7"/>
    <n v="2"/>
    <x v="1898"/>
    <x v="6"/>
    <x v="2"/>
  </r>
  <r>
    <n v="45130"/>
    <x v="403"/>
    <x v="16"/>
    <x v="2"/>
    <x v="15"/>
    <s v="Zebra GX420t Direct Thermal/Thermal Transfer Printer"/>
    <n v="265.48"/>
    <n v="1"/>
    <x v="3361"/>
    <x v="6"/>
    <x v="2"/>
  </r>
  <r>
    <n v="45130"/>
    <x v="82"/>
    <x v="1"/>
    <x v="0"/>
    <x v="3"/>
    <s v="GBC Laser Imprintable Binding System Covers, Desert Sand"/>
    <n v="11.42"/>
    <n v="4"/>
    <x v="3362"/>
    <x v="6"/>
    <x v="2"/>
  </r>
  <r>
    <n v="45130"/>
    <x v="74"/>
    <x v="0"/>
    <x v="0"/>
    <x v="4"/>
    <s v="Newell 339"/>
    <n v="4.45"/>
    <n v="2"/>
    <x v="190"/>
    <x v="6"/>
    <x v="2"/>
  </r>
  <r>
    <n v="45130"/>
    <x v="74"/>
    <x v="0"/>
    <x v="0"/>
    <x v="0"/>
    <s v="Xerox 231"/>
    <n v="5.18"/>
    <n v="1"/>
    <x v="1534"/>
    <x v="6"/>
    <x v="2"/>
  </r>
  <r>
    <n v="45130"/>
    <x v="74"/>
    <x v="0"/>
    <x v="0"/>
    <x v="4"/>
    <s v="Boston 1645 Deluxe Heavier-Duty Electric Pencil Sharpener"/>
    <n v="175.92"/>
    <n v="5"/>
    <x v="883"/>
    <x v="6"/>
    <x v="2"/>
  </r>
  <r>
    <n v="45130"/>
    <x v="74"/>
    <x v="0"/>
    <x v="0"/>
    <x v="3"/>
    <s v="Storex Dura Pro Binders"/>
    <n v="4.75"/>
    <n v="4"/>
    <x v="3363"/>
    <x v="6"/>
    <x v="2"/>
  </r>
  <r>
    <n v="45130"/>
    <x v="74"/>
    <x v="0"/>
    <x v="0"/>
    <x v="14"/>
    <s v="Acme Elite Stainless Steel Scissors"/>
    <n v="13.34"/>
    <n v="2"/>
    <x v="202"/>
    <x v="6"/>
    <x v="2"/>
  </r>
  <r>
    <n v="45130"/>
    <x v="325"/>
    <x v="0"/>
    <x v="2"/>
    <x v="6"/>
    <s v="Griffin GC17055 Auxiliary Audio Cable"/>
    <n v="115.14"/>
    <n v="8"/>
    <x v="3364"/>
    <x v="6"/>
    <x v="2"/>
  </r>
  <r>
    <n v="45131"/>
    <x v="504"/>
    <x v="20"/>
    <x v="1"/>
    <x v="5"/>
    <s v="Office Star - Contemporary Swivel Chair with Padded Adjustable Arms and Flex Back"/>
    <n v="253.76"/>
    <n v="2"/>
    <x v="334"/>
    <x v="6"/>
    <x v="2"/>
  </r>
  <r>
    <n v="45131"/>
    <x v="229"/>
    <x v="8"/>
    <x v="0"/>
    <x v="4"/>
    <s v="Panasonic KP-4ABK Battery-Operated Pencil Sharpener"/>
    <n v="73.2"/>
    <n v="5"/>
    <x v="3088"/>
    <x v="6"/>
    <x v="2"/>
  </r>
  <r>
    <n v="45132"/>
    <x v="42"/>
    <x v="3"/>
    <x v="0"/>
    <x v="3"/>
    <s v="Clear Mylar Reinforcing Strips"/>
    <n v="119.62"/>
    <n v="8"/>
    <x v="3365"/>
    <x v="6"/>
    <x v="2"/>
  </r>
  <r>
    <n v="45132"/>
    <x v="42"/>
    <x v="3"/>
    <x v="1"/>
    <x v="8"/>
    <s v="Howard Miller 14-1/2&quot; Diameter Chrome Round Wall Clock"/>
    <n v="255.76"/>
    <n v="4"/>
    <x v="3366"/>
    <x v="6"/>
    <x v="2"/>
  </r>
  <r>
    <n v="45132"/>
    <x v="42"/>
    <x v="3"/>
    <x v="1"/>
    <x v="5"/>
    <s v="DMI Arturo Collection Mission-style Design Wood Chair"/>
    <n v="241.57"/>
    <n v="2"/>
    <x v="1490"/>
    <x v="6"/>
    <x v="2"/>
  </r>
  <r>
    <n v="45132"/>
    <x v="42"/>
    <x v="3"/>
    <x v="1"/>
    <x v="8"/>
    <s v="Deflect-O Glasstique Clear Desk Accessories"/>
    <n v="69.3"/>
    <n v="9"/>
    <x v="3367"/>
    <x v="6"/>
    <x v="2"/>
  </r>
  <r>
    <n v="45132"/>
    <x v="710"/>
    <x v="10"/>
    <x v="2"/>
    <x v="16"/>
    <s v="Hewlett Packard LaserJet 3310 Copier"/>
    <n v="1439.98"/>
    <n v="4"/>
    <x v="3368"/>
    <x v="6"/>
    <x v="2"/>
  </r>
  <r>
    <n v="45132"/>
    <x v="768"/>
    <x v="3"/>
    <x v="0"/>
    <x v="7"/>
    <s v="OIC Binder Clips"/>
    <n v="21.48"/>
    <n v="6"/>
    <x v="153"/>
    <x v="6"/>
    <x v="2"/>
  </r>
  <r>
    <n v="45132"/>
    <x v="390"/>
    <x v="10"/>
    <x v="0"/>
    <x v="12"/>
    <s v="Tripp Lite Isotel 6 Outlet Surge Protector with Fax/Modem Protection"/>
    <n v="243.88"/>
    <n v="5"/>
    <x v="3369"/>
    <x v="6"/>
    <x v="2"/>
  </r>
  <r>
    <n v="45132"/>
    <x v="484"/>
    <x v="0"/>
    <x v="0"/>
    <x v="1"/>
    <s v="Avery 493"/>
    <n v="15.71"/>
    <n v="4"/>
    <x v="1974"/>
    <x v="6"/>
    <x v="2"/>
  </r>
  <r>
    <n v="45132"/>
    <x v="711"/>
    <x v="29"/>
    <x v="0"/>
    <x v="2"/>
    <s v="Akro Stacking Bins"/>
    <n v="7.89"/>
    <n v="1"/>
    <x v="2361"/>
    <x v="6"/>
    <x v="2"/>
  </r>
  <r>
    <n v="45132"/>
    <x v="711"/>
    <x v="29"/>
    <x v="0"/>
    <x v="0"/>
    <s v="Advantus Motivational Note Cards"/>
    <n v="65.5"/>
    <n v="5"/>
    <x v="415"/>
    <x v="6"/>
    <x v="2"/>
  </r>
  <r>
    <n v="45132"/>
    <x v="711"/>
    <x v="29"/>
    <x v="1"/>
    <x v="13"/>
    <s v="Office Impressions End Table, 20-1/2&quot;H x 24&quot;W x 20&quot;D"/>
    <n v="2430.08"/>
    <n v="8"/>
    <x v="3370"/>
    <x v="6"/>
    <x v="2"/>
  </r>
  <r>
    <n v="45132"/>
    <x v="307"/>
    <x v="6"/>
    <x v="0"/>
    <x v="3"/>
    <s v="Avery 3 1/2&quot; Diskette Storage Pages, 10/Pack"/>
    <n v="10.44"/>
    <n v="1"/>
    <x v="2808"/>
    <x v="6"/>
    <x v="2"/>
  </r>
  <r>
    <n v="45132"/>
    <x v="734"/>
    <x v="0"/>
    <x v="0"/>
    <x v="10"/>
    <s v="Quality Park Security Envelopes"/>
    <n v="20.94"/>
    <n v="1"/>
    <x v="2578"/>
    <x v="6"/>
    <x v="2"/>
  </r>
  <r>
    <n v="45132"/>
    <x v="288"/>
    <x v="3"/>
    <x v="0"/>
    <x v="4"/>
    <s v="Newell 325"/>
    <n v="37.17"/>
    <n v="9"/>
    <x v="2928"/>
    <x v="6"/>
    <x v="2"/>
  </r>
  <r>
    <n v="45132"/>
    <x v="562"/>
    <x v="21"/>
    <x v="0"/>
    <x v="0"/>
    <s v="Speediset Carbonless Redi-Letter 7&quot; x 8 1/2&quot;"/>
    <n v="20.62"/>
    <n v="2"/>
    <x v="2759"/>
    <x v="6"/>
    <x v="2"/>
  </r>
  <r>
    <n v="45132"/>
    <x v="562"/>
    <x v="21"/>
    <x v="2"/>
    <x v="9"/>
    <s v="Memorex Froggy Flash Drive 8 GB"/>
    <n v="124.25"/>
    <n v="7"/>
    <x v="3371"/>
    <x v="6"/>
    <x v="2"/>
  </r>
  <r>
    <n v="45132"/>
    <x v="562"/>
    <x v="21"/>
    <x v="2"/>
    <x v="6"/>
    <s v="LG Electronics Tone+ HBS-730 Bluetooth Headset"/>
    <n v="297.55"/>
    <n v="5"/>
    <x v="3372"/>
    <x v="6"/>
    <x v="2"/>
  </r>
  <r>
    <n v="45132"/>
    <x v="562"/>
    <x v="21"/>
    <x v="1"/>
    <x v="5"/>
    <s v="Office Star Flex Back Scooter Chair with Aluminum Finish Frame"/>
    <n v="403.56"/>
    <n v="4"/>
    <x v="3373"/>
    <x v="6"/>
    <x v="2"/>
  </r>
  <r>
    <n v="45132"/>
    <x v="562"/>
    <x v="21"/>
    <x v="1"/>
    <x v="8"/>
    <s v="Eldon Expressions Desk Accessory, Wood Photo Frame, Mahogany"/>
    <n v="95.2"/>
    <n v="5"/>
    <x v="3374"/>
    <x v="6"/>
    <x v="2"/>
  </r>
  <r>
    <n v="45135"/>
    <x v="528"/>
    <x v="14"/>
    <x v="0"/>
    <x v="7"/>
    <s v="Staples"/>
    <n v="20.440000000000001"/>
    <n v="7"/>
    <x v="3375"/>
    <x v="6"/>
    <x v="2"/>
  </r>
  <r>
    <n v="45135"/>
    <x v="528"/>
    <x v="14"/>
    <x v="0"/>
    <x v="0"/>
    <s v="Xerox 1889"/>
    <n v="109.92"/>
    <n v="2"/>
    <x v="847"/>
    <x v="6"/>
    <x v="2"/>
  </r>
  <r>
    <n v="45135"/>
    <x v="580"/>
    <x v="3"/>
    <x v="0"/>
    <x v="1"/>
    <s v="Avery 495"/>
    <n v="18.899999999999999"/>
    <n v="3"/>
    <x v="1061"/>
    <x v="6"/>
    <x v="2"/>
  </r>
  <r>
    <n v="45135"/>
    <x v="635"/>
    <x v="2"/>
    <x v="1"/>
    <x v="11"/>
    <s v="Safco Value Mate Series Steel Bookcases, Baked Enamel Finish on Steel, Gray"/>
    <n v="177.45"/>
    <n v="5"/>
    <x v="3376"/>
    <x v="6"/>
    <x v="2"/>
  </r>
  <r>
    <n v="45135"/>
    <x v="635"/>
    <x v="2"/>
    <x v="0"/>
    <x v="3"/>
    <s v="GBC Ibimaster 500 Manual ProClick Binding System"/>
    <n v="1369.76"/>
    <n v="6"/>
    <x v="2347"/>
    <x v="6"/>
    <x v="2"/>
  </r>
  <r>
    <n v="45135"/>
    <x v="635"/>
    <x v="2"/>
    <x v="0"/>
    <x v="12"/>
    <s v="Hoover Replacement Belts For Soft Guard &amp; Commercial Ltweight Upright Vacs, 2/Pk"/>
    <n v="9.48"/>
    <n v="3"/>
    <x v="2841"/>
    <x v="6"/>
    <x v="2"/>
  </r>
  <r>
    <n v="45135"/>
    <x v="429"/>
    <x v="0"/>
    <x v="1"/>
    <x v="8"/>
    <s v="Eldon Image Series Desk Accessories, Ebony"/>
    <n v="24.7"/>
    <n v="5"/>
    <x v="3377"/>
    <x v="6"/>
    <x v="2"/>
  </r>
  <r>
    <n v="45135"/>
    <x v="429"/>
    <x v="0"/>
    <x v="1"/>
    <x v="8"/>
    <s v="Tenex Chairmat w/ Average Lip, 45&quot; x 53&quot;"/>
    <n v="302.72000000000003"/>
    <n v="5"/>
    <x v="3378"/>
    <x v="6"/>
    <x v="2"/>
  </r>
  <r>
    <n v="45136"/>
    <x v="4"/>
    <x v="2"/>
    <x v="0"/>
    <x v="2"/>
    <s v="Gould Plastics 9-Pocket Panel Bin, 18-3/8w x 5-1/4d x 20-1/2h, Black"/>
    <n v="84.78"/>
    <n v="2"/>
    <x v="2543"/>
    <x v="6"/>
    <x v="2"/>
  </r>
  <r>
    <n v="45136"/>
    <x v="517"/>
    <x v="16"/>
    <x v="0"/>
    <x v="3"/>
    <s v="Avery Triangle Shaped Sheet Lifters, Black, 2/Pack"/>
    <n v="2.21"/>
    <n v="3"/>
    <x v="2047"/>
    <x v="6"/>
    <x v="2"/>
  </r>
  <r>
    <n v="45136"/>
    <x v="718"/>
    <x v="25"/>
    <x v="0"/>
    <x v="2"/>
    <s v="Fellowes High-Stak Drawer Files"/>
    <n v="704.76"/>
    <n v="5"/>
    <x v="3379"/>
    <x v="6"/>
    <x v="2"/>
  </r>
  <r>
    <n v="45136"/>
    <x v="718"/>
    <x v="25"/>
    <x v="0"/>
    <x v="3"/>
    <s v="Premier Elliptical Ring Binder, Black"/>
    <n v="27.4"/>
    <n v="3"/>
    <x v="3380"/>
    <x v="6"/>
    <x v="2"/>
  </r>
  <r>
    <n v="45137"/>
    <x v="471"/>
    <x v="0"/>
    <x v="0"/>
    <x v="3"/>
    <s v="GBC VeloBind Cover Sets"/>
    <n v="9.26"/>
    <n v="3"/>
    <x v="1485"/>
    <x v="6"/>
    <x v="2"/>
  </r>
  <r>
    <n v="45137"/>
    <x v="175"/>
    <x v="1"/>
    <x v="0"/>
    <x v="1"/>
    <s v="Avery 498"/>
    <n v="9.25"/>
    <n v="4"/>
    <x v="3381"/>
    <x v="6"/>
    <x v="2"/>
  </r>
  <r>
    <n v="45137"/>
    <x v="175"/>
    <x v="1"/>
    <x v="0"/>
    <x v="2"/>
    <s v="Tennsco 16-Compartment Lockers with Coat Rack"/>
    <n v="1036.6199999999999"/>
    <n v="2"/>
    <x v="1860"/>
    <x v="6"/>
    <x v="2"/>
  </r>
  <r>
    <n v="45137"/>
    <x v="274"/>
    <x v="3"/>
    <x v="0"/>
    <x v="12"/>
    <s v="Hoover Shoulder Vac Commercial Portable Vacuum"/>
    <n v="715.64"/>
    <n v="2"/>
    <x v="2572"/>
    <x v="6"/>
    <x v="2"/>
  </r>
  <r>
    <n v="45138"/>
    <x v="318"/>
    <x v="14"/>
    <x v="0"/>
    <x v="12"/>
    <s v="Honeywell Quietcare HEPA Air Cleaner"/>
    <n v="283.14"/>
    <n v="4"/>
    <x v="3382"/>
    <x v="6"/>
    <x v="2"/>
  </r>
  <r>
    <n v="45138"/>
    <x v="318"/>
    <x v="14"/>
    <x v="2"/>
    <x v="6"/>
    <s v="ClearOne Communications CHAT 70 OCÂ Speaker Phone"/>
    <n v="635.96"/>
    <n v="4"/>
    <x v="3383"/>
    <x v="6"/>
    <x v="2"/>
  </r>
  <r>
    <n v="45138"/>
    <x v="318"/>
    <x v="14"/>
    <x v="2"/>
    <x v="6"/>
    <s v="Polycom SoundPoint Pro SE-225 Corded phone"/>
    <n v="118.99"/>
    <n v="1"/>
    <x v="3384"/>
    <x v="6"/>
    <x v="2"/>
  </r>
  <r>
    <n v="45138"/>
    <x v="318"/>
    <x v="14"/>
    <x v="1"/>
    <x v="8"/>
    <s v="Eldon ClusterMat Chair Mat with Cordless Antistatic Protection"/>
    <n v="272.94"/>
    <n v="3"/>
    <x v="52"/>
    <x v="6"/>
    <x v="2"/>
  </r>
  <r>
    <n v="45138"/>
    <x v="123"/>
    <x v="3"/>
    <x v="1"/>
    <x v="13"/>
    <s v="Laminate Occasional Tables"/>
    <n v="863.13"/>
    <n v="7"/>
    <x v="3385"/>
    <x v="6"/>
    <x v="2"/>
  </r>
  <r>
    <n v="45139"/>
    <x v="113"/>
    <x v="0"/>
    <x v="0"/>
    <x v="0"/>
    <s v="Easy-staple paper"/>
    <n v="19.649999999999999"/>
    <n v="2"/>
    <x v="824"/>
    <x v="7"/>
    <x v="2"/>
  </r>
  <r>
    <n v="45139"/>
    <x v="93"/>
    <x v="3"/>
    <x v="2"/>
    <x v="6"/>
    <s v="Apple iPhone 5"/>
    <n v="1039.73"/>
    <n v="2"/>
    <x v="3386"/>
    <x v="7"/>
    <x v="2"/>
  </r>
  <r>
    <n v="45139"/>
    <x v="93"/>
    <x v="3"/>
    <x v="0"/>
    <x v="12"/>
    <s v="Belkin F5C206VTEL 6 Outlet Surge"/>
    <n v="45.96"/>
    <n v="2"/>
    <x v="3346"/>
    <x v="7"/>
    <x v="2"/>
  </r>
  <r>
    <n v="45139"/>
    <x v="580"/>
    <x v="2"/>
    <x v="1"/>
    <x v="8"/>
    <s v="Eldon 500 Class Desk Accessories"/>
    <n v="19.309999999999999"/>
    <n v="2"/>
    <x v="1063"/>
    <x v="7"/>
    <x v="2"/>
  </r>
  <r>
    <n v="45140"/>
    <x v="45"/>
    <x v="3"/>
    <x v="1"/>
    <x v="13"/>
    <s v="Barricks Non-Folding Utility Table with Steel Legs, Laminate Tops"/>
    <n v="136.46"/>
    <n v="2"/>
    <x v="3387"/>
    <x v="7"/>
    <x v="2"/>
  </r>
  <r>
    <n v="45140"/>
    <x v="45"/>
    <x v="3"/>
    <x v="2"/>
    <x v="6"/>
    <s v="Nortel Business Series Terminal T7208 Digital phone"/>
    <n v="333.58"/>
    <n v="3"/>
    <x v="3388"/>
    <x v="7"/>
    <x v="2"/>
  </r>
  <r>
    <n v="45140"/>
    <x v="45"/>
    <x v="3"/>
    <x v="0"/>
    <x v="3"/>
    <s v="XtraLife ClearVue Slant-D Ring Binders by Cardinal"/>
    <n v="12.54"/>
    <n v="2"/>
    <x v="542"/>
    <x v="7"/>
    <x v="2"/>
  </r>
  <r>
    <n v="45141"/>
    <x v="769"/>
    <x v="39"/>
    <x v="0"/>
    <x v="10"/>
    <s v="Tyvek  Top-Opening Peel &amp; Seel Envelopes, Plain White"/>
    <n v="81.540000000000006"/>
    <n v="3"/>
    <x v="3389"/>
    <x v="7"/>
    <x v="2"/>
  </r>
  <r>
    <n v="45141"/>
    <x v="769"/>
    <x v="39"/>
    <x v="2"/>
    <x v="9"/>
    <s v="Sony Micro Vault Click 4 GB USB 2.0 Flash Drive"/>
    <n v="167.28"/>
    <n v="12"/>
    <x v="3390"/>
    <x v="7"/>
    <x v="2"/>
  </r>
  <r>
    <n v="45142"/>
    <x v="770"/>
    <x v="6"/>
    <x v="0"/>
    <x v="14"/>
    <s v="Acme 10&quot; Easy Grip Assistive Scissors"/>
    <n v="35.06"/>
    <n v="2"/>
    <x v="1893"/>
    <x v="7"/>
    <x v="2"/>
  </r>
  <r>
    <n v="45142"/>
    <x v="770"/>
    <x v="6"/>
    <x v="0"/>
    <x v="1"/>
    <s v="Avery 476"/>
    <n v="4.13"/>
    <n v="1"/>
    <x v="238"/>
    <x v="7"/>
    <x v="2"/>
  </r>
  <r>
    <n v="45142"/>
    <x v="770"/>
    <x v="6"/>
    <x v="1"/>
    <x v="8"/>
    <s v="Advantus Panel Wall Certificate Holder - 8.5x11"/>
    <n v="109.8"/>
    <n v="9"/>
    <x v="2593"/>
    <x v="7"/>
    <x v="2"/>
  </r>
  <r>
    <n v="45142"/>
    <x v="770"/>
    <x v="6"/>
    <x v="0"/>
    <x v="1"/>
    <s v="Avery 478"/>
    <n v="9.82"/>
    <n v="2"/>
    <x v="1636"/>
    <x v="7"/>
    <x v="2"/>
  </r>
  <r>
    <n v="45142"/>
    <x v="565"/>
    <x v="1"/>
    <x v="0"/>
    <x v="3"/>
    <s v="Ibico Presentation Index for Binding Systems"/>
    <n v="3.98"/>
    <n v="5"/>
    <x v="3391"/>
    <x v="7"/>
    <x v="2"/>
  </r>
  <r>
    <n v="45142"/>
    <x v="49"/>
    <x v="3"/>
    <x v="2"/>
    <x v="6"/>
    <s v="Mitel 5320 IP Phone VoIP phone"/>
    <n v="302.38"/>
    <n v="2"/>
    <x v="3392"/>
    <x v="7"/>
    <x v="2"/>
  </r>
  <r>
    <n v="45142"/>
    <x v="49"/>
    <x v="3"/>
    <x v="0"/>
    <x v="3"/>
    <s v="Wilson Jones Leather-Like Binders with DublLock Round Rings"/>
    <n v="20.95"/>
    <n v="3"/>
    <x v="2578"/>
    <x v="7"/>
    <x v="2"/>
  </r>
  <r>
    <n v="45142"/>
    <x v="49"/>
    <x v="3"/>
    <x v="0"/>
    <x v="3"/>
    <s v="Pressboard Covers with Storage Hooks, 9 1/2&quot; x 11&quot;, Light Blue"/>
    <n v="11.78"/>
    <n v="3"/>
    <x v="3393"/>
    <x v="7"/>
    <x v="2"/>
  </r>
  <r>
    <n v="45143"/>
    <x v="591"/>
    <x v="33"/>
    <x v="0"/>
    <x v="4"/>
    <s v="Boston Model 1800 Electric Pencil Sharpener, Gray"/>
    <n v="197.05"/>
    <n v="7"/>
    <x v="3394"/>
    <x v="7"/>
    <x v="2"/>
  </r>
  <r>
    <n v="45144"/>
    <x v="123"/>
    <x v="20"/>
    <x v="0"/>
    <x v="0"/>
    <s v="Easy-staple paper"/>
    <n v="70.88"/>
    <n v="2"/>
    <x v="2937"/>
    <x v="7"/>
    <x v="2"/>
  </r>
  <r>
    <n v="45144"/>
    <x v="339"/>
    <x v="3"/>
    <x v="2"/>
    <x v="6"/>
    <s v="Panasonic KX-TG6844B Expandable Digital Cordless Telephone"/>
    <n v="211.17"/>
    <n v="4"/>
    <x v="3395"/>
    <x v="7"/>
    <x v="2"/>
  </r>
  <r>
    <n v="45144"/>
    <x v="272"/>
    <x v="20"/>
    <x v="0"/>
    <x v="4"/>
    <s v="Dixon Prang Watercolor Pencils, 10-Color Set with Brush"/>
    <n v="38.340000000000003"/>
    <n v="9"/>
    <x v="3234"/>
    <x v="7"/>
    <x v="2"/>
  </r>
  <r>
    <n v="45145"/>
    <x v="360"/>
    <x v="22"/>
    <x v="2"/>
    <x v="9"/>
    <s v="LogitechÂ Illuminated - Keyboard"/>
    <n v="179.97"/>
    <n v="3"/>
    <x v="103"/>
    <x v="7"/>
    <x v="2"/>
  </r>
  <r>
    <n v="45146"/>
    <x v="453"/>
    <x v="0"/>
    <x v="0"/>
    <x v="7"/>
    <s v="OIC Bulk Pack Metal Binder Clips"/>
    <n v="11.17"/>
    <n v="4"/>
    <x v="316"/>
    <x v="7"/>
    <x v="2"/>
  </r>
  <r>
    <n v="45146"/>
    <x v="453"/>
    <x v="0"/>
    <x v="0"/>
    <x v="0"/>
    <s v="Ink Jet Note and Greeting Cards, 8-1/2&quot; x 5-1/2&quot; Card Size"/>
    <n v="53.95"/>
    <n v="3"/>
    <x v="3396"/>
    <x v="7"/>
    <x v="2"/>
  </r>
  <r>
    <n v="45146"/>
    <x v="619"/>
    <x v="29"/>
    <x v="0"/>
    <x v="7"/>
    <s v="Alliance Super-Size Bands, Assorted Sizes"/>
    <n v="23.34"/>
    <n v="3"/>
    <x v="3397"/>
    <x v="7"/>
    <x v="2"/>
  </r>
  <r>
    <n v="45146"/>
    <x v="683"/>
    <x v="3"/>
    <x v="1"/>
    <x v="13"/>
    <s v="Chromcraft 48&quot; x 96&quot; Racetrack Double Pedestal Table"/>
    <n v="513.02"/>
    <n v="2"/>
    <x v="3299"/>
    <x v="7"/>
    <x v="2"/>
  </r>
  <r>
    <n v="45146"/>
    <x v="683"/>
    <x v="3"/>
    <x v="0"/>
    <x v="12"/>
    <s v="Kensington 4 Outlet MasterPiece Compact Power Control Center"/>
    <n v="487.92"/>
    <n v="6"/>
    <x v="3398"/>
    <x v="7"/>
    <x v="2"/>
  </r>
  <r>
    <n v="45146"/>
    <x v="683"/>
    <x v="3"/>
    <x v="0"/>
    <x v="3"/>
    <s v="Acco Hanging Data Binders"/>
    <n v="15.24"/>
    <n v="5"/>
    <x v="3399"/>
    <x v="7"/>
    <x v="2"/>
  </r>
  <r>
    <n v="45146"/>
    <x v="309"/>
    <x v="39"/>
    <x v="0"/>
    <x v="0"/>
    <s v="Xerox 1954"/>
    <n v="10.56"/>
    <n v="2"/>
    <x v="73"/>
    <x v="7"/>
    <x v="2"/>
  </r>
  <r>
    <n v="45147"/>
    <x v="454"/>
    <x v="25"/>
    <x v="0"/>
    <x v="0"/>
    <s v="Xerox 199"/>
    <n v="30.82"/>
    <n v="9"/>
    <x v="1196"/>
    <x v="7"/>
    <x v="2"/>
  </r>
  <r>
    <n v="45147"/>
    <x v="454"/>
    <x v="25"/>
    <x v="2"/>
    <x v="6"/>
    <s v="Apple EarPods with Remote and Mic"/>
    <n v="44.78"/>
    <n v="2"/>
    <x v="1611"/>
    <x v="7"/>
    <x v="2"/>
  </r>
  <r>
    <n v="45147"/>
    <x v="454"/>
    <x v="25"/>
    <x v="0"/>
    <x v="12"/>
    <s v="Kensington 7 Outlet MasterPiece Power Center"/>
    <n v="569.54"/>
    <n v="4"/>
    <x v="3400"/>
    <x v="7"/>
    <x v="2"/>
  </r>
  <r>
    <n v="45147"/>
    <x v="292"/>
    <x v="15"/>
    <x v="0"/>
    <x v="3"/>
    <s v="Tuff Stuff Recycled Round Ring Binders"/>
    <n v="4.34"/>
    <n v="3"/>
    <x v="1082"/>
    <x v="7"/>
    <x v="2"/>
  </r>
  <r>
    <n v="45147"/>
    <x v="292"/>
    <x v="15"/>
    <x v="0"/>
    <x v="3"/>
    <s v="Avery Durable Slant Ring Binders"/>
    <n v="11.88"/>
    <n v="5"/>
    <x v="3401"/>
    <x v="7"/>
    <x v="2"/>
  </r>
  <r>
    <n v="45149"/>
    <x v="428"/>
    <x v="39"/>
    <x v="0"/>
    <x v="0"/>
    <s v="Xerox 202"/>
    <n v="32.4"/>
    <n v="5"/>
    <x v="327"/>
    <x v="7"/>
    <x v="2"/>
  </r>
  <r>
    <n v="45149"/>
    <x v="428"/>
    <x v="39"/>
    <x v="0"/>
    <x v="3"/>
    <s v="Avery Hanging File Binders"/>
    <n v="41.86"/>
    <n v="7"/>
    <x v="2655"/>
    <x v="7"/>
    <x v="2"/>
  </r>
  <r>
    <n v="45149"/>
    <x v="428"/>
    <x v="39"/>
    <x v="0"/>
    <x v="3"/>
    <s v="Premium Transparent Presentation Covers, No Pattern/Clear, 8 1/2&quot; x 11&quot;"/>
    <n v="77.56"/>
    <n v="2"/>
    <x v="1863"/>
    <x v="7"/>
    <x v="2"/>
  </r>
  <r>
    <n v="45150"/>
    <x v="641"/>
    <x v="30"/>
    <x v="0"/>
    <x v="0"/>
    <s v="Xerox 224"/>
    <n v="6.48"/>
    <n v="1"/>
    <x v="1006"/>
    <x v="7"/>
    <x v="2"/>
  </r>
  <r>
    <n v="45150"/>
    <x v="752"/>
    <x v="0"/>
    <x v="2"/>
    <x v="9"/>
    <s v="Logitech diNovo Edge Keyboard"/>
    <n v="1399.94"/>
    <n v="7"/>
    <x v="3402"/>
    <x v="7"/>
    <x v="2"/>
  </r>
  <r>
    <n v="45150"/>
    <x v="288"/>
    <x v="20"/>
    <x v="1"/>
    <x v="5"/>
    <s v="Global Geo Office Task Chair, Gray"/>
    <n v="145.76"/>
    <n v="2"/>
    <x v="3403"/>
    <x v="7"/>
    <x v="2"/>
  </r>
  <r>
    <n v="45150"/>
    <x v="599"/>
    <x v="16"/>
    <x v="1"/>
    <x v="13"/>
    <s v="BPI Conference Tables"/>
    <n v="562.29"/>
    <n v="7"/>
    <x v="3404"/>
    <x v="7"/>
    <x v="2"/>
  </r>
  <r>
    <n v="45150"/>
    <x v="377"/>
    <x v="20"/>
    <x v="1"/>
    <x v="13"/>
    <s v="Chromcraft Round Conference Tables"/>
    <n v="209.15"/>
    <n v="2"/>
    <x v="3405"/>
    <x v="7"/>
    <x v="2"/>
  </r>
  <r>
    <n v="45150"/>
    <x v="377"/>
    <x v="20"/>
    <x v="0"/>
    <x v="2"/>
    <s v="Tennsco 6- and 18-Compartment Lockers"/>
    <n v="1591.02"/>
    <n v="6"/>
    <x v="3406"/>
    <x v="7"/>
    <x v="2"/>
  </r>
  <r>
    <n v="45150"/>
    <x v="35"/>
    <x v="2"/>
    <x v="0"/>
    <x v="4"/>
    <s v="Boston 16765 Mini Stand Up Battery Pencil Sharpener"/>
    <n v="37.31"/>
    <n v="4"/>
    <x v="644"/>
    <x v="7"/>
    <x v="2"/>
  </r>
  <r>
    <n v="45151"/>
    <x v="313"/>
    <x v="25"/>
    <x v="0"/>
    <x v="3"/>
    <s v="Acco Translucent Poly Ring Binders"/>
    <n v="11.23"/>
    <n v="8"/>
    <x v="3407"/>
    <x v="7"/>
    <x v="2"/>
  </r>
  <r>
    <n v="45151"/>
    <x v="313"/>
    <x v="25"/>
    <x v="0"/>
    <x v="0"/>
    <s v="Easy-staple paper"/>
    <n v="10.27"/>
    <n v="3"/>
    <x v="2194"/>
    <x v="7"/>
    <x v="2"/>
  </r>
  <r>
    <n v="45151"/>
    <x v="161"/>
    <x v="21"/>
    <x v="1"/>
    <x v="11"/>
    <s v="O'Sullivan Living Dimensions 2-Shelf Bookcases"/>
    <n v="241.96"/>
    <n v="2"/>
    <x v="2534"/>
    <x v="7"/>
    <x v="2"/>
  </r>
  <r>
    <n v="45151"/>
    <x v="161"/>
    <x v="21"/>
    <x v="0"/>
    <x v="3"/>
    <s v="Avery Round Ring Poly Binders"/>
    <n v="8.52"/>
    <n v="3"/>
    <x v="1112"/>
    <x v="7"/>
    <x v="2"/>
  </r>
  <r>
    <n v="45151"/>
    <x v="459"/>
    <x v="8"/>
    <x v="0"/>
    <x v="12"/>
    <s v="Staple holder"/>
    <n v="17.34"/>
    <n v="2"/>
    <x v="658"/>
    <x v="7"/>
    <x v="2"/>
  </r>
  <r>
    <n v="45151"/>
    <x v="459"/>
    <x v="8"/>
    <x v="2"/>
    <x v="9"/>
    <s v="Sony 64GB Class 10 Micro SDHC R40 Memory Card"/>
    <n v="71.98"/>
    <n v="2"/>
    <x v="1938"/>
    <x v="7"/>
    <x v="2"/>
  </r>
  <r>
    <n v="45151"/>
    <x v="503"/>
    <x v="6"/>
    <x v="0"/>
    <x v="3"/>
    <s v="Avery Heavy-Duty EZD  Binder With Locking Rings"/>
    <n v="22.32"/>
    <n v="4"/>
    <x v="3408"/>
    <x v="7"/>
    <x v="2"/>
  </r>
  <r>
    <n v="45151"/>
    <x v="503"/>
    <x v="6"/>
    <x v="0"/>
    <x v="1"/>
    <s v="Alphabetical Labels for Top Tab Filing"/>
    <n v="103.6"/>
    <n v="7"/>
    <x v="911"/>
    <x v="7"/>
    <x v="2"/>
  </r>
  <r>
    <n v="45151"/>
    <x v="189"/>
    <x v="0"/>
    <x v="0"/>
    <x v="14"/>
    <s v="Premier Electric Letter Opener"/>
    <n v="185.38"/>
    <n v="2"/>
    <x v="3096"/>
    <x v="7"/>
    <x v="2"/>
  </r>
  <r>
    <n v="45151"/>
    <x v="189"/>
    <x v="0"/>
    <x v="0"/>
    <x v="12"/>
    <s v="3.6 Cubic Foot Counter Height Office Refrigerator"/>
    <n v="58.92"/>
    <n v="1"/>
    <x v="3409"/>
    <x v="7"/>
    <x v="2"/>
  </r>
  <r>
    <n v="45152"/>
    <x v="747"/>
    <x v="3"/>
    <x v="0"/>
    <x v="0"/>
    <s v="Array Memo Cubes"/>
    <n v="15.54"/>
    <n v="3"/>
    <x v="2956"/>
    <x v="7"/>
    <x v="2"/>
  </r>
  <r>
    <n v="45152"/>
    <x v="747"/>
    <x v="3"/>
    <x v="2"/>
    <x v="15"/>
    <s v="Texas Instruments TI-34 Scientific Calculator"/>
    <n v="105.55"/>
    <n v="6"/>
    <x v="3410"/>
    <x v="7"/>
    <x v="2"/>
  </r>
  <r>
    <n v="45152"/>
    <x v="546"/>
    <x v="15"/>
    <x v="0"/>
    <x v="0"/>
    <s v="Xerox 200"/>
    <n v="15.55"/>
    <n v="3"/>
    <x v="192"/>
    <x v="7"/>
    <x v="2"/>
  </r>
  <r>
    <n v="45152"/>
    <x v="153"/>
    <x v="10"/>
    <x v="2"/>
    <x v="6"/>
    <s v="Cisco IP Phone 7961G-GE VoIP phone"/>
    <n v="259.89999999999998"/>
    <n v="2"/>
    <x v="3411"/>
    <x v="7"/>
    <x v="2"/>
  </r>
  <r>
    <n v="45152"/>
    <x v="153"/>
    <x v="10"/>
    <x v="2"/>
    <x v="6"/>
    <s v="Plantronics Voyager Pro Legend"/>
    <n v="247.19"/>
    <n v="2"/>
    <x v="3412"/>
    <x v="7"/>
    <x v="2"/>
  </r>
  <r>
    <n v="45152"/>
    <x v="153"/>
    <x v="10"/>
    <x v="2"/>
    <x v="9"/>
    <s v="Logitech G500s Laser Gaming Mouse with Adjustable Weight Tuning"/>
    <n v="279.95999999999998"/>
    <n v="5"/>
    <x v="2062"/>
    <x v="7"/>
    <x v="2"/>
  </r>
  <r>
    <n v="45153"/>
    <x v="297"/>
    <x v="26"/>
    <x v="0"/>
    <x v="3"/>
    <s v="Premium Transparent Presentation Covers by GBC"/>
    <n v="18.88"/>
    <n v="3"/>
    <x v="3413"/>
    <x v="7"/>
    <x v="2"/>
  </r>
  <r>
    <n v="45153"/>
    <x v="297"/>
    <x v="26"/>
    <x v="0"/>
    <x v="12"/>
    <s v="Tripp Lite TLP810NET Broadband Surge for Modem/Fax"/>
    <n v="122.33"/>
    <n v="3"/>
    <x v="559"/>
    <x v="7"/>
    <x v="2"/>
  </r>
  <r>
    <n v="45153"/>
    <x v="563"/>
    <x v="3"/>
    <x v="2"/>
    <x v="6"/>
    <s v="Nokia Lumia 521 (T-Mobile)"/>
    <n v="71.98"/>
    <n v="3"/>
    <x v="85"/>
    <x v="7"/>
    <x v="2"/>
  </r>
  <r>
    <n v="45153"/>
    <x v="563"/>
    <x v="3"/>
    <x v="0"/>
    <x v="1"/>
    <s v="Avery 488"/>
    <n v="3.15"/>
    <n v="1"/>
    <x v="367"/>
    <x v="7"/>
    <x v="2"/>
  </r>
  <r>
    <n v="45153"/>
    <x v="405"/>
    <x v="16"/>
    <x v="2"/>
    <x v="6"/>
    <s v="HTC One Mini"/>
    <n v="705.54"/>
    <n v="7"/>
    <x v="2085"/>
    <x v="7"/>
    <x v="2"/>
  </r>
  <r>
    <n v="45153"/>
    <x v="757"/>
    <x v="25"/>
    <x v="1"/>
    <x v="5"/>
    <s v="Hon Olson Stacker Stools"/>
    <n v="225.3"/>
    <n v="2"/>
    <x v="470"/>
    <x v="7"/>
    <x v="2"/>
  </r>
  <r>
    <n v="45153"/>
    <x v="649"/>
    <x v="3"/>
    <x v="1"/>
    <x v="8"/>
    <s v="Luxo Professional Magnifying Clamp-On Fluorescent Lamps"/>
    <n v="312.02999999999997"/>
    <n v="3"/>
    <x v="3414"/>
    <x v="7"/>
    <x v="2"/>
  </r>
  <r>
    <n v="45153"/>
    <x v="649"/>
    <x v="3"/>
    <x v="0"/>
    <x v="2"/>
    <s v="Perma STOR-ALL Hanging File Box, 13 1/8&quot;W x 12 1/4&quot;D x 10 1/2&quot;H"/>
    <n v="17.940000000000001"/>
    <n v="3"/>
    <x v="1810"/>
    <x v="7"/>
    <x v="2"/>
  </r>
  <r>
    <n v="45153"/>
    <x v="649"/>
    <x v="3"/>
    <x v="2"/>
    <x v="6"/>
    <s v="AT&amp;T 841000 Phone"/>
    <n v="165.6"/>
    <n v="3"/>
    <x v="381"/>
    <x v="7"/>
    <x v="2"/>
  </r>
  <r>
    <n v="45153"/>
    <x v="649"/>
    <x v="3"/>
    <x v="0"/>
    <x v="0"/>
    <s v="Rediform S.O.S. 1-Up Phone Message Bk, 4-1/4x3-1/16 Bk, 1 Form/Pg, 40 Messages/Bk, 3/Pk"/>
    <n v="37.520000000000003"/>
    <n v="4"/>
    <x v="3415"/>
    <x v="7"/>
    <x v="2"/>
  </r>
  <r>
    <n v="45154"/>
    <x v="500"/>
    <x v="3"/>
    <x v="0"/>
    <x v="10"/>
    <s v="Convenience Packs of Business Envelopes"/>
    <n v="10.86"/>
    <n v="3"/>
    <x v="1194"/>
    <x v="7"/>
    <x v="2"/>
  </r>
  <r>
    <n v="45154"/>
    <x v="771"/>
    <x v="3"/>
    <x v="1"/>
    <x v="13"/>
    <s v="Barricks 18&quot; x 48&quot; Non-Folding Utility Table with Bottom Storage Shelf"/>
    <n v="161.28"/>
    <n v="2"/>
    <x v="3416"/>
    <x v="7"/>
    <x v="2"/>
  </r>
  <r>
    <n v="45154"/>
    <x v="355"/>
    <x v="3"/>
    <x v="0"/>
    <x v="0"/>
    <s v="Xerox 1931"/>
    <n v="32.4"/>
    <n v="5"/>
    <x v="327"/>
    <x v="7"/>
    <x v="2"/>
  </r>
  <r>
    <n v="45155"/>
    <x v="685"/>
    <x v="22"/>
    <x v="0"/>
    <x v="3"/>
    <s v="Acco Pressboard Covers with Storage Hooks, 14 7/8&quot; x 11&quot;, Light Blue"/>
    <n v="15.71"/>
    <n v="4"/>
    <x v="1974"/>
    <x v="7"/>
    <x v="2"/>
  </r>
  <r>
    <n v="45156"/>
    <x v="698"/>
    <x v="20"/>
    <x v="0"/>
    <x v="12"/>
    <s v="Belkin 7 Outlet SurgeMaster II"/>
    <n v="355.32"/>
    <n v="9"/>
    <x v="3417"/>
    <x v="7"/>
    <x v="2"/>
  </r>
  <r>
    <n v="45156"/>
    <x v="480"/>
    <x v="20"/>
    <x v="2"/>
    <x v="6"/>
    <s v="GE DSL Phone Line Filter"/>
    <n v="39.99"/>
    <n v="1"/>
    <x v="3418"/>
    <x v="7"/>
    <x v="2"/>
  </r>
  <r>
    <n v="45156"/>
    <x v="40"/>
    <x v="0"/>
    <x v="0"/>
    <x v="3"/>
    <s v="GBC Wire Binding Combs"/>
    <n v="2.0699999999999998"/>
    <n v="1"/>
    <x v="3419"/>
    <x v="7"/>
    <x v="2"/>
  </r>
  <r>
    <n v="45156"/>
    <x v="40"/>
    <x v="0"/>
    <x v="0"/>
    <x v="0"/>
    <s v="Advantus Motivational Note Cards"/>
    <n v="83.84"/>
    <n v="8"/>
    <x v="3420"/>
    <x v="7"/>
    <x v="2"/>
  </r>
  <r>
    <n v="45156"/>
    <x v="338"/>
    <x v="0"/>
    <x v="1"/>
    <x v="8"/>
    <s v="Staple-based wall hangings"/>
    <n v="9.5500000000000007"/>
    <n v="3"/>
    <x v="2651"/>
    <x v="7"/>
    <x v="2"/>
  </r>
  <r>
    <n v="45156"/>
    <x v="338"/>
    <x v="0"/>
    <x v="1"/>
    <x v="8"/>
    <s v="OIC Stacking Trays"/>
    <n v="5.34"/>
    <n v="4"/>
    <x v="3421"/>
    <x v="7"/>
    <x v="2"/>
  </r>
  <r>
    <n v="45157"/>
    <x v="218"/>
    <x v="20"/>
    <x v="0"/>
    <x v="3"/>
    <s v="Surelock Post Binders"/>
    <n v="146.69"/>
    <n v="6"/>
    <x v="3422"/>
    <x v="7"/>
    <x v="2"/>
  </r>
  <r>
    <n v="45157"/>
    <x v="218"/>
    <x v="20"/>
    <x v="0"/>
    <x v="3"/>
    <s v="Ibico EB-19 Dual Function Manual Binding System"/>
    <n v="276.77999999999997"/>
    <n v="2"/>
    <x v="3423"/>
    <x v="7"/>
    <x v="2"/>
  </r>
  <r>
    <n v="45157"/>
    <x v="218"/>
    <x v="20"/>
    <x v="0"/>
    <x v="3"/>
    <s v="Cardinal HOLDit! Binder Insert Strips,Extra Strips"/>
    <n v="25.32"/>
    <n v="5"/>
    <x v="134"/>
    <x v="7"/>
    <x v="2"/>
  </r>
  <r>
    <n v="45158"/>
    <x v="233"/>
    <x v="14"/>
    <x v="2"/>
    <x v="6"/>
    <s v="SKILCRAFT Telephone Shoulder Rest, 2&quot; x 6.5&quot; x 2.5&quot;, Black"/>
    <n v="14.78"/>
    <n v="2"/>
    <x v="211"/>
    <x v="7"/>
    <x v="2"/>
  </r>
  <r>
    <n v="45159"/>
    <x v="720"/>
    <x v="25"/>
    <x v="0"/>
    <x v="1"/>
    <s v="Avery 49"/>
    <n v="9.2200000000000006"/>
    <n v="4"/>
    <x v="2627"/>
    <x v="7"/>
    <x v="2"/>
  </r>
  <r>
    <n v="45159"/>
    <x v="720"/>
    <x v="25"/>
    <x v="0"/>
    <x v="14"/>
    <s v="Acme 10&quot; Easy Grip Assistive Scissors"/>
    <n v="28.05"/>
    <n v="2"/>
    <x v="3424"/>
    <x v="7"/>
    <x v="2"/>
  </r>
  <r>
    <n v="45159"/>
    <x v="81"/>
    <x v="2"/>
    <x v="1"/>
    <x v="13"/>
    <s v="Iceberg OfficeWorks 42&quot; Round Tables"/>
    <n v="815.29"/>
    <n v="9"/>
    <x v="3425"/>
    <x v="7"/>
    <x v="2"/>
  </r>
  <r>
    <n v="45159"/>
    <x v="759"/>
    <x v="3"/>
    <x v="0"/>
    <x v="3"/>
    <s v="Avery Durable Slant Ring Binders"/>
    <n v="12.67"/>
    <n v="2"/>
    <x v="73"/>
    <x v="7"/>
    <x v="2"/>
  </r>
  <r>
    <n v="45159"/>
    <x v="759"/>
    <x v="3"/>
    <x v="2"/>
    <x v="6"/>
    <s v="Motorola HK250 Universal Bluetooth Headset"/>
    <n v="91.96"/>
    <n v="5"/>
    <x v="3426"/>
    <x v="7"/>
    <x v="2"/>
  </r>
  <r>
    <n v="45159"/>
    <x v="759"/>
    <x v="3"/>
    <x v="2"/>
    <x v="9"/>
    <s v="LogitechÂ Gaming G510s - Keyboard"/>
    <n v="254.97"/>
    <n v="3"/>
    <x v="2878"/>
    <x v="7"/>
    <x v="2"/>
  </r>
  <r>
    <n v="45159"/>
    <x v="759"/>
    <x v="3"/>
    <x v="2"/>
    <x v="6"/>
    <s v="Anker Astro Mini 3000mAh Ultra-Compact Portable Charger"/>
    <n v="31.98"/>
    <n v="2"/>
    <x v="3427"/>
    <x v="7"/>
    <x v="2"/>
  </r>
  <r>
    <n v="45159"/>
    <x v="759"/>
    <x v="3"/>
    <x v="1"/>
    <x v="13"/>
    <s v="Bretford CR8500 Series Meeting Room Furniture"/>
    <n v="2887.06"/>
    <n v="9"/>
    <x v="3428"/>
    <x v="7"/>
    <x v="2"/>
  </r>
  <r>
    <n v="45159"/>
    <x v="759"/>
    <x v="3"/>
    <x v="0"/>
    <x v="0"/>
    <s v="Xerox 1997"/>
    <n v="12.96"/>
    <n v="2"/>
    <x v="113"/>
    <x v="7"/>
    <x v="2"/>
  </r>
  <r>
    <n v="45159"/>
    <x v="759"/>
    <x v="3"/>
    <x v="0"/>
    <x v="0"/>
    <s v="Xerox 1928"/>
    <n v="47.52"/>
    <n v="9"/>
    <x v="3429"/>
    <x v="7"/>
    <x v="2"/>
  </r>
  <r>
    <n v="45159"/>
    <x v="468"/>
    <x v="22"/>
    <x v="0"/>
    <x v="3"/>
    <s v="Avery Durable Slant Ring Binders With Label Holder"/>
    <n v="33.44"/>
    <n v="10"/>
    <x v="235"/>
    <x v="7"/>
    <x v="2"/>
  </r>
  <r>
    <n v="45159"/>
    <x v="144"/>
    <x v="20"/>
    <x v="1"/>
    <x v="5"/>
    <s v="Leather Task Chair, Black"/>
    <n v="573.16999999999996"/>
    <n v="7"/>
    <x v="3430"/>
    <x v="7"/>
    <x v="2"/>
  </r>
  <r>
    <n v="45160"/>
    <x v="353"/>
    <x v="10"/>
    <x v="0"/>
    <x v="12"/>
    <s v="Tripp Lite Isotel 8 Ultra 8 Outlet Metal Surge"/>
    <n v="113.55"/>
    <n v="2"/>
    <x v="3431"/>
    <x v="7"/>
    <x v="2"/>
  </r>
  <r>
    <n v="45160"/>
    <x v="353"/>
    <x v="10"/>
    <x v="0"/>
    <x v="3"/>
    <s v="Avery Durable Poly Binders"/>
    <n v="3.32"/>
    <n v="2"/>
    <x v="3432"/>
    <x v="7"/>
    <x v="2"/>
  </r>
  <r>
    <n v="45160"/>
    <x v="353"/>
    <x v="10"/>
    <x v="0"/>
    <x v="10"/>
    <s v="Airmail Envelopes"/>
    <n v="134.29"/>
    <n v="2"/>
    <x v="3433"/>
    <x v="7"/>
    <x v="2"/>
  </r>
  <r>
    <n v="45160"/>
    <x v="118"/>
    <x v="0"/>
    <x v="0"/>
    <x v="3"/>
    <s v="GBC Standard Recycled Report Covers, Clear Plastic Sheets"/>
    <n v="4.3099999999999996"/>
    <n v="2"/>
    <x v="1851"/>
    <x v="7"/>
    <x v="2"/>
  </r>
  <r>
    <n v="45160"/>
    <x v="320"/>
    <x v="11"/>
    <x v="0"/>
    <x v="3"/>
    <s v="GBC Imprintable Covers"/>
    <n v="26.35"/>
    <n v="8"/>
    <x v="3434"/>
    <x v="7"/>
    <x v="2"/>
  </r>
  <r>
    <n v="45160"/>
    <x v="486"/>
    <x v="22"/>
    <x v="0"/>
    <x v="0"/>
    <s v="Xerox 202"/>
    <n v="19.440000000000001"/>
    <n v="3"/>
    <x v="5"/>
    <x v="7"/>
    <x v="2"/>
  </r>
  <r>
    <n v="45160"/>
    <x v="529"/>
    <x v="26"/>
    <x v="1"/>
    <x v="8"/>
    <s v="Dana Halogen Swing-Arm Architect Lamp"/>
    <n v="98.33"/>
    <n v="3"/>
    <x v="3435"/>
    <x v="7"/>
    <x v="2"/>
  </r>
  <r>
    <n v="45160"/>
    <x v="203"/>
    <x v="3"/>
    <x v="0"/>
    <x v="4"/>
    <s v="Newell 346"/>
    <n v="5.76"/>
    <n v="2"/>
    <x v="688"/>
    <x v="7"/>
    <x v="2"/>
  </r>
  <r>
    <n v="45161"/>
    <x v="772"/>
    <x v="0"/>
    <x v="0"/>
    <x v="2"/>
    <s v="SAFCO Boltless Steel Shelving"/>
    <n v="727.3"/>
    <n v="8"/>
    <x v="3436"/>
    <x v="7"/>
    <x v="2"/>
  </r>
  <r>
    <n v="45161"/>
    <x v="772"/>
    <x v="0"/>
    <x v="1"/>
    <x v="8"/>
    <s v="Flat Face Poster Frame"/>
    <n v="22.61"/>
    <n v="3"/>
    <x v="3106"/>
    <x v="7"/>
    <x v="2"/>
  </r>
  <r>
    <n v="45161"/>
    <x v="772"/>
    <x v="0"/>
    <x v="2"/>
    <x v="9"/>
    <s v="WD My Passport Ultra 2TB Portable External Hard Drive"/>
    <n v="666.4"/>
    <n v="7"/>
    <x v="3437"/>
    <x v="7"/>
    <x v="2"/>
  </r>
  <r>
    <n v="45161"/>
    <x v="282"/>
    <x v="22"/>
    <x v="2"/>
    <x v="15"/>
    <s v="Okidata C331dn Printer"/>
    <n v="837.6"/>
    <n v="3"/>
    <x v="3438"/>
    <x v="7"/>
    <x v="2"/>
  </r>
  <r>
    <n v="45161"/>
    <x v="282"/>
    <x v="22"/>
    <x v="0"/>
    <x v="10"/>
    <s v="Tyvek  Top-Opening Peel &amp; Seel Envelopes, Plain White"/>
    <n v="135.9"/>
    <n v="5"/>
    <x v="3439"/>
    <x v="7"/>
    <x v="2"/>
  </r>
  <r>
    <n v="45161"/>
    <x v="282"/>
    <x v="22"/>
    <x v="0"/>
    <x v="0"/>
    <s v="Xerox 1978"/>
    <n v="34.68"/>
    <n v="6"/>
    <x v="1463"/>
    <x v="7"/>
    <x v="2"/>
  </r>
  <r>
    <n v="45161"/>
    <x v="282"/>
    <x v="22"/>
    <x v="1"/>
    <x v="5"/>
    <s v="Office Star Flex Back Scooter Chair with White Frame"/>
    <n v="532.70000000000005"/>
    <n v="6"/>
    <x v="3440"/>
    <x v="7"/>
    <x v="2"/>
  </r>
  <r>
    <n v="45161"/>
    <x v="282"/>
    <x v="22"/>
    <x v="0"/>
    <x v="12"/>
    <s v="Acco Six-Outlet Power Strip, 4' Cord Length"/>
    <n v="43.1"/>
    <n v="5"/>
    <x v="1498"/>
    <x v="7"/>
    <x v="2"/>
  </r>
  <r>
    <n v="45161"/>
    <x v="282"/>
    <x v="22"/>
    <x v="0"/>
    <x v="14"/>
    <s v="Acme Rosewood Handle Letter Opener"/>
    <n v="15.88"/>
    <n v="4"/>
    <x v="3441"/>
    <x v="7"/>
    <x v="2"/>
  </r>
  <r>
    <n v="45161"/>
    <x v="359"/>
    <x v="20"/>
    <x v="0"/>
    <x v="4"/>
    <s v="Dixon Prang Watercolor Pencils, 10-Color Set with Brush"/>
    <n v="21.3"/>
    <n v="5"/>
    <x v="1541"/>
    <x v="7"/>
    <x v="2"/>
  </r>
  <r>
    <n v="45161"/>
    <x v="359"/>
    <x v="20"/>
    <x v="0"/>
    <x v="12"/>
    <s v="1.7 Cubic Foot Compact &quot;Cube&quot; Office Refrigerators"/>
    <n v="1040.8"/>
    <n v="5"/>
    <x v="3442"/>
    <x v="7"/>
    <x v="2"/>
  </r>
  <r>
    <n v="45161"/>
    <x v="359"/>
    <x v="20"/>
    <x v="0"/>
    <x v="4"/>
    <s v="Newell 331"/>
    <n v="29.34"/>
    <n v="6"/>
    <x v="1271"/>
    <x v="7"/>
    <x v="2"/>
  </r>
  <r>
    <n v="45161"/>
    <x v="338"/>
    <x v="21"/>
    <x v="0"/>
    <x v="1"/>
    <s v="Permanent Self-Adhesive File Folder Labels for Typewriters, 1 1/8 x 3 1/2, White"/>
    <n v="25.2"/>
    <n v="4"/>
    <x v="3296"/>
    <x v="7"/>
    <x v="2"/>
  </r>
  <r>
    <n v="45161"/>
    <x v="338"/>
    <x v="21"/>
    <x v="0"/>
    <x v="1"/>
    <s v="Avery 515"/>
    <n v="37.590000000000003"/>
    <n v="3"/>
    <x v="3443"/>
    <x v="7"/>
    <x v="2"/>
  </r>
  <r>
    <n v="45161"/>
    <x v="338"/>
    <x v="21"/>
    <x v="0"/>
    <x v="2"/>
    <s v="Pizazz Global Quick File"/>
    <n v="14.97"/>
    <n v="1"/>
    <x v="902"/>
    <x v="7"/>
    <x v="2"/>
  </r>
  <r>
    <n v="45161"/>
    <x v="338"/>
    <x v="21"/>
    <x v="2"/>
    <x v="9"/>
    <s v="Maxell 4.7GB DVD+R 5/Pack"/>
    <n v="1.98"/>
    <n v="2"/>
    <x v="1170"/>
    <x v="7"/>
    <x v="2"/>
  </r>
  <r>
    <n v="45164"/>
    <x v="334"/>
    <x v="3"/>
    <x v="0"/>
    <x v="7"/>
    <s v="Advantus SlideClip Paper Clips"/>
    <n v="10.23"/>
    <n v="3"/>
    <x v="135"/>
    <x v="7"/>
    <x v="2"/>
  </r>
  <r>
    <n v="45164"/>
    <x v="334"/>
    <x v="3"/>
    <x v="0"/>
    <x v="0"/>
    <s v="Xerox 1979"/>
    <n v="154.9"/>
    <n v="5"/>
    <x v="820"/>
    <x v="7"/>
    <x v="2"/>
  </r>
  <r>
    <n v="45164"/>
    <x v="49"/>
    <x v="0"/>
    <x v="2"/>
    <x v="9"/>
    <s v="Logitech G700s Rechargeable Gaming Mouse"/>
    <n v="159.97999999999999"/>
    <n v="2"/>
    <x v="3444"/>
    <x v="7"/>
    <x v="2"/>
  </r>
  <r>
    <n v="45164"/>
    <x v="49"/>
    <x v="0"/>
    <x v="1"/>
    <x v="5"/>
    <s v="Hon Deluxe Fabric Upholstered Stacking Chairs"/>
    <n v="1024.72"/>
    <n v="6"/>
    <x v="3445"/>
    <x v="7"/>
    <x v="2"/>
  </r>
  <r>
    <n v="45164"/>
    <x v="309"/>
    <x v="22"/>
    <x v="0"/>
    <x v="0"/>
    <s v="Xerox 1931"/>
    <n v="6.48"/>
    <n v="1"/>
    <x v="1006"/>
    <x v="7"/>
    <x v="2"/>
  </r>
  <r>
    <n v="45164"/>
    <x v="351"/>
    <x v="3"/>
    <x v="1"/>
    <x v="5"/>
    <s v="Global Troy Executive Leather Low-Back Tilter"/>
    <n v="1603.14"/>
    <n v="4"/>
    <x v="3446"/>
    <x v="7"/>
    <x v="2"/>
  </r>
  <r>
    <n v="45164"/>
    <x v="422"/>
    <x v="2"/>
    <x v="0"/>
    <x v="4"/>
    <s v="Binney &amp; Smith inkTank Erasable Pocket Highlighter, Chisel Tip, Yellow"/>
    <n v="5.47"/>
    <n v="3"/>
    <x v="606"/>
    <x v="7"/>
    <x v="2"/>
  </r>
  <r>
    <n v="45164"/>
    <x v="422"/>
    <x v="2"/>
    <x v="2"/>
    <x v="9"/>
    <s v="Logitech Trackman Marble Mouse"/>
    <n v="47.98"/>
    <n v="2"/>
    <x v="966"/>
    <x v="7"/>
    <x v="2"/>
  </r>
  <r>
    <n v="45164"/>
    <x v="324"/>
    <x v="3"/>
    <x v="0"/>
    <x v="4"/>
    <s v="Newell Chalk Holder"/>
    <n v="8.26"/>
    <n v="2"/>
    <x v="338"/>
    <x v="7"/>
    <x v="2"/>
  </r>
  <r>
    <n v="45164"/>
    <x v="696"/>
    <x v="20"/>
    <x v="2"/>
    <x v="6"/>
    <s v="Samsung Replacement EH64AVFWE Premium Headset"/>
    <n v="33"/>
    <n v="6"/>
    <x v="3447"/>
    <x v="7"/>
    <x v="2"/>
  </r>
  <r>
    <n v="45164"/>
    <x v="696"/>
    <x v="20"/>
    <x v="2"/>
    <x v="9"/>
    <s v="Plantronics Audio 478 Stereo USB Headset"/>
    <n v="249.95"/>
    <n v="5"/>
    <x v="3448"/>
    <x v="7"/>
    <x v="2"/>
  </r>
  <r>
    <n v="45164"/>
    <x v="301"/>
    <x v="21"/>
    <x v="2"/>
    <x v="9"/>
    <s v="Memorex Micro Travel Drive 16 GB"/>
    <n v="47.97"/>
    <n v="3"/>
    <x v="3449"/>
    <x v="7"/>
    <x v="2"/>
  </r>
  <r>
    <n v="45164"/>
    <x v="182"/>
    <x v="14"/>
    <x v="0"/>
    <x v="0"/>
    <s v="Xerox 1950"/>
    <n v="11.56"/>
    <n v="2"/>
    <x v="814"/>
    <x v="7"/>
    <x v="2"/>
  </r>
  <r>
    <n v="45164"/>
    <x v="182"/>
    <x v="14"/>
    <x v="2"/>
    <x v="6"/>
    <s v="ClearSounds CSC500 Amplified Spirit Phone Corded phone"/>
    <n v="209.97"/>
    <n v="3"/>
    <x v="2330"/>
    <x v="7"/>
    <x v="2"/>
  </r>
  <r>
    <n v="45164"/>
    <x v="182"/>
    <x v="14"/>
    <x v="1"/>
    <x v="13"/>
    <s v="Hon 4060 Series Tables"/>
    <n v="447.84"/>
    <n v="4"/>
    <x v="3450"/>
    <x v="7"/>
    <x v="2"/>
  </r>
  <r>
    <n v="45164"/>
    <x v="182"/>
    <x v="14"/>
    <x v="2"/>
    <x v="9"/>
    <s v="NETGEAR AC1750 Dual Band GigabitÂ Smart WiFi Router"/>
    <n v="479.97"/>
    <n v="3"/>
    <x v="618"/>
    <x v="7"/>
    <x v="2"/>
  </r>
  <r>
    <n v="45164"/>
    <x v="182"/>
    <x v="14"/>
    <x v="0"/>
    <x v="4"/>
    <s v="Newell 335"/>
    <n v="8.64"/>
    <n v="3"/>
    <x v="368"/>
    <x v="7"/>
    <x v="2"/>
  </r>
  <r>
    <n v="45164"/>
    <x v="21"/>
    <x v="4"/>
    <x v="1"/>
    <x v="8"/>
    <s v="Deflect-o Glass Clear Studded Chair Mats"/>
    <n v="186.54"/>
    <n v="3"/>
    <x v="2555"/>
    <x v="7"/>
    <x v="2"/>
  </r>
  <r>
    <n v="45164"/>
    <x v="687"/>
    <x v="20"/>
    <x v="0"/>
    <x v="3"/>
    <s v="Deluxe Heavy-Duty Vinyl Round Ring Binder"/>
    <n v="146.69"/>
    <n v="8"/>
    <x v="433"/>
    <x v="7"/>
    <x v="2"/>
  </r>
  <r>
    <n v="45164"/>
    <x v="642"/>
    <x v="16"/>
    <x v="0"/>
    <x v="0"/>
    <s v="Xerox 1944"/>
    <n v="31.01"/>
    <n v="1"/>
    <x v="3451"/>
    <x v="7"/>
    <x v="2"/>
  </r>
  <r>
    <n v="45165"/>
    <x v="567"/>
    <x v="0"/>
    <x v="0"/>
    <x v="14"/>
    <s v="Martin-Yale Premier Letter Opener"/>
    <n v="51.52"/>
    <n v="5"/>
    <x v="3452"/>
    <x v="7"/>
    <x v="2"/>
  </r>
  <r>
    <n v="45165"/>
    <x v="567"/>
    <x v="0"/>
    <x v="0"/>
    <x v="0"/>
    <s v="Ampad Gold Fibre Wirebound Steno Books, 6&quot; x 9&quot;, Gregg Ruled"/>
    <n v="3.53"/>
    <n v="1"/>
    <x v="805"/>
    <x v="7"/>
    <x v="2"/>
  </r>
  <r>
    <n v="45165"/>
    <x v="567"/>
    <x v="0"/>
    <x v="0"/>
    <x v="0"/>
    <s v="Xerox 196"/>
    <n v="4.62"/>
    <n v="1"/>
    <x v="967"/>
    <x v="7"/>
    <x v="2"/>
  </r>
  <r>
    <n v="45165"/>
    <x v="567"/>
    <x v="0"/>
    <x v="0"/>
    <x v="14"/>
    <s v="Fiskars 8&quot; Scissors, 2/Pack"/>
    <n v="55.17"/>
    <n v="4"/>
    <x v="363"/>
    <x v="7"/>
    <x v="2"/>
  </r>
  <r>
    <n v="45165"/>
    <x v="764"/>
    <x v="32"/>
    <x v="0"/>
    <x v="0"/>
    <s v="Xerox 1919"/>
    <n v="122.97"/>
    <n v="3"/>
    <x v="221"/>
    <x v="7"/>
    <x v="2"/>
  </r>
  <r>
    <n v="45165"/>
    <x v="764"/>
    <x v="32"/>
    <x v="1"/>
    <x v="13"/>
    <s v="SAFCO PlanMaster Heigh-Adjustable Drafting Table Base, 43w x 30d x 30-37h, Black"/>
    <n v="244.62"/>
    <n v="1"/>
    <x v="1237"/>
    <x v="7"/>
    <x v="2"/>
  </r>
  <r>
    <n v="45165"/>
    <x v="764"/>
    <x v="32"/>
    <x v="2"/>
    <x v="6"/>
    <s v="PureGear Roll-On Screen Protector"/>
    <n v="59.97"/>
    <n v="3"/>
    <x v="575"/>
    <x v="7"/>
    <x v="2"/>
  </r>
  <r>
    <n v="45165"/>
    <x v="764"/>
    <x v="32"/>
    <x v="0"/>
    <x v="0"/>
    <s v="Southworth 25% Cotton Linen-Finish Paper &amp; Envelopes"/>
    <n v="81.540000000000006"/>
    <n v="9"/>
    <x v="41"/>
    <x v="7"/>
    <x v="2"/>
  </r>
  <r>
    <n v="45165"/>
    <x v="764"/>
    <x v="32"/>
    <x v="0"/>
    <x v="7"/>
    <s v="Staples"/>
    <n v="11.68"/>
    <n v="4"/>
    <x v="1803"/>
    <x v="7"/>
    <x v="2"/>
  </r>
  <r>
    <n v="45165"/>
    <x v="764"/>
    <x v="32"/>
    <x v="0"/>
    <x v="3"/>
    <s v="Wilson Jones Clip &amp; Carry Folder Binder Tool for Ring Binders, Clear"/>
    <n v="29"/>
    <n v="5"/>
    <x v="2999"/>
    <x v="7"/>
    <x v="2"/>
  </r>
  <r>
    <n v="45165"/>
    <x v="735"/>
    <x v="0"/>
    <x v="0"/>
    <x v="2"/>
    <s v="Portfile Personal File Boxes"/>
    <n v="14.16"/>
    <n v="1"/>
    <x v="266"/>
    <x v="7"/>
    <x v="2"/>
  </r>
  <r>
    <n v="45165"/>
    <x v="735"/>
    <x v="0"/>
    <x v="0"/>
    <x v="0"/>
    <s v="Southworth 25% Cotton Premium Laser Paper and Envelopes"/>
    <n v="79.92"/>
    <n v="5"/>
    <x v="3453"/>
    <x v="7"/>
    <x v="2"/>
  </r>
  <r>
    <n v="45165"/>
    <x v="551"/>
    <x v="16"/>
    <x v="0"/>
    <x v="1"/>
    <s v="Avery 484"/>
    <n v="9.2200000000000006"/>
    <n v="4"/>
    <x v="2627"/>
    <x v="7"/>
    <x v="2"/>
  </r>
  <r>
    <n v="45166"/>
    <x v="330"/>
    <x v="26"/>
    <x v="0"/>
    <x v="0"/>
    <s v="Wirebound Four 2-3/4 x 5 Forms per Page, 400 Sets per Book"/>
    <n v="15.48"/>
    <n v="3"/>
    <x v="348"/>
    <x v="7"/>
    <x v="2"/>
  </r>
  <r>
    <n v="45166"/>
    <x v="330"/>
    <x v="26"/>
    <x v="2"/>
    <x v="6"/>
    <s v="AT&amp;T 17929 Lendline Telephone"/>
    <n v="108.58"/>
    <n v="3"/>
    <x v="3454"/>
    <x v="7"/>
    <x v="2"/>
  </r>
  <r>
    <n v="45166"/>
    <x v="717"/>
    <x v="0"/>
    <x v="0"/>
    <x v="3"/>
    <s v="Angle-D Binders with Locking Rings, Label Holders"/>
    <n v="13.14"/>
    <n v="9"/>
    <x v="3455"/>
    <x v="7"/>
    <x v="2"/>
  </r>
  <r>
    <n v="45166"/>
    <x v="717"/>
    <x v="0"/>
    <x v="0"/>
    <x v="3"/>
    <s v="GBC ProClick Spines for 32-Hole Punch"/>
    <n v="10.02"/>
    <n v="4"/>
    <x v="3456"/>
    <x v="7"/>
    <x v="2"/>
  </r>
  <r>
    <n v="45166"/>
    <x v="717"/>
    <x v="0"/>
    <x v="1"/>
    <x v="11"/>
    <s v="Sauder Camden County Collection Libraries, Planked Cherry Finish"/>
    <n v="156.37"/>
    <n v="2"/>
    <x v="3457"/>
    <x v="7"/>
    <x v="2"/>
  </r>
  <r>
    <n v="45166"/>
    <x v="615"/>
    <x v="10"/>
    <x v="0"/>
    <x v="3"/>
    <s v="GBC VeloBinder Strips"/>
    <n v="18.43"/>
    <n v="8"/>
    <x v="3458"/>
    <x v="7"/>
    <x v="2"/>
  </r>
  <r>
    <n v="45167"/>
    <x v="81"/>
    <x v="1"/>
    <x v="0"/>
    <x v="0"/>
    <s v="Avery Personal Creations Heavyweight Cards"/>
    <n v="64.62"/>
    <n v="7"/>
    <x v="3459"/>
    <x v="7"/>
    <x v="2"/>
  </r>
  <r>
    <n v="45167"/>
    <x v="81"/>
    <x v="1"/>
    <x v="2"/>
    <x v="9"/>
    <s v="SanDisk Ultra 64 GB MicroSDHC Class 10 Memory Card"/>
    <n v="95.98"/>
    <n v="3"/>
    <x v="762"/>
    <x v="7"/>
    <x v="2"/>
  </r>
  <r>
    <n v="45167"/>
    <x v="81"/>
    <x v="1"/>
    <x v="0"/>
    <x v="3"/>
    <s v="Avery Hidden Tab Dividers for Binding Systems"/>
    <n v="1.79"/>
    <n v="3"/>
    <x v="1082"/>
    <x v="7"/>
    <x v="2"/>
  </r>
  <r>
    <n v="45167"/>
    <x v="692"/>
    <x v="38"/>
    <x v="0"/>
    <x v="14"/>
    <s v="Acme Forged Steel Scissors with Black Enamel Handles"/>
    <n v="27.93"/>
    <n v="3"/>
    <x v="2718"/>
    <x v="7"/>
    <x v="2"/>
  </r>
  <r>
    <n v="45167"/>
    <x v="690"/>
    <x v="20"/>
    <x v="2"/>
    <x v="6"/>
    <s v="Samsung Replacement EH64AVFWE Premium Headset"/>
    <n v="22"/>
    <n v="4"/>
    <x v="215"/>
    <x v="7"/>
    <x v="2"/>
  </r>
  <r>
    <n v="45167"/>
    <x v="169"/>
    <x v="2"/>
    <x v="1"/>
    <x v="13"/>
    <s v="Barricks 18&quot; x 48&quot; Non-Folding Utility Table with Bottom Storage Shelf"/>
    <n v="241.92"/>
    <n v="4"/>
    <x v="3460"/>
    <x v="7"/>
    <x v="2"/>
  </r>
  <r>
    <n v="45167"/>
    <x v="169"/>
    <x v="2"/>
    <x v="1"/>
    <x v="11"/>
    <s v="O'Sullivan 5-Shelf Heavy-Duty Bookcases"/>
    <n v="163.88"/>
    <n v="4"/>
    <x v="3461"/>
    <x v="7"/>
    <x v="2"/>
  </r>
  <r>
    <n v="45167"/>
    <x v="169"/>
    <x v="2"/>
    <x v="0"/>
    <x v="3"/>
    <s v="Fellowes Black Plastic Comb Bindings"/>
    <n v="3.49"/>
    <n v="2"/>
    <x v="3462"/>
    <x v="7"/>
    <x v="2"/>
  </r>
  <r>
    <n v="45167"/>
    <x v="169"/>
    <x v="2"/>
    <x v="0"/>
    <x v="7"/>
    <s v="Revere Boxed Rubber Bands by Revere"/>
    <n v="10.58"/>
    <n v="7"/>
    <x v="2695"/>
    <x v="7"/>
    <x v="2"/>
  </r>
  <r>
    <n v="45168"/>
    <x v="487"/>
    <x v="2"/>
    <x v="2"/>
    <x v="6"/>
    <s v="Aastra 57i VoIP phone"/>
    <n v="290.89999999999998"/>
    <n v="3"/>
    <x v="3463"/>
    <x v="7"/>
    <x v="2"/>
  </r>
  <r>
    <n v="45168"/>
    <x v="487"/>
    <x v="2"/>
    <x v="0"/>
    <x v="2"/>
    <s v="File Shuttle II and Handi-File, Black"/>
    <n v="54.22"/>
    <n v="2"/>
    <x v="1737"/>
    <x v="7"/>
    <x v="2"/>
  </r>
  <r>
    <n v="45168"/>
    <x v="487"/>
    <x v="2"/>
    <x v="1"/>
    <x v="5"/>
    <s v="Hon 2090 Â“Pillow SoftÂ” Series Mid Back Swivel/Tilt Chairs"/>
    <n v="786.74"/>
    <n v="4"/>
    <x v="3464"/>
    <x v="7"/>
    <x v="2"/>
  </r>
  <r>
    <n v="45168"/>
    <x v="487"/>
    <x v="2"/>
    <x v="0"/>
    <x v="1"/>
    <s v="Round Specialty Laser Printer Labels"/>
    <n v="100.24"/>
    <n v="10"/>
    <x v="523"/>
    <x v="7"/>
    <x v="2"/>
  </r>
  <r>
    <n v="45168"/>
    <x v="487"/>
    <x v="2"/>
    <x v="0"/>
    <x v="3"/>
    <s v="GBC Premium Transparent Covers with Diagonal Lined Pattern"/>
    <n v="37.76"/>
    <n v="6"/>
    <x v="3465"/>
    <x v="7"/>
    <x v="2"/>
  </r>
  <r>
    <n v="45168"/>
    <x v="100"/>
    <x v="3"/>
    <x v="1"/>
    <x v="8"/>
    <s v="Executive Impressions 10&quot; Spectator Wall Clock"/>
    <n v="47.04"/>
    <n v="4"/>
    <x v="624"/>
    <x v="7"/>
    <x v="2"/>
  </r>
  <r>
    <n v="45168"/>
    <x v="100"/>
    <x v="3"/>
    <x v="2"/>
    <x v="6"/>
    <s v="Panasonic KX TS3282W Corded phone"/>
    <n v="339.96"/>
    <n v="5"/>
    <x v="2594"/>
    <x v="7"/>
    <x v="2"/>
  </r>
  <r>
    <n v="45169"/>
    <x v="633"/>
    <x v="0"/>
    <x v="0"/>
    <x v="2"/>
    <s v="Super Decoflex Portable Personal File"/>
    <n v="23.97"/>
    <n v="2"/>
    <x v="426"/>
    <x v="7"/>
    <x v="2"/>
  </r>
  <r>
    <n v="45170"/>
    <x v="692"/>
    <x v="20"/>
    <x v="2"/>
    <x v="9"/>
    <s v="Sabrent 4-Port USB 2.0 Hub"/>
    <n v="6.79"/>
    <n v="1"/>
    <x v="3264"/>
    <x v="8"/>
    <x v="2"/>
  </r>
  <r>
    <n v="45170"/>
    <x v="692"/>
    <x v="20"/>
    <x v="0"/>
    <x v="0"/>
    <s v="Xerox 1881"/>
    <n v="24.56"/>
    <n v="2"/>
    <x v="391"/>
    <x v="8"/>
    <x v="2"/>
  </r>
  <r>
    <n v="45170"/>
    <x v="692"/>
    <x v="20"/>
    <x v="0"/>
    <x v="3"/>
    <s v="Acco Hanging Data Binders"/>
    <n v="3.05"/>
    <n v="1"/>
    <x v="130"/>
    <x v="8"/>
    <x v="2"/>
  </r>
  <r>
    <n v="45170"/>
    <x v="692"/>
    <x v="20"/>
    <x v="0"/>
    <x v="0"/>
    <s v="Xerox 1881"/>
    <n v="49.12"/>
    <n v="4"/>
    <x v="641"/>
    <x v="8"/>
    <x v="2"/>
  </r>
  <r>
    <n v="45170"/>
    <x v="692"/>
    <x v="20"/>
    <x v="0"/>
    <x v="3"/>
    <s v="GBC DocuBind P400 Electric Binding System"/>
    <n v="4355.17"/>
    <n v="4"/>
    <x v="3466"/>
    <x v="8"/>
    <x v="2"/>
  </r>
  <r>
    <n v="45170"/>
    <x v="755"/>
    <x v="3"/>
    <x v="0"/>
    <x v="10"/>
    <s v="White Business Envelopes with Contemporary Seam, Recycled White Business Envelopes"/>
    <n v="21.88"/>
    <n v="2"/>
    <x v="2938"/>
    <x v="8"/>
    <x v="2"/>
  </r>
  <r>
    <n v="45170"/>
    <x v="78"/>
    <x v="2"/>
    <x v="0"/>
    <x v="0"/>
    <s v="Telephone Message Books with Fax/Mobile Section, 5 1/2&quot; x 3 3/16&quot;"/>
    <n v="30.48"/>
    <n v="6"/>
    <x v="1528"/>
    <x v="8"/>
    <x v="2"/>
  </r>
  <r>
    <n v="45170"/>
    <x v="78"/>
    <x v="2"/>
    <x v="2"/>
    <x v="6"/>
    <s v="Anker 36W 4-Port USB Wall Charger Travel Power Adapter for iPhone 5s 5c 5"/>
    <n v="23.99"/>
    <n v="2"/>
    <x v="1584"/>
    <x v="8"/>
    <x v="2"/>
  </r>
  <r>
    <n v="45170"/>
    <x v="78"/>
    <x v="2"/>
    <x v="0"/>
    <x v="7"/>
    <s v="Staples"/>
    <n v="16.690000000000001"/>
    <n v="7"/>
    <x v="2369"/>
    <x v="8"/>
    <x v="2"/>
  </r>
  <r>
    <n v="45170"/>
    <x v="190"/>
    <x v="20"/>
    <x v="2"/>
    <x v="9"/>
    <s v="Enermax Aurora Lite Keyboard"/>
    <n v="468.9"/>
    <n v="6"/>
    <x v="76"/>
    <x v="8"/>
    <x v="2"/>
  </r>
  <r>
    <n v="45170"/>
    <x v="190"/>
    <x v="20"/>
    <x v="2"/>
    <x v="9"/>
    <s v="Memorex Mini Travel Drive 64 GB USB 2.0 Flash Drive"/>
    <n v="72.48"/>
    <n v="2"/>
    <x v="3467"/>
    <x v="8"/>
    <x v="2"/>
  </r>
  <r>
    <n v="45170"/>
    <x v="190"/>
    <x v="20"/>
    <x v="0"/>
    <x v="14"/>
    <s v="Acme Value Line Scissors"/>
    <n v="10.95"/>
    <n v="3"/>
    <x v="1300"/>
    <x v="8"/>
    <x v="2"/>
  </r>
  <r>
    <n v="45170"/>
    <x v="190"/>
    <x v="20"/>
    <x v="1"/>
    <x v="8"/>
    <s v="Howard Miller 14-1/2&quot; Diameter Chrome Round Wall Clock"/>
    <n v="191.82"/>
    <n v="3"/>
    <x v="3468"/>
    <x v="8"/>
    <x v="2"/>
  </r>
  <r>
    <n v="45170"/>
    <x v="409"/>
    <x v="14"/>
    <x v="0"/>
    <x v="3"/>
    <s v="Wilson Jones Turn Tabs Binder Tool for Ring Binders"/>
    <n v="24.1"/>
    <n v="5"/>
    <x v="1890"/>
    <x v="8"/>
    <x v="2"/>
  </r>
  <r>
    <n v="45170"/>
    <x v="409"/>
    <x v="14"/>
    <x v="2"/>
    <x v="6"/>
    <s v="Belkin Grip Candy Sheer Case / Cover for iPhone 5 and 5S"/>
    <n v="8.7799999999999994"/>
    <n v="1"/>
    <x v="925"/>
    <x v="8"/>
    <x v="2"/>
  </r>
  <r>
    <n v="45170"/>
    <x v="409"/>
    <x v="14"/>
    <x v="0"/>
    <x v="12"/>
    <s v="Eureka The Boss Plus 12-Amp Hard Box Upright Vacuum, Red"/>
    <n v="376.74"/>
    <n v="4"/>
    <x v="3469"/>
    <x v="8"/>
    <x v="2"/>
  </r>
  <r>
    <n v="45170"/>
    <x v="409"/>
    <x v="14"/>
    <x v="0"/>
    <x v="3"/>
    <s v="GBC Plastic Binding Combs"/>
    <n v="29.52"/>
    <n v="4"/>
    <x v="2784"/>
    <x v="8"/>
    <x v="2"/>
  </r>
  <r>
    <n v="45170"/>
    <x v="409"/>
    <x v="14"/>
    <x v="0"/>
    <x v="4"/>
    <s v="Newell 315"/>
    <n v="11.96"/>
    <n v="2"/>
    <x v="1894"/>
    <x v="8"/>
    <x v="2"/>
  </r>
  <r>
    <n v="45170"/>
    <x v="409"/>
    <x v="14"/>
    <x v="0"/>
    <x v="3"/>
    <s v="Wilson Jones 1&quot; Hanging DublLock Ring Binders"/>
    <n v="26.4"/>
    <n v="5"/>
    <x v="2714"/>
    <x v="8"/>
    <x v="2"/>
  </r>
  <r>
    <n v="45170"/>
    <x v="162"/>
    <x v="3"/>
    <x v="0"/>
    <x v="10"/>
    <s v="Globe Weis Peel &amp; Seel First Class Envelopes"/>
    <n v="12.78"/>
    <n v="1"/>
    <x v="2568"/>
    <x v="8"/>
    <x v="2"/>
  </r>
  <r>
    <n v="45171"/>
    <x v="502"/>
    <x v="20"/>
    <x v="0"/>
    <x v="4"/>
    <s v="Panasonic KP-150 Electric Pencil Sharpener"/>
    <n v="75.48"/>
    <n v="2"/>
    <x v="40"/>
    <x v="8"/>
    <x v="2"/>
  </r>
  <r>
    <n v="45171"/>
    <x v="502"/>
    <x v="20"/>
    <x v="1"/>
    <x v="8"/>
    <s v="Telescoping Adjustable Floor Lamp"/>
    <n v="39.979999999999997"/>
    <n v="2"/>
    <x v="3470"/>
    <x v="8"/>
    <x v="2"/>
  </r>
  <r>
    <n v="45171"/>
    <x v="331"/>
    <x v="21"/>
    <x v="0"/>
    <x v="7"/>
    <s v="Colored Push Pins"/>
    <n v="1.81"/>
    <n v="1"/>
    <x v="574"/>
    <x v="8"/>
    <x v="2"/>
  </r>
  <r>
    <n v="45171"/>
    <x v="331"/>
    <x v="21"/>
    <x v="0"/>
    <x v="3"/>
    <s v="ACCOHIDE 3-Ring Binder, Blue, 1&quot;"/>
    <n v="8.26"/>
    <n v="2"/>
    <x v="2014"/>
    <x v="8"/>
    <x v="2"/>
  </r>
  <r>
    <n v="45171"/>
    <x v="381"/>
    <x v="3"/>
    <x v="0"/>
    <x v="2"/>
    <s v="Tenex File Box, Personal Filing Tote with Lid, Black"/>
    <n v="46.53"/>
    <n v="3"/>
    <x v="3416"/>
    <x v="8"/>
    <x v="2"/>
  </r>
  <r>
    <n v="45171"/>
    <x v="556"/>
    <x v="1"/>
    <x v="0"/>
    <x v="1"/>
    <s v="Self-Adhesive Address Labels for Typewriters by Universal"/>
    <n v="29.24"/>
    <n v="5"/>
    <x v="2023"/>
    <x v="8"/>
    <x v="2"/>
  </r>
  <r>
    <n v="45171"/>
    <x v="556"/>
    <x v="1"/>
    <x v="0"/>
    <x v="2"/>
    <s v="Rogers Deluxe File Chest"/>
    <n v="35.17"/>
    <n v="2"/>
    <x v="1450"/>
    <x v="8"/>
    <x v="2"/>
  </r>
  <r>
    <n v="45171"/>
    <x v="556"/>
    <x v="1"/>
    <x v="2"/>
    <x v="15"/>
    <s v="Okidata C610n Printer"/>
    <n v="1362.9"/>
    <n v="3"/>
    <x v="3471"/>
    <x v="8"/>
    <x v="2"/>
  </r>
  <r>
    <n v="45171"/>
    <x v="398"/>
    <x v="1"/>
    <x v="1"/>
    <x v="8"/>
    <s v="Deflect-o DuraMat Antistatic Studded Beveled Mat for Medium Pile Carpeting"/>
    <n v="84.27"/>
    <n v="2"/>
    <x v="3472"/>
    <x v="8"/>
    <x v="2"/>
  </r>
  <r>
    <n v="45171"/>
    <x v="364"/>
    <x v="25"/>
    <x v="0"/>
    <x v="3"/>
    <s v="Heavy-Duty E-Z-D Binders"/>
    <n v="22.91"/>
    <n v="7"/>
    <x v="3473"/>
    <x v="8"/>
    <x v="2"/>
  </r>
  <r>
    <n v="45171"/>
    <x v="364"/>
    <x v="25"/>
    <x v="0"/>
    <x v="12"/>
    <s v="Belkin F9M820V08 8 Outlet Surge"/>
    <n v="309.45999999999998"/>
    <n v="9"/>
    <x v="3474"/>
    <x v="8"/>
    <x v="2"/>
  </r>
  <r>
    <n v="45171"/>
    <x v="364"/>
    <x v="25"/>
    <x v="0"/>
    <x v="4"/>
    <s v="Zebra Zazzle Fluorescent Highlighters"/>
    <n v="19.46"/>
    <n v="4"/>
    <x v="119"/>
    <x v="8"/>
    <x v="2"/>
  </r>
  <r>
    <n v="45171"/>
    <x v="364"/>
    <x v="25"/>
    <x v="1"/>
    <x v="13"/>
    <s v="Hon Racetrack Conference Tables"/>
    <n v="472.52"/>
    <n v="3"/>
    <x v="3475"/>
    <x v="8"/>
    <x v="2"/>
  </r>
  <r>
    <n v="45171"/>
    <x v="364"/>
    <x v="25"/>
    <x v="2"/>
    <x v="9"/>
    <s v="Plantronics Savi W720 Multi-Device Wireless Headset System"/>
    <n v="1012.68"/>
    <n v="3"/>
    <x v="3476"/>
    <x v="8"/>
    <x v="2"/>
  </r>
  <r>
    <n v="45171"/>
    <x v="364"/>
    <x v="25"/>
    <x v="0"/>
    <x v="3"/>
    <s v="GBC Plasticlear Binding Covers"/>
    <n v="17.22"/>
    <n v="5"/>
    <x v="3477"/>
    <x v="8"/>
    <x v="2"/>
  </r>
  <r>
    <n v="45171"/>
    <x v="614"/>
    <x v="22"/>
    <x v="2"/>
    <x v="16"/>
    <s v="Hewlett Packard 610 Color Digital Copier / Printer"/>
    <n v="999.98"/>
    <n v="2"/>
    <x v="2739"/>
    <x v="8"/>
    <x v="2"/>
  </r>
  <r>
    <n v="45171"/>
    <x v="476"/>
    <x v="0"/>
    <x v="0"/>
    <x v="3"/>
    <s v="Acco PRESSTEX Data Binder with Storage Hooks, Dark Blue, 9 1/2&quot; X 11&quot;"/>
    <n v="8.61"/>
    <n v="8"/>
    <x v="3478"/>
    <x v="8"/>
    <x v="2"/>
  </r>
  <r>
    <n v="45171"/>
    <x v="476"/>
    <x v="0"/>
    <x v="2"/>
    <x v="9"/>
    <s v="LogitechÂ MX Performance Wireless Mouse"/>
    <n v="159.56"/>
    <n v="5"/>
    <x v="3479"/>
    <x v="8"/>
    <x v="2"/>
  </r>
  <r>
    <n v="45171"/>
    <x v="383"/>
    <x v="22"/>
    <x v="1"/>
    <x v="5"/>
    <s v="Global Leather Task Chair, Black"/>
    <n v="215.98"/>
    <n v="3"/>
    <x v="2425"/>
    <x v="8"/>
    <x v="2"/>
  </r>
  <r>
    <n v="45171"/>
    <x v="383"/>
    <x v="22"/>
    <x v="0"/>
    <x v="10"/>
    <s v="Inter-Office Recycled Envelopes, Brown Kraft, Button-String,10&quot; x 13&quot; , 100/Box"/>
    <n v="65.94"/>
    <n v="3"/>
    <x v="3480"/>
    <x v="8"/>
    <x v="2"/>
  </r>
  <r>
    <n v="45171"/>
    <x v="336"/>
    <x v="3"/>
    <x v="1"/>
    <x v="8"/>
    <s v="Ultra Door Pull Handle"/>
    <n v="94.68"/>
    <n v="9"/>
    <x v="3481"/>
    <x v="8"/>
    <x v="2"/>
  </r>
  <r>
    <n v="45171"/>
    <x v="336"/>
    <x v="3"/>
    <x v="0"/>
    <x v="2"/>
    <s v="Akro Stacking Bins"/>
    <n v="23.67"/>
    <n v="3"/>
    <x v="2825"/>
    <x v="8"/>
    <x v="2"/>
  </r>
  <r>
    <n v="45171"/>
    <x v="336"/>
    <x v="3"/>
    <x v="2"/>
    <x v="6"/>
    <s v="Cisco Unified IP Phone 7945G VoIP phone"/>
    <n v="1091.17"/>
    <n v="4"/>
    <x v="770"/>
    <x v="8"/>
    <x v="2"/>
  </r>
  <r>
    <n v="45171"/>
    <x v="336"/>
    <x v="3"/>
    <x v="0"/>
    <x v="4"/>
    <s v="Blackstonian Pencils"/>
    <n v="18.690000000000001"/>
    <n v="7"/>
    <x v="1292"/>
    <x v="8"/>
    <x v="2"/>
  </r>
  <r>
    <n v="45171"/>
    <x v="336"/>
    <x v="3"/>
    <x v="1"/>
    <x v="13"/>
    <s v="Chromcraft Rectangular Conference Tables"/>
    <n v="568.73"/>
    <n v="3"/>
    <x v="3482"/>
    <x v="8"/>
    <x v="2"/>
  </r>
  <r>
    <n v="45171"/>
    <x v="336"/>
    <x v="3"/>
    <x v="0"/>
    <x v="3"/>
    <s v="SpineVue Locking Slant-D Ring Binders by Cardinal"/>
    <n v="7.31"/>
    <n v="1"/>
    <x v="1393"/>
    <x v="8"/>
    <x v="2"/>
  </r>
  <r>
    <n v="45172"/>
    <x v="125"/>
    <x v="2"/>
    <x v="0"/>
    <x v="3"/>
    <s v="GBC Ibimaster 500 Manual ProClick Binding System"/>
    <n v="1141.47"/>
    <n v="5"/>
    <x v="3483"/>
    <x v="8"/>
    <x v="2"/>
  </r>
  <r>
    <n v="45172"/>
    <x v="125"/>
    <x v="2"/>
    <x v="2"/>
    <x v="6"/>
    <s v="Cisco SPA301"/>
    <n v="280.77999999999997"/>
    <n v="3"/>
    <x v="3484"/>
    <x v="8"/>
    <x v="2"/>
  </r>
  <r>
    <n v="45172"/>
    <x v="488"/>
    <x v="1"/>
    <x v="1"/>
    <x v="8"/>
    <s v="Tenex &quot;The Solids&quot; Textured Chair Mats"/>
    <n v="83.95"/>
    <n v="3"/>
    <x v="3485"/>
    <x v="8"/>
    <x v="2"/>
  </r>
  <r>
    <n v="45172"/>
    <x v="246"/>
    <x v="1"/>
    <x v="0"/>
    <x v="3"/>
    <s v="XtraLife ClearVue Slant-D Ring Binder, White, 3&quot;"/>
    <n v="8.81"/>
    <n v="3"/>
    <x v="3486"/>
    <x v="8"/>
    <x v="2"/>
  </r>
  <r>
    <n v="45172"/>
    <x v="76"/>
    <x v="37"/>
    <x v="0"/>
    <x v="0"/>
    <s v="Adams Phone Message Book, 200 Message Capacity, 8 1/16Â” x 11Â”"/>
    <n v="48.16"/>
    <n v="7"/>
    <x v="3487"/>
    <x v="8"/>
    <x v="2"/>
  </r>
  <r>
    <n v="45172"/>
    <x v="612"/>
    <x v="21"/>
    <x v="0"/>
    <x v="2"/>
    <s v="Crate-A-Files"/>
    <n v="54.5"/>
    <n v="5"/>
    <x v="160"/>
    <x v="8"/>
    <x v="2"/>
  </r>
  <r>
    <n v="45172"/>
    <x v="563"/>
    <x v="8"/>
    <x v="0"/>
    <x v="3"/>
    <s v="Heavy-Duty E-Z-D Binders"/>
    <n v="87.28"/>
    <n v="8"/>
    <x v="3488"/>
    <x v="8"/>
    <x v="2"/>
  </r>
  <r>
    <n v="45172"/>
    <x v="221"/>
    <x v="36"/>
    <x v="1"/>
    <x v="11"/>
    <s v="Sauder Camden County Collection Libraries, Planked Cherry Finish"/>
    <n v="344.94"/>
    <n v="3"/>
    <x v="3489"/>
    <x v="8"/>
    <x v="2"/>
  </r>
  <r>
    <n v="45172"/>
    <x v="221"/>
    <x v="36"/>
    <x v="1"/>
    <x v="8"/>
    <s v="Eldon Expressions Wood Desk Accessories, Oak"/>
    <n v="14.76"/>
    <n v="2"/>
    <x v="1180"/>
    <x v="8"/>
    <x v="2"/>
  </r>
  <r>
    <n v="45172"/>
    <x v="221"/>
    <x v="36"/>
    <x v="0"/>
    <x v="3"/>
    <s v="Acco Expandable Hanging Binders"/>
    <n v="12.76"/>
    <n v="2"/>
    <x v="1243"/>
    <x v="8"/>
    <x v="2"/>
  </r>
  <r>
    <n v="45172"/>
    <x v="221"/>
    <x v="36"/>
    <x v="0"/>
    <x v="1"/>
    <s v="Avery 486"/>
    <n v="58.48"/>
    <n v="8"/>
    <x v="868"/>
    <x v="8"/>
    <x v="2"/>
  </r>
  <r>
    <n v="45172"/>
    <x v="751"/>
    <x v="1"/>
    <x v="1"/>
    <x v="11"/>
    <s v="Safco Value Mate Steel Bookcase, Baked Enamel Finish on Steel, Black"/>
    <n v="198.74"/>
    <n v="4"/>
    <x v="62"/>
    <x v="8"/>
    <x v="2"/>
  </r>
  <r>
    <n v="45172"/>
    <x v="719"/>
    <x v="10"/>
    <x v="0"/>
    <x v="0"/>
    <s v="Wirebound Four 2-3/4 x 5 Forms per Page, 400 Sets per Book"/>
    <n v="30.96"/>
    <n v="6"/>
    <x v="3490"/>
    <x v="8"/>
    <x v="2"/>
  </r>
  <r>
    <n v="45173"/>
    <x v="325"/>
    <x v="0"/>
    <x v="0"/>
    <x v="4"/>
    <s v="Faber Castell Col-Erase Pencils"/>
    <n v="3.91"/>
    <n v="1"/>
    <x v="812"/>
    <x v="8"/>
    <x v="2"/>
  </r>
  <r>
    <n v="45173"/>
    <x v="325"/>
    <x v="0"/>
    <x v="0"/>
    <x v="4"/>
    <s v="BOSTON Ranger #55 Pencil Sharpener, Black"/>
    <n v="62.38"/>
    <n v="3"/>
    <x v="162"/>
    <x v="8"/>
    <x v="2"/>
  </r>
  <r>
    <n v="45173"/>
    <x v="107"/>
    <x v="20"/>
    <x v="1"/>
    <x v="8"/>
    <s v="Howard Miller 16&quot; Diameter Gallery Wall Clock"/>
    <n v="63.94"/>
    <n v="1"/>
    <x v="1769"/>
    <x v="8"/>
    <x v="2"/>
  </r>
  <r>
    <n v="45173"/>
    <x v="107"/>
    <x v="20"/>
    <x v="0"/>
    <x v="3"/>
    <s v="Plastic Binding Combs"/>
    <n v="60.6"/>
    <n v="5"/>
    <x v="3491"/>
    <x v="8"/>
    <x v="2"/>
  </r>
  <r>
    <n v="45173"/>
    <x v="107"/>
    <x v="20"/>
    <x v="0"/>
    <x v="14"/>
    <s v="Acme Preferred Stainless Steel Scissors"/>
    <n v="22.72"/>
    <n v="4"/>
    <x v="225"/>
    <x v="8"/>
    <x v="2"/>
  </r>
  <r>
    <n v="45173"/>
    <x v="16"/>
    <x v="15"/>
    <x v="0"/>
    <x v="0"/>
    <s v="RSVP Cards &amp; Envelopes, Blank White, 8-1/2&quot; X 11&quot;, 24 Cards/25 Envelopes/Set"/>
    <n v="12.19"/>
    <n v="3"/>
    <x v="889"/>
    <x v="8"/>
    <x v="2"/>
  </r>
  <r>
    <n v="45173"/>
    <x v="16"/>
    <x v="15"/>
    <x v="0"/>
    <x v="12"/>
    <s v="Belkin 5 Outlet SurgeMaster Power Centers"/>
    <n v="87.17"/>
    <n v="2"/>
    <x v="3492"/>
    <x v="8"/>
    <x v="2"/>
  </r>
  <r>
    <n v="45173"/>
    <x v="16"/>
    <x v="15"/>
    <x v="0"/>
    <x v="4"/>
    <s v="Prismacolor Color Pencil Set"/>
    <n v="31.74"/>
    <n v="2"/>
    <x v="2435"/>
    <x v="8"/>
    <x v="2"/>
  </r>
  <r>
    <n v="45173"/>
    <x v="266"/>
    <x v="5"/>
    <x v="1"/>
    <x v="8"/>
    <s v="Coloredge Poster Frame"/>
    <n v="42.6"/>
    <n v="3"/>
    <x v="2032"/>
    <x v="8"/>
    <x v="2"/>
  </r>
  <r>
    <n v="45173"/>
    <x v="266"/>
    <x v="5"/>
    <x v="0"/>
    <x v="3"/>
    <s v="Poly Designer Cover &amp; Back"/>
    <n v="113.94"/>
    <n v="6"/>
    <x v="3493"/>
    <x v="8"/>
    <x v="2"/>
  </r>
  <r>
    <n v="45173"/>
    <x v="266"/>
    <x v="5"/>
    <x v="0"/>
    <x v="2"/>
    <s v="Fellowes Neat Ideas Storage Cubes"/>
    <n v="129.91999999999999"/>
    <n v="4"/>
    <x v="3121"/>
    <x v="8"/>
    <x v="2"/>
  </r>
  <r>
    <n v="45173"/>
    <x v="266"/>
    <x v="5"/>
    <x v="0"/>
    <x v="4"/>
    <s v="Nontoxic Chalk"/>
    <n v="5.28"/>
    <n v="3"/>
    <x v="2350"/>
    <x v="8"/>
    <x v="2"/>
  </r>
  <r>
    <n v="45173"/>
    <x v="132"/>
    <x v="28"/>
    <x v="0"/>
    <x v="2"/>
    <s v="Hot File 7-Pocket, Floor Stand"/>
    <n v="535.41"/>
    <n v="3"/>
    <x v="680"/>
    <x v="8"/>
    <x v="2"/>
  </r>
  <r>
    <n v="45173"/>
    <x v="2"/>
    <x v="24"/>
    <x v="0"/>
    <x v="10"/>
    <s v="Staple envelope"/>
    <n v="16.559999999999999"/>
    <n v="2"/>
    <x v="1296"/>
    <x v="8"/>
    <x v="2"/>
  </r>
  <r>
    <n v="45173"/>
    <x v="2"/>
    <x v="24"/>
    <x v="2"/>
    <x v="9"/>
    <s v="Sony Micro Vault Click 16 GB USB 2.0 Flash Drive"/>
    <n v="279.95"/>
    <n v="5"/>
    <x v="506"/>
    <x v="8"/>
    <x v="2"/>
  </r>
  <r>
    <n v="45173"/>
    <x v="355"/>
    <x v="13"/>
    <x v="0"/>
    <x v="0"/>
    <s v="Xerox 1886"/>
    <n v="239.5"/>
    <n v="5"/>
    <x v="3494"/>
    <x v="8"/>
    <x v="2"/>
  </r>
  <r>
    <n v="45173"/>
    <x v="24"/>
    <x v="3"/>
    <x v="1"/>
    <x v="8"/>
    <s v="6&quot; Cubicle Wall Clock, Black"/>
    <n v="24.27"/>
    <n v="3"/>
    <x v="3495"/>
    <x v="8"/>
    <x v="2"/>
  </r>
  <r>
    <n v="45173"/>
    <x v="24"/>
    <x v="3"/>
    <x v="2"/>
    <x v="16"/>
    <s v="Canon PC1060 Personal Laser Copier"/>
    <n v="2799.96"/>
    <n v="5"/>
    <x v="3316"/>
    <x v="8"/>
    <x v="2"/>
  </r>
  <r>
    <n v="45174"/>
    <x v="104"/>
    <x v="2"/>
    <x v="1"/>
    <x v="8"/>
    <s v="Howard Miller 13-3/4&quot; Diameter Brushed Chrome Round Wall Clock"/>
    <n v="82.8"/>
    <n v="2"/>
    <x v="381"/>
    <x v="8"/>
    <x v="2"/>
  </r>
  <r>
    <n v="45174"/>
    <x v="500"/>
    <x v="14"/>
    <x v="1"/>
    <x v="8"/>
    <s v="Aluminum Document Frame"/>
    <n v="12.22"/>
    <n v="1"/>
    <x v="3056"/>
    <x v="8"/>
    <x v="2"/>
  </r>
  <r>
    <n v="45174"/>
    <x v="500"/>
    <x v="14"/>
    <x v="0"/>
    <x v="2"/>
    <s v="Fellowes Bankers Box Staxonsteel Drawer File/Stacking System"/>
    <n v="194.94"/>
    <n v="3"/>
    <x v="3496"/>
    <x v="8"/>
    <x v="2"/>
  </r>
  <r>
    <n v="45174"/>
    <x v="500"/>
    <x v="14"/>
    <x v="0"/>
    <x v="2"/>
    <s v="Eldon Mobile Mega Data Cart  Mega Stackable  Add-On Trays"/>
    <n v="70.95"/>
    <n v="3"/>
    <x v="2608"/>
    <x v="8"/>
    <x v="2"/>
  </r>
  <r>
    <n v="45174"/>
    <x v="500"/>
    <x v="14"/>
    <x v="0"/>
    <x v="0"/>
    <s v="Xerox Color Copier Paper, 11&quot; x 17&quot;, Ream"/>
    <n v="91.36"/>
    <n v="4"/>
    <x v="1468"/>
    <x v="8"/>
    <x v="2"/>
  </r>
  <r>
    <n v="45174"/>
    <x v="500"/>
    <x v="14"/>
    <x v="1"/>
    <x v="5"/>
    <s v="Office Star - Ergonomically Designed Knee Chair"/>
    <n v="242.94"/>
    <n v="3"/>
    <x v="2233"/>
    <x v="8"/>
    <x v="2"/>
  </r>
  <r>
    <n v="45174"/>
    <x v="500"/>
    <x v="14"/>
    <x v="0"/>
    <x v="1"/>
    <s v="Avery 520"/>
    <n v="22.05"/>
    <n v="7"/>
    <x v="2711"/>
    <x v="8"/>
    <x v="2"/>
  </r>
  <r>
    <n v="45174"/>
    <x v="546"/>
    <x v="30"/>
    <x v="2"/>
    <x v="6"/>
    <s v="Geemarc AmpliPOWER60"/>
    <n v="278.39999999999998"/>
    <n v="3"/>
    <x v="3497"/>
    <x v="8"/>
    <x v="2"/>
  </r>
  <r>
    <n v="45174"/>
    <x v="671"/>
    <x v="42"/>
    <x v="0"/>
    <x v="4"/>
    <s v="Panasonic KP-380BK Classic Electric Pencil Sharpener"/>
    <n v="107.94"/>
    <n v="3"/>
    <x v="3498"/>
    <x v="8"/>
    <x v="2"/>
  </r>
  <r>
    <n v="45174"/>
    <x v="278"/>
    <x v="0"/>
    <x v="1"/>
    <x v="5"/>
    <s v="Situations Contoured Folding Chairs, 4/Set"/>
    <n v="347.8"/>
    <n v="7"/>
    <x v="3499"/>
    <x v="8"/>
    <x v="2"/>
  </r>
  <r>
    <n v="45174"/>
    <x v="44"/>
    <x v="3"/>
    <x v="2"/>
    <x v="9"/>
    <s v="HP Standard 104 key PS/2 Keyboard"/>
    <n v="116"/>
    <n v="8"/>
    <x v="3500"/>
    <x v="8"/>
    <x v="2"/>
  </r>
  <r>
    <n v="45174"/>
    <x v="29"/>
    <x v="2"/>
    <x v="0"/>
    <x v="3"/>
    <s v="C-Line Peel &amp; Stick Add-On Filing Pockets, 8-3/4 x 5-1/8, 10/Pack"/>
    <n v="9.56"/>
    <n v="5"/>
    <x v="3501"/>
    <x v="8"/>
    <x v="2"/>
  </r>
  <r>
    <n v="45174"/>
    <x v="406"/>
    <x v="15"/>
    <x v="0"/>
    <x v="10"/>
    <s v="Staple envelope"/>
    <n v="23.47"/>
    <n v="3"/>
    <x v="1474"/>
    <x v="8"/>
    <x v="2"/>
  </r>
  <r>
    <n v="45174"/>
    <x v="406"/>
    <x v="15"/>
    <x v="0"/>
    <x v="3"/>
    <s v="Wilson Jones Ledger-Size, Piano-Hinge Binder, 2&quot;, Blue"/>
    <n v="86.06"/>
    <n v="7"/>
    <x v="3502"/>
    <x v="8"/>
    <x v="2"/>
  </r>
  <r>
    <n v="45174"/>
    <x v="406"/>
    <x v="15"/>
    <x v="2"/>
    <x v="6"/>
    <s v="Nortel Networks T7316 E Nt8 B27"/>
    <n v="108.78"/>
    <n v="2"/>
    <x v="1054"/>
    <x v="8"/>
    <x v="2"/>
  </r>
  <r>
    <n v="45174"/>
    <x v="406"/>
    <x v="15"/>
    <x v="0"/>
    <x v="0"/>
    <s v="Xerox 1971"/>
    <n v="10.27"/>
    <n v="3"/>
    <x v="2194"/>
    <x v="8"/>
    <x v="2"/>
  </r>
  <r>
    <n v="45174"/>
    <x v="292"/>
    <x v="0"/>
    <x v="0"/>
    <x v="12"/>
    <s v="Eureka The Boss Plus 12-Amp Hard Box Upright Vacuum, Red"/>
    <n v="62.79"/>
    <n v="3"/>
    <x v="3503"/>
    <x v="8"/>
    <x v="2"/>
  </r>
  <r>
    <n v="45174"/>
    <x v="292"/>
    <x v="0"/>
    <x v="0"/>
    <x v="7"/>
    <s v="Advantus Map Pennant Flags and Round Head Tacks"/>
    <n v="28.44"/>
    <n v="9"/>
    <x v="1"/>
    <x v="8"/>
    <x v="2"/>
  </r>
  <r>
    <n v="45174"/>
    <x v="343"/>
    <x v="3"/>
    <x v="0"/>
    <x v="0"/>
    <s v="14-7/8 x 11 Blue Bar Computer Printout Paper"/>
    <n v="96.08"/>
    <n v="2"/>
    <x v="2593"/>
    <x v="8"/>
    <x v="2"/>
  </r>
  <r>
    <n v="45174"/>
    <x v="343"/>
    <x v="3"/>
    <x v="0"/>
    <x v="3"/>
    <s v="Angle-D Binders with Locking Rings, Label Holders"/>
    <n v="11.68"/>
    <n v="2"/>
    <x v="3258"/>
    <x v="8"/>
    <x v="2"/>
  </r>
  <r>
    <n v="45174"/>
    <x v="343"/>
    <x v="3"/>
    <x v="0"/>
    <x v="7"/>
    <s v="Advantus Push Pins"/>
    <n v="4.3600000000000003"/>
    <n v="2"/>
    <x v="46"/>
    <x v="8"/>
    <x v="2"/>
  </r>
  <r>
    <n v="45174"/>
    <x v="286"/>
    <x v="0"/>
    <x v="0"/>
    <x v="0"/>
    <s v="Xerox 202"/>
    <n v="25.92"/>
    <n v="5"/>
    <x v="278"/>
    <x v="8"/>
    <x v="2"/>
  </r>
  <r>
    <n v="45174"/>
    <x v="286"/>
    <x v="0"/>
    <x v="0"/>
    <x v="7"/>
    <s v="Staples"/>
    <n v="15.81"/>
    <n v="8"/>
    <x v="21"/>
    <x v="8"/>
    <x v="2"/>
  </r>
  <r>
    <n v="45174"/>
    <x v="286"/>
    <x v="0"/>
    <x v="0"/>
    <x v="0"/>
    <s v="Xerox 1930"/>
    <n v="10.37"/>
    <n v="2"/>
    <x v="3504"/>
    <x v="8"/>
    <x v="2"/>
  </r>
  <r>
    <n v="45174"/>
    <x v="20"/>
    <x v="20"/>
    <x v="0"/>
    <x v="0"/>
    <s v="Xerox 1885"/>
    <n v="192.16"/>
    <n v="4"/>
    <x v="3505"/>
    <x v="8"/>
    <x v="2"/>
  </r>
  <r>
    <n v="45174"/>
    <x v="397"/>
    <x v="0"/>
    <x v="0"/>
    <x v="2"/>
    <s v="Eldon Base for stackable storage shelf, platinum"/>
    <n v="93.46"/>
    <n v="3"/>
    <x v="3506"/>
    <x v="8"/>
    <x v="2"/>
  </r>
  <r>
    <n v="45174"/>
    <x v="13"/>
    <x v="6"/>
    <x v="0"/>
    <x v="1"/>
    <s v="Avery 50"/>
    <n v="25.06"/>
    <n v="2"/>
    <x v="1408"/>
    <x v="8"/>
    <x v="2"/>
  </r>
  <r>
    <n v="45174"/>
    <x v="13"/>
    <x v="6"/>
    <x v="1"/>
    <x v="13"/>
    <s v="Chromcraft Bull-Nose Wood 48&quot; x 96&quot; Rectangular Conference Tables"/>
    <n v="1652.94"/>
    <n v="3"/>
    <x v="3507"/>
    <x v="8"/>
    <x v="2"/>
  </r>
  <r>
    <n v="45174"/>
    <x v="720"/>
    <x v="1"/>
    <x v="0"/>
    <x v="0"/>
    <s v="Xerox 196"/>
    <n v="9.25"/>
    <n v="2"/>
    <x v="318"/>
    <x v="8"/>
    <x v="2"/>
  </r>
  <r>
    <n v="45174"/>
    <x v="496"/>
    <x v="10"/>
    <x v="0"/>
    <x v="3"/>
    <s v="Recycled Easel Ring Binders"/>
    <n v="8.9499999999999993"/>
    <n v="2"/>
    <x v="3508"/>
    <x v="8"/>
    <x v="2"/>
  </r>
  <r>
    <n v="45174"/>
    <x v="496"/>
    <x v="10"/>
    <x v="0"/>
    <x v="3"/>
    <s v="Pressboard Hanging Data Binders for Unburst Sheets"/>
    <n v="8.86"/>
    <n v="6"/>
    <x v="3509"/>
    <x v="8"/>
    <x v="2"/>
  </r>
  <r>
    <n v="45174"/>
    <x v="496"/>
    <x v="10"/>
    <x v="1"/>
    <x v="5"/>
    <s v="Global Push Button Manager's Chair, Indigo"/>
    <n v="85.25"/>
    <n v="2"/>
    <x v="3510"/>
    <x v="8"/>
    <x v="2"/>
  </r>
  <r>
    <n v="45174"/>
    <x v="551"/>
    <x v="0"/>
    <x v="1"/>
    <x v="8"/>
    <s v="Executive Impressions 12&quot; Wall Clock"/>
    <n v="21.2"/>
    <n v="3"/>
    <x v="3511"/>
    <x v="8"/>
    <x v="2"/>
  </r>
  <r>
    <n v="45174"/>
    <x v="622"/>
    <x v="2"/>
    <x v="1"/>
    <x v="8"/>
    <s v="6&quot; Cubicle Wall Clock, Black"/>
    <n v="58.25"/>
    <n v="9"/>
    <x v="3512"/>
    <x v="8"/>
    <x v="2"/>
  </r>
  <r>
    <n v="45174"/>
    <x v="622"/>
    <x v="2"/>
    <x v="1"/>
    <x v="5"/>
    <s v="Global Task Chair, Black"/>
    <n v="71.25"/>
    <n v="2"/>
    <x v="3513"/>
    <x v="8"/>
    <x v="2"/>
  </r>
  <r>
    <n v="45174"/>
    <x v="622"/>
    <x v="2"/>
    <x v="0"/>
    <x v="4"/>
    <s v="Newell 329"/>
    <n v="7.87"/>
    <n v="3"/>
    <x v="1908"/>
    <x v="8"/>
    <x v="2"/>
  </r>
  <r>
    <n v="45174"/>
    <x v="622"/>
    <x v="2"/>
    <x v="1"/>
    <x v="5"/>
    <s v="Global Comet Stacking Arm Chair"/>
    <n v="887.27"/>
    <n v="3"/>
    <x v="3514"/>
    <x v="8"/>
    <x v="2"/>
  </r>
  <r>
    <n v="45174"/>
    <x v="623"/>
    <x v="20"/>
    <x v="2"/>
    <x v="6"/>
    <s v="LF Elite 3D Dazzle Designer Hard Case Cover, Lf Stylus Pen and Wiper For Apple Iphone 5c Mini Lite"/>
    <n v="43.6"/>
    <n v="4"/>
    <x v="3515"/>
    <x v="8"/>
    <x v="2"/>
  </r>
  <r>
    <n v="45175"/>
    <x v="727"/>
    <x v="28"/>
    <x v="0"/>
    <x v="12"/>
    <s v="Fellowes Basic Home/Office Series Surge Protectors"/>
    <n v="77.88"/>
    <n v="6"/>
    <x v="3516"/>
    <x v="8"/>
    <x v="2"/>
  </r>
  <r>
    <n v="45175"/>
    <x v="541"/>
    <x v="20"/>
    <x v="2"/>
    <x v="9"/>
    <s v="Maxell 4.7GB DVD+RW 3/Pack"/>
    <n v="31.86"/>
    <n v="2"/>
    <x v="2928"/>
    <x v="8"/>
    <x v="2"/>
  </r>
  <r>
    <n v="45175"/>
    <x v="541"/>
    <x v="20"/>
    <x v="1"/>
    <x v="11"/>
    <s v="Atlantic Metals Mobile 5-Shelf Bookcases, Custom Colors"/>
    <n v="722.35"/>
    <n v="3"/>
    <x v="904"/>
    <x v="8"/>
    <x v="2"/>
  </r>
  <r>
    <n v="45175"/>
    <x v="366"/>
    <x v="25"/>
    <x v="0"/>
    <x v="10"/>
    <s v="Blue String-Tie &amp; Button Interoffice Envelopes, 10 x 13"/>
    <n v="95.95"/>
    <n v="3"/>
    <x v="2604"/>
    <x v="8"/>
    <x v="2"/>
  </r>
  <r>
    <n v="45175"/>
    <x v="366"/>
    <x v="25"/>
    <x v="0"/>
    <x v="3"/>
    <s v="Pressboard Data Binders by Wilson Jones"/>
    <n v="3.2"/>
    <n v="2"/>
    <x v="3517"/>
    <x v="8"/>
    <x v="2"/>
  </r>
  <r>
    <n v="45175"/>
    <x v="100"/>
    <x v="0"/>
    <x v="0"/>
    <x v="2"/>
    <s v="Tenex Personal Project File with Scoop Front Design, Black"/>
    <n v="10.78"/>
    <n v="1"/>
    <x v="1261"/>
    <x v="8"/>
    <x v="2"/>
  </r>
  <r>
    <n v="45175"/>
    <x v="515"/>
    <x v="0"/>
    <x v="0"/>
    <x v="0"/>
    <s v="Advantus Motivational Note Cards"/>
    <n v="41.92"/>
    <n v="4"/>
    <x v="1407"/>
    <x v="8"/>
    <x v="2"/>
  </r>
  <r>
    <n v="45175"/>
    <x v="515"/>
    <x v="0"/>
    <x v="2"/>
    <x v="6"/>
    <s v="AT&amp;T CL83451 4-Handset Telephone"/>
    <n v="329.58"/>
    <n v="2"/>
    <x v="3518"/>
    <x v="8"/>
    <x v="2"/>
  </r>
  <r>
    <n v="45177"/>
    <x v="643"/>
    <x v="0"/>
    <x v="0"/>
    <x v="2"/>
    <s v="Super Decoflex Portable Personal File"/>
    <n v="35.950000000000003"/>
    <n v="3"/>
    <x v="333"/>
    <x v="8"/>
    <x v="2"/>
  </r>
  <r>
    <n v="45177"/>
    <x v="643"/>
    <x v="0"/>
    <x v="1"/>
    <x v="11"/>
    <s v="Riverside Palais Royal Lawyers Bookcase, Royale Cherry Finish"/>
    <n v="2396.27"/>
    <n v="4"/>
    <x v="3519"/>
    <x v="8"/>
    <x v="2"/>
  </r>
  <r>
    <n v="45177"/>
    <x v="643"/>
    <x v="0"/>
    <x v="0"/>
    <x v="2"/>
    <s v="Contico 72&quot;H Heavy-Duty Storage System"/>
    <n v="131.13999999999999"/>
    <n v="4"/>
    <x v="3520"/>
    <x v="8"/>
    <x v="2"/>
  </r>
  <r>
    <n v="45177"/>
    <x v="643"/>
    <x v="0"/>
    <x v="2"/>
    <x v="9"/>
    <s v="Sony 64GB Class 10 Micro SDHC R40 Memory Card"/>
    <n v="57.58"/>
    <n v="2"/>
    <x v="2223"/>
    <x v="8"/>
    <x v="2"/>
  </r>
  <r>
    <n v="45177"/>
    <x v="139"/>
    <x v="3"/>
    <x v="0"/>
    <x v="3"/>
    <s v="Square Ring Data Binders, Rigid 75 Pt. Covers, 11&quot; x 14-7/8&quot;"/>
    <n v="33.020000000000003"/>
    <n v="2"/>
    <x v="1920"/>
    <x v="8"/>
    <x v="2"/>
  </r>
  <r>
    <n v="45177"/>
    <x v="139"/>
    <x v="3"/>
    <x v="0"/>
    <x v="3"/>
    <s v="Premium Transparent Presentation Covers by GBC"/>
    <n v="67.14"/>
    <n v="4"/>
    <x v="3521"/>
    <x v="8"/>
    <x v="2"/>
  </r>
  <r>
    <n v="45177"/>
    <x v="64"/>
    <x v="32"/>
    <x v="1"/>
    <x v="11"/>
    <s v="Bush Westfield Collection Bookcases, Dark Cherry Finish"/>
    <n v="173.94"/>
    <n v="3"/>
    <x v="2999"/>
    <x v="8"/>
    <x v="2"/>
  </r>
  <r>
    <n v="45177"/>
    <x v="64"/>
    <x v="32"/>
    <x v="0"/>
    <x v="1"/>
    <s v="Avery 52"/>
    <n v="14.76"/>
    <n v="4"/>
    <x v="1126"/>
    <x v="8"/>
    <x v="2"/>
  </r>
  <r>
    <n v="45177"/>
    <x v="145"/>
    <x v="1"/>
    <x v="1"/>
    <x v="8"/>
    <s v="Executive Impressions 12&quot; Wall Clock"/>
    <n v="14.14"/>
    <n v="2"/>
    <x v="768"/>
    <x v="8"/>
    <x v="2"/>
  </r>
  <r>
    <n v="45177"/>
    <x v="145"/>
    <x v="1"/>
    <x v="1"/>
    <x v="13"/>
    <s v="Bretford CR8500 Series Meeting Room Furniture"/>
    <n v="601.47"/>
    <n v="3"/>
    <x v="3522"/>
    <x v="8"/>
    <x v="2"/>
  </r>
  <r>
    <n v="45177"/>
    <x v="53"/>
    <x v="20"/>
    <x v="0"/>
    <x v="12"/>
    <s v="Kensington 7 Outlet MasterPiece Power Center with Fax/Phone Line Protection"/>
    <n v="207.48"/>
    <n v="1"/>
    <x v="3523"/>
    <x v="8"/>
    <x v="2"/>
  </r>
  <r>
    <n v="45177"/>
    <x v="127"/>
    <x v="0"/>
    <x v="0"/>
    <x v="4"/>
    <s v="Boston 1645 Deluxe Heavier-Duty Electric Pencil Sharpener"/>
    <n v="70.37"/>
    <n v="2"/>
    <x v="539"/>
    <x v="8"/>
    <x v="2"/>
  </r>
  <r>
    <n v="45177"/>
    <x v="127"/>
    <x v="0"/>
    <x v="2"/>
    <x v="6"/>
    <s v="Belkin SportFit Armband For iPhone 5s/5c, Fuchsia"/>
    <n v="59.96"/>
    <n v="5"/>
    <x v="3524"/>
    <x v="8"/>
    <x v="2"/>
  </r>
  <r>
    <n v="45177"/>
    <x v="747"/>
    <x v="25"/>
    <x v="2"/>
    <x v="9"/>
    <s v="Memorex Froggy Flash Drive 4 GB"/>
    <n v="35.17"/>
    <n v="4"/>
    <x v="2063"/>
    <x v="8"/>
    <x v="2"/>
  </r>
  <r>
    <n v="45177"/>
    <x v="747"/>
    <x v="25"/>
    <x v="0"/>
    <x v="0"/>
    <s v="Petty Cash Envelope"/>
    <n v="64.7"/>
    <n v="3"/>
    <x v="3525"/>
    <x v="8"/>
    <x v="2"/>
  </r>
  <r>
    <n v="45177"/>
    <x v="137"/>
    <x v="3"/>
    <x v="1"/>
    <x v="13"/>
    <s v="Lesro Round Back Collection Coffee Table, End Table"/>
    <n v="146.04"/>
    <n v="1"/>
    <x v="3526"/>
    <x v="8"/>
    <x v="2"/>
  </r>
  <r>
    <n v="45177"/>
    <x v="546"/>
    <x v="22"/>
    <x v="1"/>
    <x v="8"/>
    <s v="Howard Miller 11-1/2&quot; Diameter Grantwood Wall Clock"/>
    <n v="43.13"/>
    <n v="1"/>
    <x v="3527"/>
    <x v="8"/>
    <x v="2"/>
  </r>
  <r>
    <n v="45177"/>
    <x v="546"/>
    <x v="22"/>
    <x v="0"/>
    <x v="0"/>
    <s v="Ampad Gold Fibre Wirebound Steno Books, 6&quot; x 9&quot;, Gregg Ruled"/>
    <n v="30.87"/>
    <n v="7"/>
    <x v="1758"/>
    <x v="8"/>
    <x v="2"/>
  </r>
  <r>
    <n v="45177"/>
    <x v="760"/>
    <x v="3"/>
    <x v="0"/>
    <x v="4"/>
    <s v="Eberhard Faber 3 1/2&quot; Golf Pencils"/>
    <n v="14.88"/>
    <n v="2"/>
    <x v="239"/>
    <x v="8"/>
    <x v="2"/>
  </r>
  <r>
    <n v="45177"/>
    <x v="760"/>
    <x v="3"/>
    <x v="0"/>
    <x v="0"/>
    <s v="Xerox 1900"/>
    <n v="34.24"/>
    <n v="8"/>
    <x v="3528"/>
    <x v="8"/>
    <x v="2"/>
  </r>
  <r>
    <n v="45177"/>
    <x v="760"/>
    <x v="3"/>
    <x v="0"/>
    <x v="2"/>
    <s v="Mini 13-1/2 Capacity Data Binder Rack, Pearl"/>
    <n v="261.74"/>
    <n v="2"/>
    <x v="3529"/>
    <x v="8"/>
    <x v="2"/>
  </r>
  <r>
    <n v="45178"/>
    <x v="350"/>
    <x v="20"/>
    <x v="0"/>
    <x v="3"/>
    <s v="Cardinal EasyOpen D-Ring Binders"/>
    <n v="14.62"/>
    <n v="2"/>
    <x v="147"/>
    <x v="8"/>
    <x v="2"/>
  </r>
  <r>
    <n v="45178"/>
    <x v="372"/>
    <x v="3"/>
    <x v="0"/>
    <x v="3"/>
    <s v="VariCap6 Expandable Binder"/>
    <n v="55.36"/>
    <n v="4"/>
    <x v="3530"/>
    <x v="8"/>
    <x v="2"/>
  </r>
  <r>
    <n v="45178"/>
    <x v="474"/>
    <x v="0"/>
    <x v="1"/>
    <x v="8"/>
    <s v="Eldon Expressions Punched Metal &amp; Wood Desk Accessories, Black &amp; Cherry"/>
    <n v="15.01"/>
    <n v="4"/>
    <x v="3531"/>
    <x v="8"/>
    <x v="2"/>
  </r>
  <r>
    <n v="45179"/>
    <x v="672"/>
    <x v="20"/>
    <x v="0"/>
    <x v="2"/>
    <s v="Acco Perma 2700 Stacking Storage Drawers"/>
    <n v="59.48"/>
    <n v="2"/>
    <x v="3532"/>
    <x v="8"/>
    <x v="2"/>
  </r>
  <r>
    <n v="45179"/>
    <x v="672"/>
    <x v="20"/>
    <x v="0"/>
    <x v="0"/>
    <s v="Wirebound Message Books, Four 2 3/4 x 5 White Forms per Page"/>
    <n v="6.69"/>
    <n v="1"/>
    <x v="20"/>
    <x v="8"/>
    <x v="2"/>
  </r>
  <r>
    <n v="45179"/>
    <x v="651"/>
    <x v="15"/>
    <x v="0"/>
    <x v="4"/>
    <s v="Boston Model 1800 Electric Pencil Sharpener, Gray"/>
    <n v="67.56"/>
    <n v="3"/>
    <x v="3533"/>
    <x v="8"/>
    <x v="2"/>
  </r>
  <r>
    <n v="45179"/>
    <x v="73"/>
    <x v="0"/>
    <x v="1"/>
    <x v="13"/>
    <s v="KI Adjustable-Height Table"/>
    <n v="300.93"/>
    <n v="5"/>
    <x v="3534"/>
    <x v="8"/>
    <x v="2"/>
  </r>
  <r>
    <n v="45179"/>
    <x v="73"/>
    <x v="0"/>
    <x v="2"/>
    <x v="6"/>
    <s v="Polycom VVX 310 VoIP phone"/>
    <n v="719.96"/>
    <n v="5"/>
    <x v="2569"/>
    <x v="8"/>
    <x v="2"/>
  </r>
  <r>
    <n v="45179"/>
    <x v="571"/>
    <x v="16"/>
    <x v="2"/>
    <x v="6"/>
    <s v="Geemarc AmpliPOWER60"/>
    <n v="519.67999999999995"/>
    <n v="7"/>
    <x v="3535"/>
    <x v="8"/>
    <x v="2"/>
  </r>
  <r>
    <n v="45179"/>
    <x v="741"/>
    <x v="22"/>
    <x v="0"/>
    <x v="1"/>
    <s v="Avery 487"/>
    <n v="7.38"/>
    <n v="2"/>
    <x v="1540"/>
    <x v="8"/>
    <x v="2"/>
  </r>
  <r>
    <n v="45179"/>
    <x v="741"/>
    <x v="22"/>
    <x v="0"/>
    <x v="3"/>
    <s v="Storex Dura Pro Binders"/>
    <n v="14.26"/>
    <n v="3"/>
    <x v="519"/>
    <x v="8"/>
    <x v="2"/>
  </r>
  <r>
    <n v="45179"/>
    <x v="741"/>
    <x v="22"/>
    <x v="0"/>
    <x v="0"/>
    <s v="Xerox 1945"/>
    <n v="81.98"/>
    <n v="2"/>
    <x v="1045"/>
    <x v="8"/>
    <x v="2"/>
  </r>
  <r>
    <n v="45179"/>
    <x v="741"/>
    <x v="22"/>
    <x v="0"/>
    <x v="3"/>
    <s v="JM Magazine Binder"/>
    <n v="39.619999999999997"/>
    <n v="3"/>
    <x v="3536"/>
    <x v="8"/>
    <x v="2"/>
  </r>
  <r>
    <n v="45179"/>
    <x v="265"/>
    <x v="3"/>
    <x v="0"/>
    <x v="3"/>
    <s v="Ibico EB-19 Dual Function Manual Binding System"/>
    <n v="276.77999999999997"/>
    <n v="2"/>
    <x v="3423"/>
    <x v="8"/>
    <x v="2"/>
  </r>
  <r>
    <n v="45180"/>
    <x v="708"/>
    <x v="3"/>
    <x v="0"/>
    <x v="0"/>
    <s v="Wirebound Message Books, Two 4 1/4&quot; x 5&quot; Forms per Page"/>
    <n v="7.61"/>
    <n v="1"/>
    <x v="980"/>
    <x v="8"/>
    <x v="2"/>
  </r>
  <r>
    <n v="45180"/>
    <x v="708"/>
    <x v="3"/>
    <x v="2"/>
    <x v="9"/>
    <s v="LogitechÂ P710e Mobile Speakerphone"/>
    <n v="3347.37"/>
    <n v="13"/>
    <x v="3537"/>
    <x v="8"/>
    <x v="2"/>
  </r>
  <r>
    <n v="45180"/>
    <x v="186"/>
    <x v="2"/>
    <x v="0"/>
    <x v="0"/>
    <s v="Xerox 1972"/>
    <n v="8.4499999999999993"/>
    <n v="2"/>
    <x v="172"/>
    <x v="8"/>
    <x v="2"/>
  </r>
  <r>
    <n v="45180"/>
    <x v="186"/>
    <x v="2"/>
    <x v="2"/>
    <x v="6"/>
    <s v="Cisco 8x8 Inc. 6753i IP Business Phone System"/>
    <n v="728.95"/>
    <n v="9"/>
    <x v="3538"/>
    <x v="8"/>
    <x v="2"/>
  </r>
  <r>
    <n v="45180"/>
    <x v="327"/>
    <x v="10"/>
    <x v="0"/>
    <x v="3"/>
    <s v="GBC Standard Therm-A-Bind Covers"/>
    <n v="22.43"/>
    <n v="3"/>
    <x v="1202"/>
    <x v="8"/>
    <x v="2"/>
  </r>
  <r>
    <n v="45180"/>
    <x v="327"/>
    <x v="10"/>
    <x v="0"/>
    <x v="2"/>
    <s v="Staple magnet"/>
    <n v="37.520000000000003"/>
    <n v="5"/>
    <x v="2972"/>
    <x v="8"/>
    <x v="2"/>
  </r>
  <r>
    <n v="45180"/>
    <x v="453"/>
    <x v="6"/>
    <x v="2"/>
    <x v="16"/>
    <s v="Canon PC-428 Personal Copier"/>
    <n v="1599.92"/>
    <n v="8"/>
    <x v="3539"/>
    <x v="8"/>
    <x v="2"/>
  </r>
  <r>
    <n v="45180"/>
    <x v="453"/>
    <x v="6"/>
    <x v="0"/>
    <x v="10"/>
    <s v="#10 Self-Seal White Envelopes"/>
    <n v="11.09"/>
    <n v="1"/>
    <x v="776"/>
    <x v="8"/>
    <x v="2"/>
  </r>
  <r>
    <n v="45180"/>
    <x v="632"/>
    <x v="3"/>
    <x v="0"/>
    <x v="2"/>
    <s v="Stur-D-Stor Shelving, Vertical 5-Shelf: 72&quot;H x 36&quot;W x 18 1/2&quot;D"/>
    <n v="332.94"/>
    <n v="3"/>
    <x v="44"/>
    <x v="8"/>
    <x v="2"/>
  </r>
  <r>
    <n v="45180"/>
    <x v="632"/>
    <x v="3"/>
    <x v="0"/>
    <x v="3"/>
    <s v="GBC Standard Therm-A-Bind Covers"/>
    <n v="39.869999999999997"/>
    <n v="2"/>
    <x v="3540"/>
    <x v="8"/>
    <x v="2"/>
  </r>
  <r>
    <n v="45180"/>
    <x v="335"/>
    <x v="42"/>
    <x v="2"/>
    <x v="6"/>
    <s v="Plantronics Encore H101 Dual EarpiecesÂ Headset"/>
    <n v="224.75"/>
    <n v="5"/>
    <x v="3541"/>
    <x v="8"/>
    <x v="2"/>
  </r>
  <r>
    <n v="45180"/>
    <x v="423"/>
    <x v="1"/>
    <x v="0"/>
    <x v="1"/>
    <s v="Smead Alpha-Z Color-Coded Name Labels First Letter Starter Set"/>
    <n v="6"/>
    <n v="2"/>
    <x v="2266"/>
    <x v="8"/>
    <x v="2"/>
  </r>
  <r>
    <n v="45180"/>
    <x v="423"/>
    <x v="1"/>
    <x v="0"/>
    <x v="3"/>
    <s v="Insertable Tab Indexes For Data Binders"/>
    <n v="1.91"/>
    <n v="3"/>
    <x v="3171"/>
    <x v="8"/>
    <x v="2"/>
  </r>
  <r>
    <n v="45180"/>
    <x v="49"/>
    <x v="12"/>
    <x v="0"/>
    <x v="4"/>
    <s v="Crayola Anti Dust Chalk, 12/Pack"/>
    <n v="2.91"/>
    <n v="2"/>
    <x v="3542"/>
    <x v="8"/>
    <x v="2"/>
  </r>
  <r>
    <n v="45180"/>
    <x v="49"/>
    <x v="12"/>
    <x v="0"/>
    <x v="0"/>
    <s v="Xerox 1976"/>
    <n v="20.74"/>
    <n v="4"/>
    <x v="416"/>
    <x v="8"/>
    <x v="2"/>
  </r>
  <r>
    <n v="45180"/>
    <x v="49"/>
    <x v="12"/>
    <x v="0"/>
    <x v="0"/>
    <s v="Great White Multi-Use Recycled Paper (20Lb. and 84 Bright)"/>
    <n v="9.57"/>
    <n v="2"/>
    <x v="1894"/>
    <x v="8"/>
    <x v="2"/>
  </r>
  <r>
    <n v="45180"/>
    <x v="361"/>
    <x v="0"/>
    <x v="0"/>
    <x v="10"/>
    <s v="Cameo Buff Policy Envelopes"/>
    <n v="99.57"/>
    <n v="2"/>
    <x v="3543"/>
    <x v="8"/>
    <x v="2"/>
  </r>
  <r>
    <n v="45181"/>
    <x v="624"/>
    <x v="26"/>
    <x v="1"/>
    <x v="8"/>
    <s v="C-Line Cubicle Keepers Polyproplyene Holder With Velcro Backings"/>
    <n v="15.14"/>
    <n v="4"/>
    <x v="1074"/>
    <x v="8"/>
    <x v="2"/>
  </r>
  <r>
    <n v="45181"/>
    <x v="624"/>
    <x v="26"/>
    <x v="1"/>
    <x v="5"/>
    <s v="Hon 4070 Series Pagoda Armless Upholstered Stacking Chairs"/>
    <n v="466.77"/>
    <n v="2"/>
    <x v="3544"/>
    <x v="8"/>
    <x v="2"/>
  </r>
  <r>
    <n v="45181"/>
    <x v="624"/>
    <x v="26"/>
    <x v="1"/>
    <x v="8"/>
    <s v="Eldon Expressions Desk Accessory, Wood Photo Frame, Mahogany"/>
    <n v="15.23"/>
    <n v="1"/>
    <x v="3125"/>
    <x v="8"/>
    <x v="2"/>
  </r>
  <r>
    <n v="45181"/>
    <x v="624"/>
    <x v="26"/>
    <x v="0"/>
    <x v="1"/>
    <s v="Avery 509"/>
    <n v="6.26"/>
    <n v="3"/>
    <x v="2118"/>
    <x v="8"/>
    <x v="2"/>
  </r>
  <r>
    <n v="45181"/>
    <x v="582"/>
    <x v="22"/>
    <x v="0"/>
    <x v="7"/>
    <s v="OIC Bulk Pack Metal Binder Clips"/>
    <n v="10.47"/>
    <n v="3"/>
    <x v="3545"/>
    <x v="8"/>
    <x v="2"/>
  </r>
  <r>
    <n v="45181"/>
    <x v="582"/>
    <x v="22"/>
    <x v="0"/>
    <x v="1"/>
    <s v="Avery 487"/>
    <n v="11.07"/>
    <n v="3"/>
    <x v="3121"/>
    <x v="8"/>
    <x v="2"/>
  </r>
  <r>
    <n v="45181"/>
    <x v="582"/>
    <x v="22"/>
    <x v="0"/>
    <x v="3"/>
    <s v="GBC Instant Report Kit"/>
    <n v="20.7"/>
    <n v="4"/>
    <x v="3546"/>
    <x v="8"/>
    <x v="2"/>
  </r>
  <r>
    <n v="45181"/>
    <x v="202"/>
    <x v="6"/>
    <x v="2"/>
    <x v="9"/>
    <s v="ImationÂ 30456 USBÂ Flash DriveÂ 8GB"/>
    <n v="20.7"/>
    <n v="3"/>
    <x v="1355"/>
    <x v="8"/>
    <x v="2"/>
  </r>
  <r>
    <n v="45181"/>
    <x v="202"/>
    <x v="6"/>
    <x v="0"/>
    <x v="7"/>
    <s v="Staples"/>
    <n v="11.34"/>
    <n v="3"/>
    <x v="1172"/>
    <x v="8"/>
    <x v="2"/>
  </r>
  <r>
    <n v="45181"/>
    <x v="202"/>
    <x v="6"/>
    <x v="0"/>
    <x v="2"/>
    <s v="Rogers Jumbo File, Granite"/>
    <n v="67.900000000000006"/>
    <n v="5"/>
    <x v="3547"/>
    <x v="8"/>
    <x v="2"/>
  </r>
  <r>
    <n v="45181"/>
    <x v="202"/>
    <x v="6"/>
    <x v="1"/>
    <x v="5"/>
    <s v="Hon Olson Stacker Chairs"/>
    <n v="1059.1199999999999"/>
    <n v="4"/>
    <x v="3548"/>
    <x v="8"/>
    <x v="2"/>
  </r>
  <r>
    <n v="45181"/>
    <x v="571"/>
    <x v="14"/>
    <x v="0"/>
    <x v="0"/>
    <s v="Xerox 1991"/>
    <n v="68.52"/>
    <n v="3"/>
    <x v="2845"/>
    <x v="8"/>
    <x v="2"/>
  </r>
  <r>
    <n v="45181"/>
    <x v="675"/>
    <x v="26"/>
    <x v="2"/>
    <x v="6"/>
    <s v="Lunatik TT5L-002 Taktik Strike Impact Protection System for iPhone 5"/>
    <n v="146.94999999999999"/>
    <n v="3"/>
    <x v="134"/>
    <x v="8"/>
    <x v="2"/>
  </r>
  <r>
    <n v="45181"/>
    <x v="675"/>
    <x v="26"/>
    <x v="1"/>
    <x v="5"/>
    <s v="Global Stack Chair without Arms, Black"/>
    <n v="83.14"/>
    <n v="4"/>
    <x v="3121"/>
    <x v="8"/>
    <x v="2"/>
  </r>
  <r>
    <n v="45181"/>
    <x v="212"/>
    <x v="20"/>
    <x v="1"/>
    <x v="8"/>
    <s v="DAX Contemporary Wood Frame with Silver Metal Mat, Desktop, 11 x 14 Size"/>
    <n v="40.479999999999997"/>
    <n v="2"/>
    <x v="236"/>
    <x v="8"/>
    <x v="2"/>
  </r>
  <r>
    <n v="45182"/>
    <x v="199"/>
    <x v="40"/>
    <x v="0"/>
    <x v="2"/>
    <s v="Rogers Jumbo File, Granite"/>
    <n v="40.74"/>
    <n v="3"/>
    <x v="1018"/>
    <x v="8"/>
    <x v="2"/>
  </r>
  <r>
    <n v="45182"/>
    <x v="199"/>
    <x v="40"/>
    <x v="0"/>
    <x v="1"/>
    <s v="Avery 49"/>
    <n v="14.4"/>
    <n v="5"/>
    <x v="639"/>
    <x v="8"/>
    <x v="2"/>
  </r>
  <r>
    <n v="45182"/>
    <x v="199"/>
    <x v="40"/>
    <x v="2"/>
    <x v="6"/>
    <s v="BlueLounge Milo Smartphone Stand, White/Metallic"/>
    <n v="149.94999999999999"/>
    <n v="5"/>
    <x v="317"/>
    <x v="8"/>
    <x v="2"/>
  </r>
  <r>
    <n v="45182"/>
    <x v="199"/>
    <x v="40"/>
    <x v="0"/>
    <x v="14"/>
    <s v="Elite 5&quot; Scissors"/>
    <n v="16.899999999999999"/>
    <n v="2"/>
    <x v="2338"/>
    <x v="8"/>
    <x v="2"/>
  </r>
  <r>
    <n v="45182"/>
    <x v="199"/>
    <x v="40"/>
    <x v="0"/>
    <x v="0"/>
    <s v="Things To Do Today Pad"/>
    <n v="17.61"/>
    <n v="3"/>
    <x v="3533"/>
    <x v="8"/>
    <x v="2"/>
  </r>
  <r>
    <n v="45182"/>
    <x v="199"/>
    <x v="40"/>
    <x v="0"/>
    <x v="12"/>
    <s v="Harmony Air Purifier"/>
    <n v="378"/>
    <n v="2"/>
    <x v="3549"/>
    <x v="8"/>
    <x v="2"/>
  </r>
  <r>
    <n v="45182"/>
    <x v="199"/>
    <x v="40"/>
    <x v="0"/>
    <x v="0"/>
    <s v="Adams Telephone Message Book W/Dividers/Space For Phone Numbers, 5 1/4&quot;X8 1/2&quot;, 300/Messages"/>
    <n v="17.64"/>
    <n v="3"/>
    <x v="3030"/>
    <x v="8"/>
    <x v="2"/>
  </r>
  <r>
    <n v="45182"/>
    <x v="199"/>
    <x v="40"/>
    <x v="0"/>
    <x v="2"/>
    <s v="Fellowes Mobile File Cart, Black"/>
    <n v="373.08"/>
    <n v="6"/>
    <x v="3550"/>
    <x v="8"/>
    <x v="2"/>
  </r>
  <r>
    <n v="45182"/>
    <x v="199"/>
    <x v="40"/>
    <x v="1"/>
    <x v="8"/>
    <s v="Electrix Architect's Clamp-On Swing Arm Lamp, Black"/>
    <n v="1336.44"/>
    <n v="14"/>
    <x v="3551"/>
    <x v="8"/>
    <x v="2"/>
  </r>
  <r>
    <n v="45182"/>
    <x v="199"/>
    <x v="40"/>
    <x v="2"/>
    <x v="6"/>
    <s v="Mediabridge Sport Armband iPhone 5s"/>
    <n v="29.97"/>
    <n v="3"/>
    <x v="1481"/>
    <x v="8"/>
    <x v="2"/>
  </r>
  <r>
    <n v="45183"/>
    <x v="672"/>
    <x v="9"/>
    <x v="0"/>
    <x v="0"/>
    <s v="Xerox 224"/>
    <n v="25.92"/>
    <n v="4"/>
    <x v="496"/>
    <x v="8"/>
    <x v="2"/>
  </r>
  <r>
    <n v="45183"/>
    <x v="68"/>
    <x v="20"/>
    <x v="2"/>
    <x v="6"/>
    <s v="Wi-Ex zBoost YX540 Cellular Phone Signal Booster"/>
    <n v="437.85"/>
    <n v="3"/>
    <x v="3552"/>
    <x v="8"/>
    <x v="2"/>
  </r>
  <r>
    <n v="45183"/>
    <x v="68"/>
    <x v="20"/>
    <x v="0"/>
    <x v="3"/>
    <s v="GBC DocuBind 200 Manual Binding Machine"/>
    <n v="673.57"/>
    <n v="2"/>
    <x v="258"/>
    <x v="8"/>
    <x v="2"/>
  </r>
  <r>
    <n v="45184"/>
    <x v="622"/>
    <x v="2"/>
    <x v="0"/>
    <x v="0"/>
    <s v="Xerox 1968"/>
    <n v="5.34"/>
    <n v="1"/>
    <x v="2461"/>
    <x v="8"/>
    <x v="2"/>
  </r>
  <r>
    <n v="45184"/>
    <x v="512"/>
    <x v="20"/>
    <x v="0"/>
    <x v="3"/>
    <s v="GBC DocuBind 300 Electric Binding Machine"/>
    <n v="841.57"/>
    <n v="2"/>
    <x v="3553"/>
    <x v="8"/>
    <x v="2"/>
  </r>
  <r>
    <n v="45184"/>
    <x v="751"/>
    <x v="22"/>
    <x v="0"/>
    <x v="0"/>
    <s v="TOPS &quot;Important Message&quot; Pads, Canary, 4-1/4 x 5-1/2, 50 Sheets per Pad"/>
    <n v="21.4"/>
    <n v="5"/>
    <x v="3554"/>
    <x v="8"/>
    <x v="2"/>
  </r>
  <r>
    <n v="45184"/>
    <x v="751"/>
    <x v="22"/>
    <x v="0"/>
    <x v="3"/>
    <s v="Cardinal Slant-D Ring Binder, Heavy Gauge Vinyl"/>
    <n v="48.66"/>
    <n v="7"/>
    <x v="2696"/>
    <x v="8"/>
    <x v="2"/>
  </r>
  <r>
    <n v="45184"/>
    <x v="514"/>
    <x v="34"/>
    <x v="0"/>
    <x v="3"/>
    <s v="Avery Heavy-Duty EZD View Binder with Locking Rings"/>
    <n v="20.420000000000002"/>
    <n v="4"/>
    <x v="3555"/>
    <x v="8"/>
    <x v="2"/>
  </r>
  <r>
    <n v="45184"/>
    <x v="514"/>
    <x v="34"/>
    <x v="1"/>
    <x v="13"/>
    <s v="Bretford Rectangular Conference Table Tops"/>
    <n v="1128.3900000000001"/>
    <n v="3"/>
    <x v="3556"/>
    <x v="8"/>
    <x v="2"/>
  </r>
  <r>
    <n v="45184"/>
    <x v="475"/>
    <x v="22"/>
    <x v="0"/>
    <x v="4"/>
    <s v="SANFORD Major Accent Highlighters"/>
    <n v="35.4"/>
    <n v="5"/>
    <x v="3557"/>
    <x v="8"/>
    <x v="2"/>
  </r>
  <r>
    <n v="45185"/>
    <x v="288"/>
    <x v="3"/>
    <x v="0"/>
    <x v="0"/>
    <s v="Xerox 1966"/>
    <n v="12.96"/>
    <n v="2"/>
    <x v="195"/>
    <x v="8"/>
    <x v="2"/>
  </r>
  <r>
    <n v="45185"/>
    <x v="435"/>
    <x v="3"/>
    <x v="1"/>
    <x v="11"/>
    <s v="Sauder Forest Hills Library with Doors, Woodland Oak Finish"/>
    <n v="273.67"/>
    <n v="2"/>
    <x v="3558"/>
    <x v="8"/>
    <x v="2"/>
  </r>
  <r>
    <n v="45185"/>
    <x v="435"/>
    <x v="3"/>
    <x v="0"/>
    <x v="12"/>
    <s v="Eureka Sanitaire  Multi-Pro Heavy-Duty Upright, Disposable Bags"/>
    <n v="17.48"/>
    <n v="4"/>
    <x v="406"/>
    <x v="8"/>
    <x v="2"/>
  </r>
  <r>
    <n v="45185"/>
    <x v="234"/>
    <x v="4"/>
    <x v="1"/>
    <x v="5"/>
    <s v="Global Value Mid-Back Manager's Chair, Gray"/>
    <n v="121.78"/>
    <n v="2"/>
    <x v="3559"/>
    <x v="8"/>
    <x v="2"/>
  </r>
  <r>
    <n v="45186"/>
    <x v="763"/>
    <x v="3"/>
    <x v="0"/>
    <x v="4"/>
    <s v="Turquoise Lead Holder with Pocket Clip"/>
    <n v="20.100000000000001"/>
    <n v="3"/>
    <x v="824"/>
    <x v="8"/>
    <x v="2"/>
  </r>
  <r>
    <n v="45186"/>
    <x v="763"/>
    <x v="3"/>
    <x v="2"/>
    <x v="6"/>
    <s v="Panasonic Kx-TS550"/>
    <n v="73.58"/>
    <n v="2"/>
    <x v="1187"/>
    <x v="8"/>
    <x v="2"/>
  </r>
  <r>
    <n v="45186"/>
    <x v="763"/>
    <x v="3"/>
    <x v="0"/>
    <x v="0"/>
    <s v="Xerox 1995"/>
    <n v="6.48"/>
    <n v="1"/>
    <x v="1006"/>
    <x v="8"/>
    <x v="2"/>
  </r>
  <r>
    <n v="45186"/>
    <x v="106"/>
    <x v="4"/>
    <x v="2"/>
    <x v="15"/>
    <s v="Lexmark X 9575 Professional All-in-One Color Printer"/>
    <n v="396"/>
    <n v="4"/>
    <x v="3560"/>
    <x v="8"/>
    <x v="2"/>
  </r>
  <r>
    <n v="45186"/>
    <x v="174"/>
    <x v="41"/>
    <x v="2"/>
    <x v="6"/>
    <s v="Wi-Ex zBoost YX540 Cellular Phone Signal Booster"/>
    <n v="437.85"/>
    <n v="3"/>
    <x v="3552"/>
    <x v="8"/>
    <x v="2"/>
  </r>
  <r>
    <n v="45186"/>
    <x v="174"/>
    <x v="41"/>
    <x v="1"/>
    <x v="8"/>
    <s v="C-Line Cubicle Keepers Polyproplyene Holder w/Velcro Back, 8-1/2x11, 25/Bx"/>
    <n v="109.48"/>
    <n v="2"/>
    <x v="2524"/>
    <x v="8"/>
    <x v="2"/>
  </r>
  <r>
    <n v="45186"/>
    <x v="694"/>
    <x v="22"/>
    <x v="1"/>
    <x v="5"/>
    <s v="Harbour Creations 67200 Series Stacking Chairs"/>
    <n v="113.89"/>
    <n v="2"/>
    <x v="3561"/>
    <x v="8"/>
    <x v="2"/>
  </r>
  <r>
    <n v="45186"/>
    <x v="694"/>
    <x v="22"/>
    <x v="2"/>
    <x v="6"/>
    <s v="Clarity 53712"/>
    <n v="105.58"/>
    <n v="2"/>
    <x v="1271"/>
    <x v="8"/>
    <x v="2"/>
  </r>
  <r>
    <n v="45186"/>
    <x v="399"/>
    <x v="20"/>
    <x v="0"/>
    <x v="3"/>
    <s v="Avery Arch Ring Binders"/>
    <n v="232.4"/>
    <n v="5"/>
    <x v="2729"/>
    <x v="8"/>
    <x v="2"/>
  </r>
  <r>
    <n v="45186"/>
    <x v="14"/>
    <x v="18"/>
    <x v="0"/>
    <x v="4"/>
    <s v="Sanford Liquid Accent Highlighters"/>
    <n v="33.4"/>
    <n v="5"/>
    <x v="3562"/>
    <x v="8"/>
    <x v="2"/>
  </r>
  <r>
    <n v="45186"/>
    <x v="99"/>
    <x v="32"/>
    <x v="1"/>
    <x v="8"/>
    <s v="C-Line Magnetic Cubicle Keepers, Clear Polypropylene"/>
    <n v="14.82"/>
    <n v="3"/>
    <x v="113"/>
    <x v="8"/>
    <x v="2"/>
  </r>
  <r>
    <n v="45186"/>
    <x v="99"/>
    <x v="32"/>
    <x v="1"/>
    <x v="8"/>
    <s v="Howard Miller 14-1/2&quot; Diameter Chrome Round Wall Clock"/>
    <n v="191.82"/>
    <n v="3"/>
    <x v="3468"/>
    <x v="8"/>
    <x v="2"/>
  </r>
  <r>
    <n v="45186"/>
    <x v="350"/>
    <x v="10"/>
    <x v="0"/>
    <x v="2"/>
    <s v="Safco Industrial Shelving"/>
    <n v="295.39999999999998"/>
    <n v="5"/>
    <x v="3563"/>
    <x v="8"/>
    <x v="2"/>
  </r>
  <r>
    <n v="45186"/>
    <x v="684"/>
    <x v="22"/>
    <x v="0"/>
    <x v="1"/>
    <s v="Avery 481"/>
    <n v="12.32"/>
    <n v="4"/>
    <x v="3564"/>
    <x v="8"/>
    <x v="2"/>
  </r>
  <r>
    <n v="45187"/>
    <x v="700"/>
    <x v="20"/>
    <x v="0"/>
    <x v="3"/>
    <s v="Avery Binding System Hidden Tab Executive Style Index Sets"/>
    <n v="4.62"/>
    <n v="1"/>
    <x v="1515"/>
    <x v="8"/>
    <x v="2"/>
  </r>
  <r>
    <n v="45187"/>
    <x v="555"/>
    <x v="16"/>
    <x v="1"/>
    <x v="13"/>
    <s v="Chromcraft Round Conference Tables"/>
    <n v="383.44"/>
    <n v="4"/>
    <x v="3565"/>
    <x v="8"/>
    <x v="2"/>
  </r>
  <r>
    <n v="45187"/>
    <x v="481"/>
    <x v="33"/>
    <x v="1"/>
    <x v="5"/>
    <s v="Office Star - Professional Matrix Back Chair with 2-to-1 Synchro Tilt and Mesh Fabric Seat"/>
    <n v="350.98"/>
    <n v="1"/>
    <x v="3566"/>
    <x v="8"/>
    <x v="2"/>
  </r>
  <r>
    <n v="45187"/>
    <x v="481"/>
    <x v="33"/>
    <x v="0"/>
    <x v="0"/>
    <s v="Southworth Parchment Paper &amp; Envelopes"/>
    <n v="13.08"/>
    <n v="2"/>
    <x v="3112"/>
    <x v="8"/>
    <x v="2"/>
  </r>
  <r>
    <n v="45187"/>
    <x v="481"/>
    <x v="33"/>
    <x v="0"/>
    <x v="2"/>
    <s v="Tennsco Double-Tier Lockers"/>
    <n v="900.08"/>
    <n v="4"/>
    <x v="3567"/>
    <x v="8"/>
    <x v="2"/>
  </r>
  <r>
    <n v="45187"/>
    <x v="9"/>
    <x v="10"/>
    <x v="1"/>
    <x v="8"/>
    <s v="Eldon Pizzaz Desk Accessories"/>
    <n v="5.35"/>
    <n v="3"/>
    <x v="2121"/>
    <x v="8"/>
    <x v="2"/>
  </r>
  <r>
    <n v="45187"/>
    <x v="9"/>
    <x v="10"/>
    <x v="1"/>
    <x v="5"/>
    <s v="Situations Contoured Folding Chairs, 4/Set"/>
    <n v="99.37"/>
    <n v="2"/>
    <x v="1710"/>
    <x v="8"/>
    <x v="2"/>
  </r>
  <r>
    <n v="45187"/>
    <x v="9"/>
    <x v="10"/>
    <x v="0"/>
    <x v="4"/>
    <s v="Eldon Spacemaker Box, Quick-Snap Lid, Clear"/>
    <n v="2.67"/>
    <n v="1"/>
    <x v="1476"/>
    <x v="8"/>
    <x v="2"/>
  </r>
  <r>
    <n v="45187"/>
    <x v="226"/>
    <x v="20"/>
    <x v="1"/>
    <x v="5"/>
    <s v="Global Leather Executive Chair"/>
    <n v="631.78"/>
    <n v="2"/>
    <x v="997"/>
    <x v="8"/>
    <x v="2"/>
  </r>
  <r>
    <n v="45187"/>
    <x v="226"/>
    <x v="20"/>
    <x v="1"/>
    <x v="8"/>
    <s v="DAX Two-Tone Silver Metal Document Frame"/>
    <n v="60.72"/>
    <n v="3"/>
    <x v="3568"/>
    <x v="8"/>
    <x v="2"/>
  </r>
  <r>
    <n v="45187"/>
    <x v="487"/>
    <x v="16"/>
    <x v="0"/>
    <x v="1"/>
    <s v="Avery 480"/>
    <n v="3"/>
    <n v="1"/>
    <x v="3569"/>
    <x v="8"/>
    <x v="2"/>
  </r>
  <r>
    <n v="45187"/>
    <x v="638"/>
    <x v="3"/>
    <x v="1"/>
    <x v="5"/>
    <s v="Global Troy Executive Leather Low-Back Tilter"/>
    <n v="801.57"/>
    <n v="2"/>
    <x v="682"/>
    <x v="8"/>
    <x v="2"/>
  </r>
  <r>
    <n v="45187"/>
    <x v="638"/>
    <x v="3"/>
    <x v="0"/>
    <x v="0"/>
    <s v="Xerox 1945"/>
    <n v="368.91"/>
    <n v="9"/>
    <x v="2663"/>
    <x v="8"/>
    <x v="2"/>
  </r>
  <r>
    <n v="45187"/>
    <x v="638"/>
    <x v="3"/>
    <x v="1"/>
    <x v="5"/>
    <s v="Global High-Back Leather Tilter, Burgundy"/>
    <n v="885.53"/>
    <n v="9"/>
    <x v="3570"/>
    <x v="8"/>
    <x v="2"/>
  </r>
  <r>
    <n v="45187"/>
    <x v="649"/>
    <x v="3"/>
    <x v="2"/>
    <x v="6"/>
    <s v="Polycom CX300 Desktop Phone USB VoIP phone"/>
    <n v="239.98"/>
    <n v="2"/>
    <x v="1010"/>
    <x v="8"/>
    <x v="2"/>
  </r>
  <r>
    <n v="45188"/>
    <x v="469"/>
    <x v="1"/>
    <x v="1"/>
    <x v="5"/>
    <s v="Global Troy Executive Leather Low-Back Tilter"/>
    <n v="701.37"/>
    <n v="2"/>
    <x v="1314"/>
    <x v="8"/>
    <x v="2"/>
  </r>
  <r>
    <n v="45188"/>
    <x v="469"/>
    <x v="1"/>
    <x v="0"/>
    <x v="3"/>
    <s v="Avery Binding System Hidden Tab Executive Style Index Sets"/>
    <n v="2.31"/>
    <n v="2"/>
    <x v="3571"/>
    <x v="8"/>
    <x v="2"/>
  </r>
  <r>
    <n v="45188"/>
    <x v="511"/>
    <x v="43"/>
    <x v="0"/>
    <x v="2"/>
    <s v="Hot File 7-Pocket, Floor Stand"/>
    <n v="1606.23"/>
    <n v="9"/>
    <x v="3572"/>
    <x v="8"/>
    <x v="2"/>
  </r>
  <r>
    <n v="45188"/>
    <x v="511"/>
    <x v="43"/>
    <x v="0"/>
    <x v="0"/>
    <s v="Adams Telephone Message Book W/Dividers/Space For Phone Numbers, 5 1/4&quot;X8 1/2&quot;, 200/Messages"/>
    <n v="17.04"/>
    <n v="3"/>
    <x v="3573"/>
    <x v="8"/>
    <x v="2"/>
  </r>
  <r>
    <n v="45188"/>
    <x v="511"/>
    <x v="43"/>
    <x v="0"/>
    <x v="3"/>
    <s v="JM Magazine Binder"/>
    <n v="49.53"/>
    <n v="3"/>
    <x v="302"/>
    <x v="8"/>
    <x v="2"/>
  </r>
  <r>
    <n v="45188"/>
    <x v="511"/>
    <x v="43"/>
    <x v="1"/>
    <x v="5"/>
    <s v="Lifetime Advantage Folding Chairs, 4/Carton"/>
    <n v="872.32"/>
    <n v="4"/>
    <x v="401"/>
    <x v="8"/>
    <x v="2"/>
  </r>
  <r>
    <n v="45188"/>
    <x v="308"/>
    <x v="3"/>
    <x v="0"/>
    <x v="0"/>
    <s v="Xerox Color Copier Paper, 11&quot; x 17&quot;, Ream"/>
    <n v="159.88"/>
    <n v="7"/>
    <x v="3574"/>
    <x v="8"/>
    <x v="2"/>
  </r>
  <r>
    <n v="45188"/>
    <x v="26"/>
    <x v="23"/>
    <x v="0"/>
    <x v="3"/>
    <s v="Storex DuraTech Recycled Plastic Frosted Binders"/>
    <n v="25.44"/>
    <n v="6"/>
    <x v="3575"/>
    <x v="8"/>
    <x v="2"/>
  </r>
  <r>
    <n v="45188"/>
    <x v="26"/>
    <x v="23"/>
    <x v="0"/>
    <x v="14"/>
    <s v="Acme Forged Steel Scissors with Black Enamel Handles"/>
    <n v="27.93"/>
    <n v="3"/>
    <x v="2718"/>
    <x v="8"/>
    <x v="2"/>
  </r>
  <r>
    <n v="45188"/>
    <x v="633"/>
    <x v="4"/>
    <x v="0"/>
    <x v="14"/>
    <s v="Letter Slitter"/>
    <n v="5.04"/>
    <n v="2"/>
    <x v="461"/>
    <x v="8"/>
    <x v="2"/>
  </r>
  <r>
    <n v="45188"/>
    <x v="633"/>
    <x v="4"/>
    <x v="2"/>
    <x v="9"/>
    <s v="Logitech Wireless Marathon Mouse M705"/>
    <n v="249.95"/>
    <n v="5"/>
    <x v="3576"/>
    <x v="8"/>
    <x v="2"/>
  </r>
  <r>
    <n v="45188"/>
    <x v="64"/>
    <x v="2"/>
    <x v="1"/>
    <x v="8"/>
    <s v="Nu-Dell Oak Frame"/>
    <n v="25.63"/>
    <n v="3"/>
    <x v="430"/>
    <x v="8"/>
    <x v="2"/>
  </r>
  <r>
    <n v="45188"/>
    <x v="684"/>
    <x v="3"/>
    <x v="0"/>
    <x v="3"/>
    <s v="Cardinal Holdit Business Card Pockets"/>
    <n v="11.95"/>
    <n v="3"/>
    <x v="1682"/>
    <x v="8"/>
    <x v="2"/>
  </r>
  <r>
    <n v="45188"/>
    <x v="684"/>
    <x v="3"/>
    <x v="0"/>
    <x v="14"/>
    <s v="Kleencut Forged Office Shears by Acme United Corporation"/>
    <n v="6.24"/>
    <n v="3"/>
    <x v="2461"/>
    <x v="8"/>
    <x v="2"/>
  </r>
  <r>
    <n v="45188"/>
    <x v="584"/>
    <x v="43"/>
    <x v="0"/>
    <x v="2"/>
    <s v="Home/Office Personal File Carts"/>
    <n v="69.52"/>
    <n v="2"/>
    <x v="3187"/>
    <x v="8"/>
    <x v="2"/>
  </r>
  <r>
    <n v="45188"/>
    <x v="136"/>
    <x v="3"/>
    <x v="0"/>
    <x v="3"/>
    <s v="Avery Heavy-Duty EZD  Binder With Locking Rings"/>
    <n v="8.93"/>
    <n v="2"/>
    <x v="3381"/>
    <x v="8"/>
    <x v="2"/>
  </r>
  <r>
    <n v="45189"/>
    <x v="129"/>
    <x v="3"/>
    <x v="0"/>
    <x v="0"/>
    <s v="Strathmore Photo Frame Cards"/>
    <n v="65.790000000000006"/>
    <n v="9"/>
    <x v="3577"/>
    <x v="8"/>
    <x v="2"/>
  </r>
  <r>
    <n v="45189"/>
    <x v="129"/>
    <x v="3"/>
    <x v="0"/>
    <x v="3"/>
    <s v="Fellowes PB200 Plastic Comb Binding Machine"/>
    <n v="271.98"/>
    <n v="2"/>
    <x v="2677"/>
    <x v="8"/>
    <x v="2"/>
  </r>
  <r>
    <n v="45189"/>
    <x v="129"/>
    <x v="3"/>
    <x v="0"/>
    <x v="4"/>
    <s v="Newell 343"/>
    <n v="11.76"/>
    <n v="4"/>
    <x v="474"/>
    <x v="8"/>
    <x v="2"/>
  </r>
  <r>
    <n v="45189"/>
    <x v="129"/>
    <x v="3"/>
    <x v="0"/>
    <x v="0"/>
    <s v="Xerox 1944"/>
    <n v="77.52"/>
    <n v="2"/>
    <x v="1062"/>
    <x v="8"/>
    <x v="2"/>
  </r>
  <r>
    <n v="45189"/>
    <x v="129"/>
    <x v="3"/>
    <x v="0"/>
    <x v="3"/>
    <s v="Ibico Plastic Spiral Binding Combs"/>
    <n v="48.64"/>
    <n v="2"/>
    <x v="3578"/>
    <x v="8"/>
    <x v="2"/>
  </r>
  <r>
    <n v="45189"/>
    <x v="76"/>
    <x v="25"/>
    <x v="1"/>
    <x v="8"/>
    <s v="Dana Swing-Arm Lamps"/>
    <n v="17.09"/>
    <n v="2"/>
    <x v="130"/>
    <x v="8"/>
    <x v="2"/>
  </r>
  <r>
    <n v="45189"/>
    <x v="76"/>
    <x v="25"/>
    <x v="1"/>
    <x v="5"/>
    <s v="Global High-Back Leather Tilter, Burgundy"/>
    <n v="98.39"/>
    <n v="1"/>
    <x v="3579"/>
    <x v="8"/>
    <x v="2"/>
  </r>
  <r>
    <n v="45189"/>
    <x v="276"/>
    <x v="20"/>
    <x v="0"/>
    <x v="12"/>
    <s v="Honeywell Quietcare HEPA Air Cleaner"/>
    <n v="393.25"/>
    <n v="5"/>
    <x v="3580"/>
    <x v="8"/>
    <x v="2"/>
  </r>
  <r>
    <n v="45189"/>
    <x v="647"/>
    <x v="14"/>
    <x v="0"/>
    <x v="3"/>
    <s v="GBC Poly Designer Binding Covers"/>
    <n v="83.7"/>
    <n v="5"/>
    <x v="3581"/>
    <x v="8"/>
    <x v="2"/>
  </r>
  <r>
    <n v="45189"/>
    <x v="631"/>
    <x v="22"/>
    <x v="1"/>
    <x v="11"/>
    <s v="O'Sullivan 5-Shelf Heavy-Duty Bookcases"/>
    <n v="163.88"/>
    <n v="2"/>
    <x v="3582"/>
    <x v="8"/>
    <x v="2"/>
  </r>
  <r>
    <n v="45191"/>
    <x v="562"/>
    <x v="15"/>
    <x v="0"/>
    <x v="4"/>
    <s v="Berol Giant Pencil Sharpener"/>
    <n v="40.78"/>
    <n v="3"/>
    <x v="2224"/>
    <x v="8"/>
    <x v="2"/>
  </r>
  <r>
    <n v="45191"/>
    <x v="562"/>
    <x v="15"/>
    <x v="2"/>
    <x v="6"/>
    <s v="PayAnywhere Card Reader"/>
    <n v="63.94"/>
    <n v="8"/>
    <x v="3583"/>
    <x v="8"/>
    <x v="2"/>
  </r>
  <r>
    <n v="45191"/>
    <x v="517"/>
    <x v="2"/>
    <x v="0"/>
    <x v="4"/>
    <s v="Newell 348"/>
    <n v="7.87"/>
    <n v="3"/>
    <x v="1170"/>
    <x v="8"/>
    <x v="2"/>
  </r>
  <r>
    <n v="45191"/>
    <x v="482"/>
    <x v="16"/>
    <x v="0"/>
    <x v="3"/>
    <s v="Acco Suede Grain Vinyl Round Ring Binder"/>
    <n v="7.51"/>
    <n v="9"/>
    <x v="3584"/>
    <x v="8"/>
    <x v="2"/>
  </r>
  <r>
    <n v="45191"/>
    <x v="482"/>
    <x v="16"/>
    <x v="0"/>
    <x v="1"/>
    <s v="Avery Address/Shipping Labels for Typewriters, 4&quot; x 2&quot;"/>
    <n v="16.559999999999999"/>
    <n v="2"/>
    <x v="77"/>
    <x v="8"/>
    <x v="2"/>
  </r>
  <r>
    <n v="45191"/>
    <x v="326"/>
    <x v="5"/>
    <x v="1"/>
    <x v="8"/>
    <s v="G.E. Longer-Life Indoor Recessed Floodlight Bulbs"/>
    <n v="13.28"/>
    <n v="2"/>
    <x v="822"/>
    <x v="8"/>
    <x v="2"/>
  </r>
  <r>
    <n v="45191"/>
    <x v="629"/>
    <x v="2"/>
    <x v="0"/>
    <x v="1"/>
    <s v="Avery 476"/>
    <n v="16.52"/>
    <n v="5"/>
    <x v="193"/>
    <x v="8"/>
    <x v="2"/>
  </r>
  <r>
    <n v="45191"/>
    <x v="381"/>
    <x v="20"/>
    <x v="0"/>
    <x v="2"/>
    <s v="Sortfiler Multipurpose Personal File Organizer, Black"/>
    <n v="128.34"/>
    <n v="6"/>
    <x v="1467"/>
    <x v="8"/>
    <x v="2"/>
  </r>
  <r>
    <n v="45191"/>
    <x v="461"/>
    <x v="18"/>
    <x v="0"/>
    <x v="0"/>
    <s v="Xerox 1895"/>
    <n v="35.880000000000003"/>
    <n v="6"/>
    <x v="1652"/>
    <x v="8"/>
    <x v="2"/>
  </r>
  <r>
    <n v="45191"/>
    <x v="436"/>
    <x v="26"/>
    <x v="1"/>
    <x v="8"/>
    <s v="Aluminum Document Frame"/>
    <n v="68.430000000000007"/>
    <n v="7"/>
    <x v="3585"/>
    <x v="8"/>
    <x v="2"/>
  </r>
  <r>
    <n v="45191"/>
    <x v="10"/>
    <x v="21"/>
    <x v="1"/>
    <x v="8"/>
    <s v="DAX Two-Tone Rosewood/Black Document Frame, Desktop, 5 x 7"/>
    <n v="18.96"/>
    <n v="2"/>
    <x v="285"/>
    <x v="8"/>
    <x v="2"/>
  </r>
  <r>
    <n v="45191"/>
    <x v="70"/>
    <x v="10"/>
    <x v="0"/>
    <x v="10"/>
    <s v="Blue String-Tie &amp; Button Interoffice Envelopes, 10 x 13"/>
    <n v="63.97"/>
    <n v="2"/>
    <x v="3586"/>
    <x v="8"/>
    <x v="2"/>
  </r>
  <r>
    <n v="45191"/>
    <x v="361"/>
    <x v="14"/>
    <x v="0"/>
    <x v="0"/>
    <s v="RSVP Cards &amp; Envelopes, Blank White, 8-1/2&quot; X 11&quot;, 24 Cards/25 Envelopes/Set"/>
    <n v="35.56"/>
    <n v="7"/>
    <x v="3587"/>
    <x v="8"/>
    <x v="2"/>
  </r>
  <r>
    <n v="45191"/>
    <x v="361"/>
    <x v="14"/>
    <x v="2"/>
    <x v="6"/>
    <s v="Panasonic KX TS208W Corded phone"/>
    <n v="97.98"/>
    <n v="2"/>
    <x v="2327"/>
    <x v="8"/>
    <x v="2"/>
  </r>
  <r>
    <n v="45192"/>
    <x v="254"/>
    <x v="10"/>
    <x v="1"/>
    <x v="8"/>
    <s v="Rubbermaid ClusterMat Chairmats, Mat Size- 66&quot; x 60&quot;, Lip 20&quot; x 11&quot; -90 Degree Angle"/>
    <n v="532.70000000000005"/>
    <n v="6"/>
    <x v="3588"/>
    <x v="8"/>
    <x v="2"/>
  </r>
  <r>
    <n v="45192"/>
    <x v="254"/>
    <x v="10"/>
    <x v="0"/>
    <x v="4"/>
    <s v="Dixon Ticonderoga Maple Cedar Pencil, #2"/>
    <n v="4.91"/>
    <n v="2"/>
    <x v="12"/>
    <x v="8"/>
    <x v="2"/>
  </r>
  <r>
    <n v="45192"/>
    <x v="277"/>
    <x v="4"/>
    <x v="0"/>
    <x v="2"/>
    <s v="Eldon Mobile Mega Data Cart  Mega Stackable  Add-On Trays"/>
    <n v="118.25"/>
    <n v="5"/>
    <x v="3338"/>
    <x v="8"/>
    <x v="2"/>
  </r>
  <r>
    <n v="45192"/>
    <x v="277"/>
    <x v="4"/>
    <x v="1"/>
    <x v="5"/>
    <s v="Hon Mobius Operator's Chair"/>
    <n v="368.97"/>
    <n v="3"/>
    <x v="3589"/>
    <x v="8"/>
    <x v="2"/>
  </r>
  <r>
    <n v="45192"/>
    <x v="507"/>
    <x v="22"/>
    <x v="0"/>
    <x v="14"/>
    <s v="Acme Design Stainless Steel Bent Scissors"/>
    <n v="13.68"/>
    <n v="2"/>
    <x v="603"/>
    <x v="8"/>
    <x v="2"/>
  </r>
  <r>
    <n v="45192"/>
    <x v="762"/>
    <x v="3"/>
    <x v="0"/>
    <x v="10"/>
    <s v="Poly String Tie Envelopes"/>
    <n v="4.08"/>
    <n v="2"/>
    <x v="727"/>
    <x v="8"/>
    <x v="2"/>
  </r>
  <r>
    <n v="45192"/>
    <x v="762"/>
    <x v="3"/>
    <x v="0"/>
    <x v="1"/>
    <s v="Avery 51"/>
    <n v="18.899999999999999"/>
    <n v="3"/>
    <x v="1061"/>
    <x v="8"/>
    <x v="2"/>
  </r>
  <r>
    <n v="45192"/>
    <x v="748"/>
    <x v="20"/>
    <x v="0"/>
    <x v="3"/>
    <s v="3-ring staple pack"/>
    <n v="10.53"/>
    <n v="7"/>
    <x v="1918"/>
    <x v="8"/>
    <x v="2"/>
  </r>
  <r>
    <n v="45192"/>
    <x v="179"/>
    <x v="10"/>
    <x v="0"/>
    <x v="0"/>
    <s v="Xerox 1970"/>
    <n v="11.95"/>
    <n v="3"/>
    <x v="1163"/>
    <x v="8"/>
    <x v="2"/>
  </r>
  <r>
    <n v="45192"/>
    <x v="179"/>
    <x v="10"/>
    <x v="1"/>
    <x v="8"/>
    <s v="Eldon 400 Class Desk Accessories, Black Carbon"/>
    <n v="28"/>
    <n v="4"/>
    <x v="472"/>
    <x v="8"/>
    <x v="2"/>
  </r>
  <r>
    <n v="45192"/>
    <x v="179"/>
    <x v="10"/>
    <x v="0"/>
    <x v="3"/>
    <s v="Fellowes Black Plastic Comb Bindings"/>
    <n v="12.2"/>
    <n v="7"/>
    <x v="3590"/>
    <x v="8"/>
    <x v="2"/>
  </r>
  <r>
    <n v="45192"/>
    <x v="679"/>
    <x v="22"/>
    <x v="0"/>
    <x v="3"/>
    <s v="ACCOHIDE 3-Ring Binder, Blue, 1&quot;"/>
    <n v="13.22"/>
    <n v="4"/>
    <x v="519"/>
    <x v="8"/>
    <x v="2"/>
  </r>
  <r>
    <n v="45192"/>
    <x v="679"/>
    <x v="22"/>
    <x v="1"/>
    <x v="5"/>
    <s v="Global Deluxe Steno Chair"/>
    <n v="184.75"/>
    <n v="3"/>
    <x v="1698"/>
    <x v="8"/>
    <x v="2"/>
  </r>
  <r>
    <n v="45193"/>
    <x v="500"/>
    <x v="10"/>
    <x v="1"/>
    <x v="5"/>
    <s v="Office Star - Contemporary Task Swivel Chair"/>
    <n v="155.37"/>
    <n v="2"/>
    <x v="718"/>
    <x v="8"/>
    <x v="2"/>
  </r>
  <r>
    <n v="45193"/>
    <x v="174"/>
    <x v="3"/>
    <x v="0"/>
    <x v="2"/>
    <s v="Tennsco Lockers, Gray"/>
    <n v="41.96"/>
    <n v="2"/>
    <x v="252"/>
    <x v="8"/>
    <x v="2"/>
  </r>
  <r>
    <n v="45193"/>
    <x v="174"/>
    <x v="3"/>
    <x v="0"/>
    <x v="0"/>
    <s v="REDIFORM Incoming/Outgoing Call Register, 11&quot; X 8 1/2&quot;, 100 Messages"/>
    <n v="41.7"/>
    <n v="5"/>
    <x v="251"/>
    <x v="8"/>
    <x v="2"/>
  </r>
  <r>
    <n v="45193"/>
    <x v="615"/>
    <x v="3"/>
    <x v="1"/>
    <x v="8"/>
    <s v="Nu-Dell Executive Frame"/>
    <n v="63.2"/>
    <n v="5"/>
    <x v="1599"/>
    <x v="8"/>
    <x v="2"/>
  </r>
  <r>
    <n v="45193"/>
    <x v="750"/>
    <x v="26"/>
    <x v="1"/>
    <x v="8"/>
    <s v="Electrix 20W Halogen Replacement Bulb for Zoom-In Desk Lamp"/>
    <n v="21.44"/>
    <n v="2"/>
    <x v="2977"/>
    <x v="8"/>
    <x v="2"/>
  </r>
  <r>
    <n v="45193"/>
    <x v="750"/>
    <x v="26"/>
    <x v="0"/>
    <x v="2"/>
    <s v="Sensible Storage WireTech Storage Systems"/>
    <n v="511.06"/>
    <n v="9"/>
    <x v="3591"/>
    <x v="8"/>
    <x v="2"/>
  </r>
  <r>
    <n v="45193"/>
    <x v="157"/>
    <x v="39"/>
    <x v="0"/>
    <x v="3"/>
    <s v="Avery Heavy-Duty EZD View Binder with Locking Rings"/>
    <n v="6.38"/>
    <n v="1"/>
    <x v="1461"/>
    <x v="8"/>
    <x v="2"/>
  </r>
  <r>
    <n v="45193"/>
    <x v="157"/>
    <x v="39"/>
    <x v="0"/>
    <x v="0"/>
    <s v="Xerox 232"/>
    <n v="6.48"/>
    <n v="1"/>
    <x v="1006"/>
    <x v="8"/>
    <x v="2"/>
  </r>
  <r>
    <n v="45193"/>
    <x v="131"/>
    <x v="18"/>
    <x v="1"/>
    <x v="8"/>
    <s v="Deflect-o DuraMat Lighweight, Studded, Beveled Mat for Low Pile Carpeting"/>
    <n v="127.95"/>
    <n v="3"/>
    <x v="923"/>
    <x v="8"/>
    <x v="2"/>
  </r>
  <r>
    <n v="45193"/>
    <x v="521"/>
    <x v="1"/>
    <x v="0"/>
    <x v="3"/>
    <s v="GBC ProClick 150 Presentation Binding System"/>
    <n v="442.37"/>
    <n v="7"/>
    <x v="3592"/>
    <x v="8"/>
    <x v="2"/>
  </r>
  <r>
    <n v="45193"/>
    <x v="150"/>
    <x v="3"/>
    <x v="0"/>
    <x v="10"/>
    <s v="Tyvek Interoffice Envelopes, 9 1/2&quot; x 12 1/2&quot;, 100/Box"/>
    <n v="304.89999999999998"/>
    <n v="5"/>
    <x v="3593"/>
    <x v="8"/>
    <x v="2"/>
  </r>
  <r>
    <n v="45193"/>
    <x v="150"/>
    <x v="3"/>
    <x v="1"/>
    <x v="5"/>
    <s v="Hon Olson Stacker Stools"/>
    <n v="563.24"/>
    <n v="5"/>
    <x v="3594"/>
    <x v="8"/>
    <x v="2"/>
  </r>
  <r>
    <n v="45194"/>
    <x v="579"/>
    <x v="12"/>
    <x v="1"/>
    <x v="13"/>
    <s v="Bevis Boat-Shaped Conference Table"/>
    <n v="393.17"/>
    <n v="3"/>
    <x v="2135"/>
    <x v="8"/>
    <x v="2"/>
  </r>
  <r>
    <n v="45194"/>
    <x v="62"/>
    <x v="0"/>
    <x v="0"/>
    <x v="1"/>
    <s v="Avery 499"/>
    <n v="15.94"/>
    <n v="4"/>
    <x v="510"/>
    <x v="8"/>
    <x v="2"/>
  </r>
  <r>
    <n v="45194"/>
    <x v="124"/>
    <x v="11"/>
    <x v="0"/>
    <x v="0"/>
    <s v="REDIFORM Incoming/Outgoing Call Register, 11&quot; X 8 1/2&quot;, 100 Messages"/>
    <n v="60.05"/>
    <n v="9"/>
    <x v="3595"/>
    <x v="8"/>
    <x v="2"/>
  </r>
  <r>
    <n v="45194"/>
    <x v="124"/>
    <x v="11"/>
    <x v="0"/>
    <x v="3"/>
    <s v="GBC Poly Designer Binding Covers"/>
    <n v="5.0199999999999996"/>
    <n v="1"/>
    <x v="2536"/>
    <x v="8"/>
    <x v="2"/>
  </r>
  <r>
    <n v="45194"/>
    <x v="621"/>
    <x v="3"/>
    <x v="0"/>
    <x v="4"/>
    <s v="BIC Brite Liner Highlighters"/>
    <n v="16.559999999999999"/>
    <n v="4"/>
    <x v="3596"/>
    <x v="8"/>
    <x v="2"/>
  </r>
  <r>
    <n v="45194"/>
    <x v="571"/>
    <x v="21"/>
    <x v="2"/>
    <x v="9"/>
    <s v="Logitech Wireless Headset h800"/>
    <n v="499.95"/>
    <n v="5"/>
    <x v="3597"/>
    <x v="8"/>
    <x v="2"/>
  </r>
  <r>
    <n v="45194"/>
    <x v="571"/>
    <x v="21"/>
    <x v="0"/>
    <x v="4"/>
    <s v="Manco Dry-Lighter Erasable Highlighter"/>
    <n v="3.04"/>
    <n v="1"/>
    <x v="812"/>
    <x v="8"/>
    <x v="2"/>
  </r>
  <r>
    <n v="45194"/>
    <x v="571"/>
    <x v="21"/>
    <x v="1"/>
    <x v="5"/>
    <s v="Global Fabric Manager's Chair, Dark Gray"/>
    <n v="201.96"/>
    <n v="2"/>
    <x v="3598"/>
    <x v="8"/>
    <x v="2"/>
  </r>
  <r>
    <n v="45194"/>
    <x v="571"/>
    <x v="21"/>
    <x v="1"/>
    <x v="8"/>
    <s v="Eldon Expressions Mahogany Wood Desk Collection"/>
    <n v="68.64"/>
    <n v="11"/>
    <x v="3599"/>
    <x v="8"/>
    <x v="2"/>
  </r>
  <r>
    <n v="45194"/>
    <x v="578"/>
    <x v="10"/>
    <x v="0"/>
    <x v="12"/>
    <s v="Hoover Shoulder Vac Commercial Portable Vacuum"/>
    <n v="286.26"/>
    <n v="1"/>
    <x v="3600"/>
    <x v="8"/>
    <x v="2"/>
  </r>
  <r>
    <n v="45194"/>
    <x v="578"/>
    <x v="10"/>
    <x v="0"/>
    <x v="2"/>
    <s v="Eldon Gobal File Keepers"/>
    <n v="24.22"/>
    <n v="2"/>
    <x v="1401"/>
    <x v="8"/>
    <x v="2"/>
  </r>
  <r>
    <n v="45194"/>
    <x v="578"/>
    <x v="10"/>
    <x v="0"/>
    <x v="2"/>
    <s v="SAFCO Commercial Wire Shelving, Black"/>
    <n v="331.54"/>
    <n v="3"/>
    <x v="1016"/>
    <x v="8"/>
    <x v="2"/>
  </r>
  <r>
    <n v="45194"/>
    <x v="322"/>
    <x v="3"/>
    <x v="1"/>
    <x v="11"/>
    <s v="Atlantic Metals Mobile 4-Shelf Bookcases, Custom Colors"/>
    <n v="477.67"/>
    <n v="2"/>
    <x v="3601"/>
    <x v="8"/>
    <x v="2"/>
  </r>
  <r>
    <n v="45194"/>
    <x v="275"/>
    <x v="3"/>
    <x v="0"/>
    <x v="0"/>
    <s v="Ampad Evidence Wirebond Steno Books, 6&quot; x 9&quot;"/>
    <n v="10.9"/>
    <n v="5"/>
    <x v="3602"/>
    <x v="8"/>
    <x v="2"/>
  </r>
  <r>
    <n v="45194"/>
    <x v="275"/>
    <x v="3"/>
    <x v="0"/>
    <x v="1"/>
    <s v="Alphabetical Labels for Top Tab Filing"/>
    <n v="29.6"/>
    <n v="2"/>
    <x v="267"/>
    <x v="8"/>
    <x v="2"/>
  </r>
  <r>
    <n v="45194"/>
    <x v="275"/>
    <x v="3"/>
    <x v="0"/>
    <x v="1"/>
    <s v="Avery 513"/>
    <n v="4.9800000000000004"/>
    <n v="1"/>
    <x v="156"/>
    <x v="8"/>
    <x v="2"/>
  </r>
  <r>
    <n v="45194"/>
    <x v="275"/>
    <x v="3"/>
    <x v="2"/>
    <x v="16"/>
    <s v="Canon PC-428 Personal Copier"/>
    <n v="479.98"/>
    <n v="3"/>
    <x v="2479"/>
    <x v="8"/>
    <x v="2"/>
  </r>
  <r>
    <n v="45194"/>
    <x v="275"/>
    <x v="3"/>
    <x v="2"/>
    <x v="6"/>
    <s v="SmartStand Mobile Device Holder, Assorted Colors"/>
    <n v="44.74"/>
    <n v="8"/>
    <x v="65"/>
    <x v="8"/>
    <x v="2"/>
  </r>
  <r>
    <n v="45194"/>
    <x v="275"/>
    <x v="3"/>
    <x v="0"/>
    <x v="4"/>
    <s v="Newell 346"/>
    <n v="5.76"/>
    <n v="2"/>
    <x v="688"/>
    <x v="8"/>
    <x v="2"/>
  </r>
  <r>
    <n v="45194"/>
    <x v="275"/>
    <x v="3"/>
    <x v="1"/>
    <x v="5"/>
    <s v="Global Airflow Leather Mesh Back Chair, Black"/>
    <n v="483.14"/>
    <n v="4"/>
    <x v="2077"/>
    <x v="8"/>
    <x v="2"/>
  </r>
  <r>
    <n v="45195"/>
    <x v="40"/>
    <x v="1"/>
    <x v="1"/>
    <x v="5"/>
    <s v="Hon 4700 Series Mobuis Mid-Back Task Chairs with Adjustable Arms"/>
    <n v="747.56"/>
    <n v="3"/>
    <x v="3603"/>
    <x v="8"/>
    <x v="2"/>
  </r>
  <r>
    <n v="45195"/>
    <x v="40"/>
    <x v="1"/>
    <x v="0"/>
    <x v="10"/>
    <s v="Staple envelope"/>
    <n v="8.93"/>
    <n v="2"/>
    <x v="318"/>
    <x v="8"/>
    <x v="2"/>
  </r>
  <r>
    <n v="45195"/>
    <x v="562"/>
    <x v="3"/>
    <x v="1"/>
    <x v="11"/>
    <s v="Bestar Classic Bookcase"/>
    <n v="424.96"/>
    <n v="5"/>
    <x v="3604"/>
    <x v="8"/>
    <x v="2"/>
  </r>
  <r>
    <n v="45195"/>
    <x v="188"/>
    <x v="22"/>
    <x v="0"/>
    <x v="12"/>
    <s v="Belkin 7 Outlet SurgeMaster II"/>
    <n v="236.88"/>
    <n v="6"/>
    <x v="3605"/>
    <x v="8"/>
    <x v="2"/>
  </r>
  <r>
    <n v="45195"/>
    <x v="188"/>
    <x v="22"/>
    <x v="0"/>
    <x v="0"/>
    <s v="Universal Premium White Copier/Laser Paper (20Lb. and 87 Bright)"/>
    <n v="29.9"/>
    <n v="5"/>
    <x v="2800"/>
    <x v="8"/>
    <x v="2"/>
  </r>
  <r>
    <n v="45195"/>
    <x v="188"/>
    <x v="22"/>
    <x v="2"/>
    <x v="9"/>
    <s v="Micro Innovations USB RF Wireless Keyboard with Mouse"/>
    <n v="100"/>
    <n v="4"/>
    <x v="2924"/>
    <x v="8"/>
    <x v="2"/>
  </r>
  <r>
    <n v="45195"/>
    <x v="345"/>
    <x v="30"/>
    <x v="0"/>
    <x v="0"/>
    <s v="Hammermill Color Copier Paper (28Lb. and 96 Bright)"/>
    <n v="9.99"/>
    <n v="1"/>
    <x v="704"/>
    <x v="8"/>
    <x v="2"/>
  </r>
  <r>
    <n v="45195"/>
    <x v="250"/>
    <x v="3"/>
    <x v="0"/>
    <x v="2"/>
    <s v="Advantus Rolling Storage Box"/>
    <n v="51.45"/>
    <n v="3"/>
    <x v="1562"/>
    <x v="8"/>
    <x v="2"/>
  </r>
  <r>
    <n v="45195"/>
    <x v="250"/>
    <x v="3"/>
    <x v="0"/>
    <x v="1"/>
    <s v="Avery 494"/>
    <n v="7.83"/>
    <n v="3"/>
    <x v="333"/>
    <x v="8"/>
    <x v="2"/>
  </r>
  <r>
    <n v="45195"/>
    <x v="250"/>
    <x v="3"/>
    <x v="0"/>
    <x v="4"/>
    <s v="SANFORD Major Accent Highlighters"/>
    <n v="35.4"/>
    <n v="5"/>
    <x v="3557"/>
    <x v="8"/>
    <x v="2"/>
  </r>
  <r>
    <n v="45195"/>
    <x v="250"/>
    <x v="3"/>
    <x v="0"/>
    <x v="0"/>
    <s v="Great White Multi-Use Recycled Paper (20Lb. and 84 Bright)"/>
    <n v="29.9"/>
    <n v="5"/>
    <x v="1663"/>
    <x v="8"/>
    <x v="2"/>
  </r>
  <r>
    <n v="45195"/>
    <x v="360"/>
    <x v="3"/>
    <x v="0"/>
    <x v="0"/>
    <s v="Xerox 1905"/>
    <n v="12.96"/>
    <n v="2"/>
    <x v="113"/>
    <x v="8"/>
    <x v="2"/>
  </r>
  <r>
    <n v="45195"/>
    <x v="451"/>
    <x v="16"/>
    <x v="2"/>
    <x v="9"/>
    <s v="LogitechÂ VX Revolution Cordless Laser Mouse for Notebooks (Black)"/>
    <n v="431.98"/>
    <n v="3"/>
    <x v="3119"/>
    <x v="8"/>
    <x v="2"/>
  </r>
  <r>
    <n v="45195"/>
    <x v="59"/>
    <x v="0"/>
    <x v="0"/>
    <x v="3"/>
    <s v="Ibico Recycled Linen-Style Covers"/>
    <n v="15.62"/>
    <n v="2"/>
    <x v="3606"/>
    <x v="8"/>
    <x v="2"/>
  </r>
  <r>
    <n v="45195"/>
    <x v="382"/>
    <x v="0"/>
    <x v="0"/>
    <x v="12"/>
    <s v="Hoover Commercial Lightweight Upright Vacuum with E-Z Empty Dirt Cup"/>
    <n v="93.03"/>
    <n v="2"/>
    <x v="3607"/>
    <x v="8"/>
    <x v="2"/>
  </r>
  <r>
    <n v="45195"/>
    <x v="382"/>
    <x v="0"/>
    <x v="1"/>
    <x v="5"/>
    <s v="High-Back Leather Manager's Chair"/>
    <n v="454.97"/>
    <n v="5"/>
    <x v="3608"/>
    <x v="8"/>
    <x v="2"/>
  </r>
  <r>
    <n v="45195"/>
    <x v="719"/>
    <x v="0"/>
    <x v="0"/>
    <x v="3"/>
    <s v="GBC Recycled VeloBinder Covers"/>
    <n v="6.82"/>
    <n v="2"/>
    <x v="3609"/>
    <x v="8"/>
    <x v="2"/>
  </r>
  <r>
    <n v="45196"/>
    <x v="312"/>
    <x v="0"/>
    <x v="1"/>
    <x v="11"/>
    <s v="O'Sullivan Plantations 2-Door Library in Landvery Oak"/>
    <n v="956.66"/>
    <n v="7"/>
    <x v="3610"/>
    <x v="8"/>
    <x v="2"/>
  </r>
  <r>
    <n v="45196"/>
    <x v="291"/>
    <x v="10"/>
    <x v="0"/>
    <x v="3"/>
    <s v="Recycled Pressboard Report Cover with Reinforced Top Hinge"/>
    <n v="2.91"/>
    <n v="3"/>
    <x v="3611"/>
    <x v="8"/>
    <x v="2"/>
  </r>
  <r>
    <n v="45196"/>
    <x v="661"/>
    <x v="22"/>
    <x v="2"/>
    <x v="6"/>
    <s v="Samsung Galaxy S4"/>
    <n v="1001.58"/>
    <n v="2"/>
    <x v="3612"/>
    <x v="8"/>
    <x v="2"/>
  </r>
  <r>
    <n v="45196"/>
    <x v="229"/>
    <x v="4"/>
    <x v="0"/>
    <x v="0"/>
    <s v="Xerox 1965"/>
    <n v="17.940000000000001"/>
    <n v="3"/>
    <x v="450"/>
    <x v="8"/>
    <x v="2"/>
  </r>
  <r>
    <n v="45196"/>
    <x v="229"/>
    <x v="4"/>
    <x v="0"/>
    <x v="4"/>
    <s v="Binney &amp; Smith Crayola Metallic Colored Pencils, 8-Color Set"/>
    <n v="13.89"/>
    <n v="3"/>
    <x v="290"/>
    <x v="8"/>
    <x v="2"/>
  </r>
  <r>
    <n v="45197"/>
    <x v="22"/>
    <x v="1"/>
    <x v="0"/>
    <x v="0"/>
    <s v="Xerox 1960"/>
    <n v="99.14"/>
    <n v="4"/>
    <x v="3613"/>
    <x v="8"/>
    <x v="2"/>
  </r>
  <r>
    <n v="45198"/>
    <x v="637"/>
    <x v="2"/>
    <x v="0"/>
    <x v="1"/>
    <s v="Avery 483"/>
    <n v="15.94"/>
    <n v="4"/>
    <x v="510"/>
    <x v="8"/>
    <x v="2"/>
  </r>
  <r>
    <n v="45198"/>
    <x v="570"/>
    <x v="18"/>
    <x v="0"/>
    <x v="4"/>
    <s v="Newell 328"/>
    <n v="40.880000000000003"/>
    <n v="7"/>
    <x v="540"/>
    <x v="8"/>
    <x v="2"/>
  </r>
  <r>
    <n v="45198"/>
    <x v="255"/>
    <x v="3"/>
    <x v="0"/>
    <x v="0"/>
    <s v="Xerox 1887"/>
    <n v="18.97"/>
    <n v="1"/>
    <x v="3614"/>
    <x v="8"/>
    <x v="2"/>
  </r>
  <r>
    <n v="45198"/>
    <x v="519"/>
    <x v="33"/>
    <x v="2"/>
    <x v="9"/>
    <s v="Logitech G500s Laser Gaming Mouse with Adjustable Weight Tuning"/>
    <n v="209.97"/>
    <n v="3"/>
    <x v="3615"/>
    <x v="8"/>
    <x v="2"/>
  </r>
  <r>
    <n v="45198"/>
    <x v="519"/>
    <x v="33"/>
    <x v="0"/>
    <x v="3"/>
    <s v="Premium Transparent Presentation Covers by GBC"/>
    <n v="62.94"/>
    <n v="3"/>
    <x v="790"/>
    <x v="8"/>
    <x v="2"/>
  </r>
  <r>
    <n v="45198"/>
    <x v="519"/>
    <x v="33"/>
    <x v="0"/>
    <x v="4"/>
    <s v="Sanford Colorific Colored Pencils, 12/Box"/>
    <n v="25.92"/>
    <n v="9"/>
    <x v="1296"/>
    <x v="8"/>
    <x v="2"/>
  </r>
  <r>
    <n v="45198"/>
    <x v="539"/>
    <x v="3"/>
    <x v="0"/>
    <x v="3"/>
    <s v="Avery Self-Adhesive Photo Pockets for Polaroid Photos"/>
    <n v="27.24"/>
    <n v="5"/>
    <x v="821"/>
    <x v="8"/>
    <x v="2"/>
  </r>
  <r>
    <n v="45198"/>
    <x v="441"/>
    <x v="12"/>
    <x v="0"/>
    <x v="4"/>
    <s v="Newell 351"/>
    <n v="10.5"/>
    <n v="4"/>
    <x v="1212"/>
    <x v="8"/>
    <x v="2"/>
  </r>
  <r>
    <n v="45198"/>
    <x v="442"/>
    <x v="11"/>
    <x v="2"/>
    <x v="6"/>
    <s v="Wilson Electronics DB Pro Signal Booster"/>
    <n v="859.2"/>
    <n v="3"/>
    <x v="3616"/>
    <x v="8"/>
    <x v="2"/>
  </r>
  <r>
    <n v="45198"/>
    <x v="505"/>
    <x v="3"/>
    <x v="2"/>
    <x v="9"/>
    <s v="Memorex Mini Travel Drive 64 GB USB 2.0 Flash Drive"/>
    <n v="36.24"/>
    <n v="1"/>
    <x v="95"/>
    <x v="8"/>
    <x v="2"/>
  </r>
  <r>
    <n v="45199"/>
    <x v="605"/>
    <x v="1"/>
    <x v="0"/>
    <x v="3"/>
    <s v="Pressboard Covers with Storage Hooks, 9 1/2&quot; x 11&quot;, Light Blue"/>
    <n v="1.96"/>
    <n v="2"/>
    <x v="3171"/>
    <x v="8"/>
    <x v="2"/>
  </r>
  <r>
    <n v="45199"/>
    <x v="193"/>
    <x v="20"/>
    <x v="1"/>
    <x v="11"/>
    <s v="O'Sullivan Elevations Bookcase, Cherry Finish"/>
    <n v="523.91999999999996"/>
    <n v="5"/>
    <x v="3617"/>
    <x v="8"/>
    <x v="2"/>
  </r>
  <r>
    <n v="45200"/>
    <x v="280"/>
    <x v="3"/>
    <x v="1"/>
    <x v="5"/>
    <s v="Global Value Mid-Back Manager's Chair, Gray"/>
    <n v="194.85"/>
    <n v="4"/>
    <x v="3072"/>
    <x v="9"/>
    <x v="2"/>
  </r>
  <r>
    <n v="45200"/>
    <x v="393"/>
    <x v="18"/>
    <x v="2"/>
    <x v="6"/>
    <s v="Plantronics CordlessÂ Phone HeadsetÂ with In-line Volume - M214C"/>
    <n v="69.900000000000006"/>
    <n v="2"/>
    <x v="1229"/>
    <x v="9"/>
    <x v="2"/>
  </r>
  <r>
    <n v="45200"/>
    <x v="393"/>
    <x v="18"/>
    <x v="1"/>
    <x v="8"/>
    <s v="Westinghouse Clip-On Gooseneck Lamps"/>
    <n v="41.85"/>
    <n v="5"/>
    <x v="1005"/>
    <x v="9"/>
    <x v="2"/>
  </r>
  <r>
    <n v="45200"/>
    <x v="193"/>
    <x v="20"/>
    <x v="1"/>
    <x v="13"/>
    <s v="Chromcraft Bull-Nose Wood 48&quot; x 96&quot; Rectangular Conference Tables"/>
    <n v="330.59"/>
    <n v="1"/>
    <x v="3618"/>
    <x v="9"/>
    <x v="2"/>
  </r>
  <r>
    <n v="45200"/>
    <x v="459"/>
    <x v="0"/>
    <x v="2"/>
    <x v="9"/>
    <s v="ImationÂ 16GB Mini TravelDrive USB 2.0Â Flash Drive"/>
    <n v="79.510000000000005"/>
    <n v="3"/>
    <x v="1284"/>
    <x v="9"/>
    <x v="2"/>
  </r>
  <r>
    <n v="45200"/>
    <x v="459"/>
    <x v="0"/>
    <x v="0"/>
    <x v="0"/>
    <s v="Easy-staple paper"/>
    <n v="28.35"/>
    <n v="1"/>
    <x v="2631"/>
    <x v="9"/>
    <x v="2"/>
  </r>
  <r>
    <n v="45200"/>
    <x v="295"/>
    <x v="16"/>
    <x v="0"/>
    <x v="3"/>
    <s v="Avery Non-Stick Binders"/>
    <n v="5.39"/>
    <n v="4"/>
    <x v="2029"/>
    <x v="9"/>
    <x v="2"/>
  </r>
  <r>
    <n v="45200"/>
    <x v="295"/>
    <x v="16"/>
    <x v="0"/>
    <x v="4"/>
    <s v="Staples in misc. colors"/>
    <n v="30.98"/>
    <n v="8"/>
    <x v="1766"/>
    <x v="9"/>
    <x v="2"/>
  </r>
  <r>
    <n v="45201"/>
    <x v="676"/>
    <x v="20"/>
    <x v="0"/>
    <x v="12"/>
    <s v="Kensington 6 Outlet Guardian Standard Surge Protector"/>
    <n v="61.44"/>
    <n v="3"/>
    <x v="2364"/>
    <x v="9"/>
    <x v="2"/>
  </r>
  <r>
    <n v="45201"/>
    <x v="760"/>
    <x v="12"/>
    <x v="0"/>
    <x v="3"/>
    <s v="Premier Elliptical Ring Binder, Black"/>
    <n v="54.79"/>
    <n v="6"/>
    <x v="3619"/>
    <x v="9"/>
    <x v="2"/>
  </r>
  <r>
    <n v="45201"/>
    <x v="498"/>
    <x v="18"/>
    <x v="0"/>
    <x v="2"/>
    <s v="Acco Perma 4000 Stacking Storage Drawers"/>
    <n v="32.479999999999997"/>
    <n v="2"/>
    <x v="604"/>
    <x v="9"/>
    <x v="2"/>
  </r>
  <r>
    <n v="45201"/>
    <x v="498"/>
    <x v="18"/>
    <x v="2"/>
    <x v="16"/>
    <s v="Canon imageCLASS 2200 Advanced Copier"/>
    <n v="17499.95"/>
    <n v="5"/>
    <x v="3620"/>
    <x v="9"/>
    <x v="2"/>
  </r>
  <r>
    <n v="45201"/>
    <x v="498"/>
    <x v="18"/>
    <x v="0"/>
    <x v="3"/>
    <s v="Ibico Ibimaster 300 Manual Binding System"/>
    <n v="735.98"/>
    <n v="2"/>
    <x v="3621"/>
    <x v="9"/>
    <x v="2"/>
  </r>
  <r>
    <n v="45201"/>
    <x v="498"/>
    <x v="18"/>
    <x v="0"/>
    <x v="3"/>
    <s v="Acco Pressboard Covers with Storage Hooks, 14 7/8&quot; x 11&quot;, Light Blue"/>
    <n v="34.369999999999997"/>
    <n v="7"/>
    <x v="3622"/>
    <x v="9"/>
    <x v="2"/>
  </r>
  <r>
    <n v="45201"/>
    <x v="498"/>
    <x v="18"/>
    <x v="0"/>
    <x v="4"/>
    <s v="Stanley Bostitch Contemporary Electric Pencil Sharpeners"/>
    <n v="33.96"/>
    <n v="2"/>
    <x v="3623"/>
    <x v="9"/>
    <x v="2"/>
  </r>
  <r>
    <n v="45202"/>
    <x v="19"/>
    <x v="0"/>
    <x v="0"/>
    <x v="10"/>
    <s v="Staple envelope"/>
    <n v="15.65"/>
    <n v="2"/>
    <x v="947"/>
    <x v="9"/>
    <x v="2"/>
  </r>
  <r>
    <n v="45202"/>
    <x v="185"/>
    <x v="20"/>
    <x v="1"/>
    <x v="5"/>
    <s v="Office Star - Contemporary Task Swivel Chair"/>
    <n v="599.29"/>
    <n v="6"/>
    <x v="3624"/>
    <x v="9"/>
    <x v="2"/>
  </r>
  <r>
    <n v="45202"/>
    <x v="609"/>
    <x v="0"/>
    <x v="1"/>
    <x v="8"/>
    <s v="Eldon Expressions Desk Accessory, Wood Photo Frame, Mahogany"/>
    <n v="38.08"/>
    <n v="5"/>
    <x v="3625"/>
    <x v="9"/>
    <x v="2"/>
  </r>
  <r>
    <n v="45202"/>
    <x v="474"/>
    <x v="3"/>
    <x v="0"/>
    <x v="1"/>
    <s v="Smead Alpha-Z Color-Coded Second Alphabetical Labels and Starter Set"/>
    <n v="6.16"/>
    <n v="2"/>
    <x v="1057"/>
    <x v="9"/>
    <x v="2"/>
  </r>
  <r>
    <n v="45202"/>
    <x v="474"/>
    <x v="3"/>
    <x v="1"/>
    <x v="5"/>
    <s v="Global Deluxe High-Back Manager's Chair"/>
    <n v="915.14"/>
    <n v="4"/>
    <x v="1730"/>
    <x v="9"/>
    <x v="2"/>
  </r>
  <r>
    <n v="45202"/>
    <x v="474"/>
    <x v="3"/>
    <x v="0"/>
    <x v="0"/>
    <s v="Xerox 1900"/>
    <n v="8.56"/>
    <n v="2"/>
    <x v="995"/>
    <x v="9"/>
    <x v="2"/>
  </r>
  <r>
    <n v="45202"/>
    <x v="474"/>
    <x v="3"/>
    <x v="0"/>
    <x v="0"/>
    <s v="Xerox 1891"/>
    <n v="97.82"/>
    <n v="2"/>
    <x v="146"/>
    <x v="9"/>
    <x v="2"/>
  </r>
  <r>
    <n v="45203"/>
    <x v="541"/>
    <x v="0"/>
    <x v="0"/>
    <x v="10"/>
    <s v="Laser &amp; Ink Jet Business Envelopes"/>
    <n v="59.75"/>
    <n v="7"/>
    <x v="2421"/>
    <x v="9"/>
    <x v="2"/>
  </r>
  <r>
    <n v="45203"/>
    <x v="108"/>
    <x v="43"/>
    <x v="0"/>
    <x v="3"/>
    <s v="Ibico Plastic Spiral Binding Combs"/>
    <n v="30.4"/>
    <n v="1"/>
    <x v="3626"/>
    <x v="9"/>
    <x v="2"/>
  </r>
  <r>
    <n v="45203"/>
    <x v="108"/>
    <x v="43"/>
    <x v="2"/>
    <x v="16"/>
    <s v="Hewlett Packard LaserJet 3310 Copier"/>
    <n v="5399.91"/>
    <n v="9"/>
    <x v="3627"/>
    <x v="9"/>
    <x v="2"/>
  </r>
  <r>
    <n v="45203"/>
    <x v="108"/>
    <x v="43"/>
    <x v="0"/>
    <x v="2"/>
    <s v="Letter Size File"/>
    <n v="119.1"/>
    <n v="3"/>
    <x v="3628"/>
    <x v="9"/>
    <x v="2"/>
  </r>
  <r>
    <n v="45203"/>
    <x v="7"/>
    <x v="36"/>
    <x v="1"/>
    <x v="13"/>
    <s v="Bush Andora Conference Table, Maple/Graphite Gray Finish"/>
    <n v="239.37"/>
    <n v="2"/>
    <x v="3629"/>
    <x v="9"/>
    <x v="2"/>
  </r>
  <r>
    <n v="45203"/>
    <x v="123"/>
    <x v="16"/>
    <x v="2"/>
    <x v="6"/>
    <s v="Samsung HM1900 Bluetooth Headset"/>
    <n v="52.68"/>
    <n v="3"/>
    <x v="1458"/>
    <x v="9"/>
    <x v="2"/>
  </r>
  <r>
    <n v="45203"/>
    <x v="123"/>
    <x v="16"/>
    <x v="1"/>
    <x v="8"/>
    <s v="Magna Visual Magnetic Picture Hangers"/>
    <n v="11.57"/>
    <n v="3"/>
    <x v="100"/>
    <x v="9"/>
    <x v="2"/>
  </r>
  <r>
    <n v="45205"/>
    <x v="657"/>
    <x v="39"/>
    <x v="0"/>
    <x v="3"/>
    <s v="Avery Binding System Hidden Tab Executive Style Index Sets"/>
    <n v="28.85"/>
    <n v="5"/>
    <x v="207"/>
    <x v="9"/>
    <x v="2"/>
  </r>
  <r>
    <n v="45205"/>
    <x v="162"/>
    <x v="26"/>
    <x v="2"/>
    <x v="15"/>
    <s v="Zebra GK420t Direct Thermal/Thermal Transfer Printer"/>
    <n v="703.71"/>
    <n v="6"/>
    <x v="3630"/>
    <x v="9"/>
    <x v="2"/>
  </r>
  <r>
    <n v="45205"/>
    <x v="162"/>
    <x v="26"/>
    <x v="0"/>
    <x v="3"/>
    <s v="Recycled Easel Ring Binders"/>
    <n v="17.899999999999999"/>
    <n v="4"/>
    <x v="3631"/>
    <x v="9"/>
    <x v="2"/>
  </r>
  <r>
    <n v="45205"/>
    <x v="162"/>
    <x v="26"/>
    <x v="0"/>
    <x v="3"/>
    <s v="Avery Framed View Binder, EZD Ring (Locking), Navy, 1 1/2&quot;"/>
    <n v="11.98"/>
    <n v="4"/>
    <x v="1439"/>
    <x v="9"/>
    <x v="2"/>
  </r>
  <r>
    <n v="45205"/>
    <x v="162"/>
    <x v="26"/>
    <x v="2"/>
    <x v="9"/>
    <s v="Memorex 25GB 6X Branded Blu-Ray Recordable Disc, 15/Pack"/>
    <n v="67.959999999999994"/>
    <n v="5"/>
    <x v="2406"/>
    <x v="9"/>
    <x v="2"/>
  </r>
  <r>
    <n v="45206"/>
    <x v="560"/>
    <x v="3"/>
    <x v="0"/>
    <x v="3"/>
    <s v="GBC Recycled VeloBinder Covers"/>
    <n v="27.26"/>
    <n v="2"/>
    <x v="2346"/>
    <x v="9"/>
    <x v="2"/>
  </r>
  <r>
    <n v="45206"/>
    <x v="729"/>
    <x v="22"/>
    <x v="2"/>
    <x v="15"/>
    <s v="Okidata C331dn Printer"/>
    <n v="837.6"/>
    <n v="3"/>
    <x v="3438"/>
    <x v="9"/>
    <x v="2"/>
  </r>
  <r>
    <n v="45206"/>
    <x v="204"/>
    <x v="3"/>
    <x v="0"/>
    <x v="0"/>
    <s v="Astroparche Fine Business Paper"/>
    <n v="10.56"/>
    <n v="2"/>
    <x v="2338"/>
    <x v="9"/>
    <x v="2"/>
  </r>
  <r>
    <n v="45206"/>
    <x v="299"/>
    <x v="2"/>
    <x v="0"/>
    <x v="1"/>
    <s v="Avery 511"/>
    <n v="4.93"/>
    <n v="2"/>
    <x v="1081"/>
    <x v="9"/>
    <x v="2"/>
  </r>
  <r>
    <n v="45206"/>
    <x v="260"/>
    <x v="22"/>
    <x v="0"/>
    <x v="7"/>
    <s v="Alliance Super-Size Bands, Assorted Sizes"/>
    <n v="93.36"/>
    <n v="12"/>
    <x v="3632"/>
    <x v="9"/>
    <x v="2"/>
  </r>
  <r>
    <n v="45207"/>
    <x v="620"/>
    <x v="0"/>
    <x v="1"/>
    <x v="8"/>
    <s v="Contemporary Wood/Metal Frame"/>
    <n v="51.71"/>
    <n v="8"/>
    <x v="3633"/>
    <x v="9"/>
    <x v="2"/>
  </r>
  <r>
    <n v="45207"/>
    <x v="264"/>
    <x v="3"/>
    <x v="0"/>
    <x v="0"/>
    <s v="Xerox 1925"/>
    <n v="61.96"/>
    <n v="2"/>
    <x v="1141"/>
    <x v="9"/>
    <x v="2"/>
  </r>
  <r>
    <n v="45207"/>
    <x v="725"/>
    <x v="0"/>
    <x v="0"/>
    <x v="1"/>
    <s v="Avery 50"/>
    <n v="60.14"/>
    <n v="6"/>
    <x v="3634"/>
    <x v="9"/>
    <x v="2"/>
  </r>
  <r>
    <n v="45207"/>
    <x v="440"/>
    <x v="25"/>
    <x v="0"/>
    <x v="2"/>
    <s v="Fellowes Econo/Stor Drawers"/>
    <n v="387.72"/>
    <n v="5"/>
    <x v="3635"/>
    <x v="9"/>
    <x v="2"/>
  </r>
  <r>
    <n v="45208"/>
    <x v="634"/>
    <x v="10"/>
    <x v="2"/>
    <x v="6"/>
    <s v="Mediabridge Sport Armband iPhone 5s"/>
    <n v="23.98"/>
    <n v="4"/>
    <x v="2879"/>
    <x v="9"/>
    <x v="2"/>
  </r>
  <r>
    <n v="45208"/>
    <x v="457"/>
    <x v="2"/>
    <x v="0"/>
    <x v="0"/>
    <s v="Xerox 1947"/>
    <n v="19.14"/>
    <n v="4"/>
    <x v="3636"/>
    <x v="9"/>
    <x v="2"/>
  </r>
  <r>
    <n v="45208"/>
    <x v="457"/>
    <x v="2"/>
    <x v="1"/>
    <x v="8"/>
    <s v="Luxo Professional Magnifying Clamp-On Fluorescent Lamps"/>
    <n v="332.83"/>
    <n v="4"/>
    <x v="3637"/>
    <x v="9"/>
    <x v="2"/>
  </r>
  <r>
    <n v="45208"/>
    <x v="713"/>
    <x v="12"/>
    <x v="0"/>
    <x v="4"/>
    <s v="Newell 310"/>
    <n v="1.41"/>
    <n v="1"/>
    <x v="3441"/>
    <x v="9"/>
    <x v="2"/>
  </r>
  <r>
    <n v="45208"/>
    <x v="713"/>
    <x v="12"/>
    <x v="1"/>
    <x v="8"/>
    <s v="Tenex 46&quot; x 60&quot; Computer Anti-Static Chairmat, Rectangular Shaped"/>
    <n v="169.57"/>
    <n v="2"/>
    <x v="62"/>
    <x v="9"/>
    <x v="2"/>
  </r>
  <r>
    <n v="45209"/>
    <x v="732"/>
    <x v="25"/>
    <x v="0"/>
    <x v="14"/>
    <s v="Martin-Yale Premier Letter Opener"/>
    <n v="20.61"/>
    <n v="2"/>
    <x v="3638"/>
    <x v="9"/>
    <x v="2"/>
  </r>
  <r>
    <n v="45209"/>
    <x v="732"/>
    <x v="25"/>
    <x v="0"/>
    <x v="3"/>
    <s v="Presstex Flexible Ring Binders"/>
    <n v="4.0999999999999996"/>
    <n v="3"/>
    <x v="3639"/>
    <x v="9"/>
    <x v="2"/>
  </r>
  <r>
    <n v="45209"/>
    <x v="369"/>
    <x v="26"/>
    <x v="1"/>
    <x v="11"/>
    <s v="Bush Westfield Collection Bookcases, Dark Cherry Finish, Fully Assembled"/>
    <n v="90.88"/>
    <n v="3"/>
    <x v="3640"/>
    <x v="9"/>
    <x v="2"/>
  </r>
  <r>
    <n v="45209"/>
    <x v="369"/>
    <x v="26"/>
    <x v="2"/>
    <x v="6"/>
    <s v="iOttie HLCRIO102 Car Mount"/>
    <n v="15.99"/>
    <n v="1"/>
    <x v="1097"/>
    <x v="9"/>
    <x v="2"/>
  </r>
  <r>
    <n v="45209"/>
    <x v="369"/>
    <x v="26"/>
    <x v="1"/>
    <x v="5"/>
    <s v="Global Manager's Adjustable Task Chair, Storm"/>
    <n v="120.78"/>
    <n v="1"/>
    <x v="3641"/>
    <x v="9"/>
    <x v="2"/>
  </r>
  <r>
    <n v="45209"/>
    <x v="494"/>
    <x v="0"/>
    <x v="1"/>
    <x v="8"/>
    <s v="Eldon 400 Class Desk Accessories, Black Carbon"/>
    <n v="14"/>
    <n v="4"/>
    <x v="2963"/>
    <x v="9"/>
    <x v="2"/>
  </r>
  <r>
    <n v="45209"/>
    <x v="494"/>
    <x v="0"/>
    <x v="0"/>
    <x v="3"/>
    <s v="Wilson Jones Ledger-Size, Piano-Hinge Binder, 2&quot;, Blue"/>
    <n v="16.39"/>
    <n v="2"/>
    <x v="3642"/>
    <x v="9"/>
    <x v="2"/>
  </r>
  <r>
    <n v="45210"/>
    <x v="287"/>
    <x v="1"/>
    <x v="0"/>
    <x v="4"/>
    <s v="Avery Fluorescent Highlighter Four-Color Set"/>
    <n v="5.34"/>
    <n v="2"/>
    <x v="1494"/>
    <x v="9"/>
    <x v="2"/>
  </r>
  <r>
    <n v="45210"/>
    <x v="287"/>
    <x v="1"/>
    <x v="0"/>
    <x v="4"/>
    <s v="Newell 309"/>
    <n v="27.72"/>
    <n v="3"/>
    <x v="1540"/>
    <x v="9"/>
    <x v="2"/>
  </r>
  <r>
    <n v="45212"/>
    <x v="164"/>
    <x v="3"/>
    <x v="0"/>
    <x v="0"/>
    <s v="Xerox 195"/>
    <n v="20.04"/>
    <n v="3"/>
    <x v="1614"/>
    <x v="9"/>
    <x v="2"/>
  </r>
  <r>
    <n v="45212"/>
    <x v="164"/>
    <x v="3"/>
    <x v="0"/>
    <x v="0"/>
    <s v="Xerox 1880"/>
    <n v="35.44"/>
    <n v="1"/>
    <x v="395"/>
    <x v="9"/>
    <x v="2"/>
  </r>
  <r>
    <n v="45212"/>
    <x v="164"/>
    <x v="3"/>
    <x v="0"/>
    <x v="4"/>
    <s v="Sanford Colorific Colored Pencils, 12/Box"/>
    <n v="11.52"/>
    <n v="4"/>
    <x v="2463"/>
    <x v="9"/>
    <x v="2"/>
  </r>
  <r>
    <n v="45212"/>
    <x v="164"/>
    <x v="3"/>
    <x v="0"/>
    <x v="7"/>
    <s v="Ideal Clamps"/>
    <n v="4.0199999999999996"/>
    <n v="2"/>
    <x v="532"/>
    <x v="9"/>
    <x v="2"/>
  </r>
  <r>
    <n v="45212"/>
    <x v="164"/>
    <x v="3"/>
    <x v="0"/>
    <x v="3"/>
    <s v="GBC Wire Binding Strips"/>
    <n v="76.180000000000007"/>
    <n v="3"/>
    <x v="3643"/>
    <x v="9"/>
    <x v="2"/>
  </r>
  <r>
    <n v="45212"/>
    <x v="164"/>
    <x v="3"/>
    <x v="0"/>
    <x v="14"/>
    <s v="Fiskars Softgrip Scissors"/>
    <n v="65.88"/>
    <n v="6"/>
    <x v="301"/>
    <x v="9"/>
    <x v="2"/>
  </r>
  <r>
    <n v="45212"/>
    <x v="164"/>
    <x v="3"/>
    <x v="1"/>
    <x v="8"/>
    <s v="Longer-Life Soft White Bulbs"/>
    <n v="43.12"/>
    <n v="14"/>
    <x v="2994"/>
    <x v="9"/>
    <x v="2"/>
  </r>
  <r>
    <n v="45212"/>
    <x v="479"/>
    <x v="26"/>
    <x v="1"/>
    <x v="13"/>
    <s v="Hon 5100 Series Wood Tables"/>
    <n v="727.45"/>
    <n v="5"/>
    <x v="3644"/>
    <x v="9"/>
    <x v="2"/>
  </r>
  <r>
    <n v="45212"/>
    <x v="479"/>
    <x v="26"/>
    <x v="1"/>
    <x v="8"/>
    <s v="Executive Impressions 8-1/2&quot; Career Panel/Partition Cubicle Clock"/>
    <n v="24.96"/>
    <n v="3"/>
    <x v="3645"/>
    <x v="9"/>
    <x v="2"/>
  </r>
  <r>
    <n v="45212"/>
    <x v="454"/>
    <x v="0"/>
    <x v="2"/>
    <x v="9"/>
    <s v="Razer Kraken PRO Over Ear PC and Music Headset"/>
    <n v="191.98"/>
    <n v="3"/>
    <x v="1010"/>
    <x v="9"/>
    <x v="2"/>
  </r>
  <r>
    <n v="45212"/>
    <x v="454"/>
    <x v="0"/>
    <x v="0"/>
    <x v="0"/>
    <s v="Array Memo Cubes"/>
    <n v="8.2899999999999991"/>
    <n v="2"/>
    <x v="1559"/>
    <x v="9"/>
    <x v="2"/>
  </r>
  <r>
    <n v="45212"/>
    <x v="454"/>
    <x v="0"/>
    <x v="1"/>
    <x v="8"/>
    <s v="Tenex &quot;The Solids&quot; Textured Chair Mats"/>
    <n v="139.91999999999999"/>
    <n v="5"/>
    <x v="3646"/>
    <x v="9"/>
    <x v="2"/>
  </r>
  <r>
    <n v="45212"/>
    <x v="454"/>
    <x v="0"/>
    <x v="0"/>
    <x v="4"/>
    <s v="Newell 334"/>
    <n v="15.87"/>
    <n v="1"/>
    <x v="3647"/>
    <x v="9"/>
    <x v="2"/>
  </r>
  <r>
    <n v="45212"/>
    <x v="454"/>
    <x v="0"/>
    <x v="0"/>
    <x v="3"/>
    <s v="Avery Non-Stick Binders"/>
    <n v="6.29"/>
    <n v="7"/>
    <x v="3648"/>
    <x v="9"/>
    <x v="2"/>
  </r>
  <r>
    <n v="45212"/>
    <x v="620"/>
    <x v="20"/>
    <x v="0"/>
    <x v="4"/>
    <s v="BIC Liqua Brite Liner"/>
    <n v="34.700000000000003"/>
    <n v="5"/>
    <x v="1046"/>
    <x v="9"/>
    <x v="2"/>
  </r>
  <r>
    <n v="45212"/>
    <x v="620"/>
    <x v="20"/>
    <x v="0"/>
    <x v="2"/>
    <s v="Fellowes Bases and Tops For Staxonsteel/High-Stak Systems"/>
    <n v="99.87"/>
    <n v="3"/>
    <x v="3649"/>
    <x v="9"/>
    <x v="2"/>
  </r>
  <r>
    <n v="45212"/>
    <x v="620"/>
    <x v="20"/>
    <x v="0"/>
    <x v="0"/>
    <s v="Computer Printout Paper with Letter-Trim Perforations"/>
    <n v="37.94"/>
    <n v="2"/>
    <x v="1912"/>
    <x v="9"/>
    <x v="2"/>
  </r>
  <r>
    <n v="45212"/>
    <x v="620"/>
    <x v="20"/>
    <x v="0"/>
    <x v="1"/>
    <s v="Avery White Multi-Purpose Labels"/>
    <n v="24.9"/>
    <n v="5"/>
    <x v="2240"/>
    <x v="9"/>
    <x v="2"/>
  </r>
  <r>
    <n v="45212"/>
    <x v="620"/>
    <x v="20"/>
    <x v="1"/>
    <x v="8"/>
    <s v="Howard Miller Distant Time Traveler Alarm Clock"/>
    <n v="82.26"/>
    <n v="3"/>
    <x v="3650"/>
    <x v="9"/>
    <x v="2"/>
  </r>
  <r>
    <n v="45213"/>
    <x v="85"/>
    <x v="22"/>
    <x v="2"/>
    <x v="9"/>
    <s v="WD My Passport Ultra 500GB Portable External Hard Drive"/>
    <n v="177"/>
    <n v="3"/>
    <x v="1127"/>
    <x v="9"/>
    <x v="2"/>
  </r>
  <r>
    <n v="45213"/>
    <x v="180"/>
    <x v="25"/>
    <x v="1"/>
    <x v="5"/>
    <s v="SAFCO Folding Chair Trolley"/>
    <n v="102.59"/>
    <n v="1"/>
    <x v="2776"/>
    <x v="9"/>
    <x v="2"/>
  </r>
  <r>
    <n v="45213"/>
    <x v="180"/>
    <x v="25"/>
    <x v="2"/>
    <x v="9"/>
    <s v="Maxell 4.7GB DVD-R"/>
    <n v="22.7"/>
    <n v="1"/>
    <x v="936"/>
    <x v="9"/>
    <x v="2"/>
  </r>
  <r>
    <n v="45213"/>
    <x v="180"/>
    <x v="25"/>
    <x v="0"/>
    <x v="0"/>
    <s v="Xerox 1944"/>
    <n v="93.02"/>
    <n v="3"/>
    <x v="735"/>
    <x v="9"/>
    <x v="2"/>
  </r>
  <r>
    <n v="45213"/>
    <x v="180"/>
    <x v="25"/>
    <x v="0"/>
    <x v="14"/>
    <s v="Staple remover"/>
    <n v="12.77"/>
    <n v="2"/>
    <x v="437"/>
    <x v="9"/>
    <x v="2"/>
  </r>
  <r>
    <n v="45213"/>
    <x v="180"/>
    <x v="25"/>
    <x v="0"/>
    <x v="10"/>
    <s v="White Business Envelopes with Contemporary Seam, Recycled White Business Envelopes"/>
    <n v="35.01"/>
    <n v="4"/>
    <x v="1764"/>
    <x v="9"/>
    <x v="2"/>
  </r>
  <r>
    <n v="45213"/>
    <x v="180"/>
    <x v="25"/>
    <x v="0"/>
    <x v="0"/>
    <s v="Xerox 1916"/>
    <n v="39.15"/>
    <n v="1"/>
    <x v="2904"/>
    <x v="9"/>
    <x v="2"/>
  </r>
  <r>
    <n v="45213"/>
    <x v="203"/>
    <x v="20"/>
    <x v="2"/>
    <x v="6"/>
    <s v="Motorola L703CM"/>
    <n v="1091.93"/>
    <n v="7"/>
    <x v="3651"/>
    <x v="9"/>
    <x v="2"/>
  </r>
  <r>
    <n v="45213"/>
    <x v="203"/>
    <x v="20"/>
    <x v="0"/>
    <x v="0"/>
    <s v="Xerox 1908"/>
    <n v="111.96"/>
    <n v="2"/>
    <x v="3170"/>
    <x v="9"/>
    <x v="2"/>
  </r>
  <r>
    <n v="45213"/>
    <x v="737"/>
    <x v="21"/>
    <x v="2"/>
    <x v="9"/>
    <s v="Plantronics CS510 - Over-the-Head monaural Wireless Headset System"/>
    <n v="1649.75"/>
    <n v="5"/>
    <x v="3652"/>
    <x v="9"/>
    <x v="2"/>
  </r>
  <r>
    <n v="45214"/>
    <x v="715"/>
    <x v="27"/>
    <x v="0"/>
    <x v="0"/>
    <s v="Xerox 1982"/>
    <n v="45.68"/>
    <n v="2"/>
    <x v="1462"/>
    <x v="9"/>
    <x v="2"/>
  </r>
  <r>
    <n v="45214"/>
    <x v="715"/>
    <x v="27"/>
    <x v="0"/>
    <x v="0"/>
    <s v="Xerox 1986"/>
    <n v="60.12"/>
    <n v="9"/>
    <x v="2345"/>
    <x v="9"/>
    <x v="2"/>
  </r>
  <r>
    <n v="45214"/>
    <x v="715"/>
    <x v="27"/>
    <x v="0"/>
    <x v="3"/>
    <s v="Acco Data Flex Cable Posts For Top &amp; Bottom Load Binders, 6&quot; Capacity"/>
    <n v="41.72"/>
    <n v="5"/>
    <x v="1681"/>
    <x v="9"/>
    <x v="2"/>
  </r>
  <r>
    <n v="45214"/>
    <x v="715"/>
    <x v="27"/>
    <x v="0"/>
    <x v="0"/>
    <s v="Recycled Desk Saver Line &quot;While You Were Out&quot; Book, 5 1/2&quot; X 4&quot;"/>
    <n v="71.599999999999994"/>
    <n v="8"/>
    <x v="3653"/>
    <x v="9"/>
    <x v="2"/>
  </r>
  <r>
    <n v="45214"/>
    <x v="33"/>
    <x v="39"/>
    <x v="0"/>
    <x v="1"/>
    <s v="Avery 49"/>
    <n v="20.16"/>
    <n v="7"/>
    <x v="3654"/>
    <x v="9"/>
    <x v="2"/>
  </r>
  <r>
    <n v="45214"/>
    <x v="33"/>
    <x v="39"/>
    <x v="0"/>
    <x v="1"/>
    <s v="Avery 508"/>
    <n v="29.46"/>
    <n v="6"/>
    <x v="3655"/>
    <x v="9"/>
    <x v="2"/>
  </r>
  <r>
    <n v="45214"/>
    <x v="33"/>
    <x v="39"/>
    <x v="0"/>
    <x v="12"/>
    <s v="Hoover Upright Vacuum With Dirt Cup"/>
    <n v="868.59"/>
    <n v="3"/>
    <x v="3656"/>
    <x v="9"/>
    <x v="2"/>
  </r>
  <r>
    <n v="45214"/>
    <x v="33"/>
    <x v="39"/>
    <x v="0"/>
    <x v="0"/>
    <s v="Xerox 1999"/>
    <n v="12.96"/>
    <n v="2"/>
    <x v="113"/>
    <x v="9"/>
    <x v="2"/>
  </r>
  <r>
    <n v="45214"/>
    <x v="33"/>
    <x v="39"/>
    <x v="2"/>
    <x v="6"/>
    <s v="Samsung Replacement EH64AVFWE Premium Headset"/>
    <n v="5.5"/>
    <n v="1"/>
    <x v="3657"/>
    <x v="9"/>
    <x v="2"/>
  </r>
  <r>
    <n v="45214"/>
    <x v="33"/>
    <x v="39"/>
    <x v="0"/>
    <x v="3"/>
    <s v="Ibico Plastic Spiral Binding Combs"/>
    <n v="121.6"/>
    <n v="4"/>
    <x v="3658"/>
    <x v="9"/>
    <x v="2"/>
  </r>
  <r>
    <n v="45214"/>
    <x v="87"/>
    <x v="6"/>
    <x v="0"/>
    <x v="3"/>
    <s v="GBC Twin Loop Wire Binding Elements"/>
    <n v="232.96"/>
    <n v="7"/>
    <x v="3659"/>
    <x v="9"/>
    <x v="2"/>
  </r>
  <r>
    <n v="45214"/>
    <x v="87"/>
    <x v="6"/>
    <x v="0"/>
    <x v="10"/>
    <s v="#10 Self-Seal White Envelopes"/>
    <n v="66.540000000000006"/>
    <n v="6"/>
    <x v="3660"/>
    <x v="9"/>
    <x v="2"/>
  </r>
  <r>
    <n v="45214"/>
    <x v="87"/>
    <x v="6"/>
    <x v="0"/>
    <x v="12"/>
    <s v="Holmes Odor Grabber"/>
    <n v="43.26"/>
    <n v="3"/>
    <x v="2403"/>
    <x v="9"/>
    <x v="2"/>
  </r>
  <r>
    <n v="45215"/>
    <x v="555"/>
    <x v="20"/>
    <x v="1"/>
    <x v="13"/>
    <s v="Chromcraft Rectangular Conference Tables"/>
    <n v="142.18"/>
    <n v="1"/>
    <x v="3661"/>
    <x v="9"/>
    <x v="2"/>
  </r>
  <r>
    <n v="45216"/>
    <x v="646"/>
    <x v="3"/>
    <x v="0"/>
    <x v="3"/>
    <s v="Avery Durable Plastic 1&quot; Binders"/>
    <n v="18.16"/>
    <n v="5"/>
    <x v="990"/>
    <x v="9"/>
    <x v="2"/>
  </r>
  <r>
    <n v="45216"/>
    <x v="588"/>
    <x v="3"/>
    <x v="1"/>
    <x v="11"/>
    <s v="Safco Value Mate Steel Bookcase, Baked Enamel Finish on Steel, Black"/>
    <n v="120.67"/>
    <n v="2"/>
    <x v="1914"/>
    <x v="9"/>
    <x v="2"/>
  </r>
  <r>
    <n v="45216"/>
    <x v="658"/>
    <x v="24"/>
    <x v="2"/>
    <x v="6"/>
    <s v="Panasonic KX-TG9541B DECT 6.0 Digital 2-Line Expandable Cordless Phone With Digital Answering System"/>
    <n v="449.97"/>
    <n v="3"/>
    <x v="3662"/>
    <x v="9"/>
    <x v="2"/>
  </r>
  <r>
    <n v="45216"/>
    <x v="658"/>
    <x v="24"/>
    <x v="0"/>
    <x v="12"/>
    <s v="Honeywell Enviracaire Portable HEPA Air Cleaner for 16' x 20' Room"/>
    <n v="1927.59"/>
    <n v="7"/>
    <x v="3663"/>
    <x v="9"/>
    <x v="2"/>
  </r>
  <r>
    <n v="45216"/>
    <x v="245"/>
    <x v="23"/>
    <x v="1"/>
    <x v="11"/>
    <s v="O'Sullivan Living Dimensions 2-Shelf Bookcases"/>
    <n v="120.98"/>
    <n v="1"/>
    <x v="3416"/>
    <x v="9"/>
    <x v="2"/>
  </r>
  <r>
    <n v="45216"/>
    <x v="245"/>
    <x v="23"/>
    <x v="0"/>
    <x v="3"/>
    <s v="GBC ProClick 150 Presentation Binding System"/>
    <n v="315.98"/>
    <n v="1"/>
    <x v="3664"/>
    <x v="9"/>
    <x v="2"/>
  </r>
  <r>
    <n v="45217"/>
    <x v="287"/>
    <x v="12"/>
    <x v="1"/>
    <x v="5"/>
    <s v="Global Deluxe Steno Chair"/>
    <n v="307.92"/>
    <n v="5"/>
    <x v="3665"/>
    <x v="9"/>
    <x v="2"/>
  </r>
  <r>
    <n v="45219"/>
    <x v="321"/>
    <x v="10"/>
    <x v="0"/>
    <x v="4"/>
    <s v="Premium Writing Pencils, Soft, #2 by Central Association for the Blind"/>
    <n v="7.15"/>
    <n v="3"/>
    <x v="2223"/>
    <x v="9"/>
    <x v="2"/>
  </r>
  <r>
    <n v="45219"/>
    <x v="250"/>
    <x v="0"/>
    <x v="0"/>
    <x v="0"/>
    <s v="Black Print Carbonless Snap-Off Rapid Letter, 8 1/2&quot; x 7&quot;"/>
    <n v="51.02"/>
    <n v="7"/>
    <x v="3012"/>
    <x v="9"/>
    <x v="2"/>
  </r>
  <r>
    <n v="45219"/>
    <x v="250"/>
    <x v="0"/>
    <x v="0"/>
    <x v="7"/>
    <s v="Staples"/>
    <n v="25.25"/>
    <n v="4"/>
    <x v="1959"/>
    <x v="9"/>
    <x v="2"/>
  </r>
  <r>
    <n v="45219"/>
    <x v="250"/>
    <x v="0"/>
    <x v="1"/>
    <x v="5"/>
    <s v="Office Star - Ergonomically Designed Knee Chair"/>
    <n v="56.69"/>
    <n v="1"/>
    <x v="869"/>
    <x v="9"/>
    <x v="2"/>
  </r>
  <r>
    <n v="45219"/>
    <x v="55"/>
    <x v="14"/>
    <x v="2"/>
    <x v="6"/>
    <s v="iKross Bluetooth Portable Keyboard + Cell Phone Stand Holder + Brush for Apple iPhone 5S 5C 5, 4S 4"/>
    <n v="125.7"/>
    <n v="6"/>
    <x v="3666"/>
    <x v="9"/>
    <x v="2"/>
  </r>
  <r>
    <n v="45219"/>
    <x v="55"/>
    <x v="14"/>
    <x v="2"/>
    <x v="6"/>
    <s v="Pyle PMP37LED"/>
    <n v="191.98"/>
    <n v="2"/>
    <x v="1860"/>
    <x v="9"/>
    <x v="2"/>
  </r>
  <r>
    <n v="45219"/>
    <x v="55"/>
    <x v="14"/>
    <x v="0"/>
    <x v="2"/>
    <s v="Woodgrain Magazine Files by Perma"/>
    <n v="20.86"/>
    <n v="7"/>
    <x v="1068"/>
    <x v="9"/>
    <x v="2"/>
  </r>
  <r>
    <n v="45219"/>
    <x v="597"/>
    <x v="3"/>
    <x v="0"/>
    <x v="3"/>
    <s v="Fellowes Twister Kit, Gray/Clear, 3/pkg"/>
    <n v="19.3"/>
    <n v="3"/>
    <x v="1175"/>
    <x v="9"/>
    <x v="2"/>
  </r>
  <r>
    <n v="45219"/>
    <x v="607"/>
    <x v="6"/>
    <x v="1"/>
    <x v="8"/>
    <s v="Aluminum Document Frame"/>
    <n v="61.1"/>
    <n v="5"/>
    <x v="711"/>
    <x v="9"/>
    <x v="2"/>
  </r>
  <r>
    <n v="45219"/>
    <x v="168"/>
    <x v="3"/>
    <x v="1"/>
    <x v="5"/>
    <s v="Hon Every-Day Chair Series Swivel Task Chairs"/>
    <n v="387.14"/>
    <n v="4"/>
    <x v="3667"/>
    <x v="9"/>
    <x v="2"/>
  </r>
  <r>
    <n v="45220"/>
    <x v="521"/>
    <x v="37"/>
    <x v="0"/>
    <x v="3"/>
    <s v="Wilson Jones Â“SnapÂ” Scratch Pad Binder Tool for Ring Binders"/>
    <n v="23.2"/>
    <n v="4"/>
    <x v="3668"/>
    <x v="9"/>
    <x v="2"/>
  </r>
  <r>
    <n v="45220"/>
    <x v="521"/>
    <x v="37"/>
    <x v="0"/>
    <x v="14"/>
    <s v="Staple remover"/>
    <n v="7.36"/>
    <n v="2"/>
    <x v="461"/>
    <x v="9"/>
    <x v="2"/>
  </r>
  <r>
    <n v="45220"/>
    <x v="521"/>
    <x v="37"/>
    <x v="0"/>
    <x v="2"/>
    <s v="Pizazz Global Quick File"/>
    <n v="104.79"/>
    <n v="7"/>
    <x v="1946"/>
    <x v="9"/>
    <x v="2"/>
  </r>
  <r>
    <n v="45220"/>
    <x v="521"/>
    <x v="37"/>
    <x v="1"/>
    <x v="11"/>
    <s v="Atlantic Metals Mobile 3-Shelf Bookcases, Custom Colors"/>
    <n v="1043.92"/>
    <n v="4"/>
    <x v="3669"/>
    <x v="9"/>
    <x v="2"/>
  </r>
  <r>
    <n v="45220"/>
    <x v="685"/>
    <x v="3"/>
    <x v="0"/>
    <x v="0"/>
    <s v="Rediform Wirebound &quot;Phone Memo&quot; Message Book, 11 x 5-3/4"/>
    <n v="22.92"/>
    <n v="3"/>
    <x v="1771"/>
    <x v="9"/>
    <x v="2"/>
  </r>
  <r>
    <n v="45220"/>
    <x v="264"/>
    <x v="3"/>
    <x v="0"/>
    <x v="2"/>
    <s v="Belkin 19&quot; Vented Equipment Shelf, Black"/>
    <n v="154.44"/>
    <n v="3"/>
    <x v="2918"/>
    <x v="9"/>
    <x v="2"/>
  </r>
  <r>
    <n v="45220"/>
    <x v="168"/>
    <x v="7"/>
    <x v="0"/>
    <x v="3"/>
    <s v="Avery Reinforcements for Hole-Punch Pages"/>
    <n v="7.92"/>
    <n v="4"/>
    <x v="1242"/>
    <x v="9"/>
    <x v="2"/>
  </r>
  <r>
    <n v="45220"/>
    <x v="773"/>
    <x v="36"/>
    <x v="2"/>
    <x v="9"/>
    <s v="Logitech Desktop MK120 Mouse and keyboard Combo"/>
    <n v="98.16"/>
    <n v="6"/>
    <x v="1199"/>
    <x v="9"/>
    <x v="2"/>
  </r>
  <r>
    <n v="45220"/>
    <x v="743"/>
    <x v="10"/>
    <x v="2"/>
    <x v="6"/>
    <s v="Panasonic KX TS208W Corded phone"/>
    <n v="235.15"/>
    <n v="8"/>
    <x v="3670"/>
    <x v="9"/>
    <x v="2"/>
  </r>
  <r>
    <n v="45220"/>
    <x v="197"/>
    <x v="10"/>
    <x v="1"/>
    <x v="13"/>
    <s v="Chromcraft Bull-Nose Wood 48&quot; x 96&quot; Rectangular Conference Tables"/>
    <n v="661.18"/>
    <n v="2"/>
    <x v="3671"/>
    <x v="9"/>
    <x v="2"/>
  </r>
  <r>
    <n v="45220"/>
    <x v="285"/>
    <x v="17"/>
    <x v="0"/>
    <x v="4"/>
    <s v="Panasonic KP-150 Electric Pencil Sharpener"/>
    <n v="113.22"/>
    <n v="3"/>
    <x v="3672"/>
    <x v="9"/>
    <x v="2"/>
  </r>
  <r>
    <n v="45220"/>
    <x v="285"/>
    <x v="17"/>
    <x v="0"/>
    <x v="0"/>
    <s v="Xerox 193"/>
    <n v="35.880000000000003"/>
    <n v="6"/>
    <x v="3673"/>
    <x v="9"/>
    <x v="2"/>
  </r>
  <r>
    <n v="45220"/>
    <x v="285"/>
    <x v="17"/>
    <x v="0"/>
    <x v="3"/>
    <s v="Ibico EPK-21 Electric Binding System"/>
    <n v="4535.9799999999996"/>
    <n v="3"/>
    <x v="3674"/>
    <x v="9"/>
    <x v="2"/>
  </r>
  <r>
    <n v="45220"/>
    <x v="60"/>
    <x v="15"/>
    <x v="0"/>
    <x v="2"/>
    <s v="Tenex Personal Filing Tote With Secure Closure Lid, Black/Frost"/>
    <n v="111.67"/>
    <n v="9"/>
    <x v="2556"/>
    <x v="9"/>
    <x v="2"/>
  </r>
  <r>
    <n v="45220"/>
    <x v="453"/>
    <x v="0"/>
    <x v="2"/>
    <x v="9"/>
    <s v="SanDisk Ultra 32 GB MicroSDHC Class 10 Memory Card"/>
    <n v="106.08"/>
    <n v="6"/>
    <x v="3675"/>
    <x v="9"/>
    <x v="2"/>
  </r>
  <r>
    <n v="45220"/>
    <x v="246"/>
    <x v="3"/>
    <x v="1"/>
    <x v="5"/>
    <s v="Office Star Flex Back Scooter Chair with Aluminum Finish Frame"/>
    <n v="242.14"/>
    <n v="3"/>
    <x v="2178"/>
    <x v="9"/>
    <x v="2"/>
  </r>
  <r>
    <n v="45220"/>
    <x v="246"/>
    <x v="3"/>
    <x v="0"/>
    <x v="4"/>
    <s v="Newell Chalk Holder"/>
    <n v="12.39"/>
    <n v="3"/>
    <x v="1974"/>
    <x v="9"/>
    <x v="2"/>
  </r>
  <r>
    <n v="45220"/>
    <x v="246"/>
    <x v="3"/>
    <x v="1"/>
    <x v="8"/>
    <s v="Eldon Expressions Wood and Plastic Desk Accessories, Oak"/>
    <n v="19.96"/>
    <n v="2"/>
    <x v="3583"/>
    <x v="9"/>
    <x v="2"/>
  </r>
  <r>
    <n v="45220"/>
    <x v="246"/>
    <x v="3"/>
    <x v="0"/>
    <x v="2"/>
    <s v="SAFCO Boltless Steel Shelving"/>
    <n v="340.92"/>
    <n v="3"/>
    <x v="919"/>
    <x v="9"/>
    <x v="2"/>
  </r>
  <r>
    <n v="45220"/>
    <x v="64"/>
    <x v="16"/>
    <x v="1"/>
    <x v="8"/>
    <s v="Seth Thomas 14&quot; Day/Date Wall Clock"/>
    <n v="45.57"/>
    <n v="2"/>
    <x v="3676"/>
    <x v="9"/>
    <x v="2"/>
  </r>
  <r>
    <n v="45220"/>
    <x v="64"/>
    <x v="16"/>
    <x v="0"/>
    <x v="3"/>
    <s v="GBC Personal VeloBind Strips"/>
    <n v="28.75"/>
    <n v="8"/>
    <x v="3677"/>
    <x v="9"/>
    <x v="2"/>
  </r>
  <r>
    <n v="45221"/>
    <x v="725"/>
    <x v="14"/>
    <x v="1"/>
    <x v="8"/>
    <s v="Eldon 200 Class Desk Accessories"/>
    <n v="31.4"/>
    <n v="5"/>
    <x v="3678"/>
    <x v="9"/>
    <x v="2"/>
  </r>
  <r>
    <n v="45221"/>
    <x v="34"/>
    <x v="6"/>
    <x v="1"/>
    <x v="8"/>
    <s v="Eldon Expressions Wood and Plastic Desk Accessories, Oak"/>
    <n v="39.92"/>
    <n v="4"/>
    <x v="3032"/>
    <x v="9"/>
    <x v="2"/>
  </r>
  <r>
    <n v="45221"/>
    <x v="493"/>
    <x v="22"/>
    <x v="0"/>
    <x v="0"/>
    <s v="Xerox 1986"/>
    <n v="6.68"/>
    <n v="1"/>
    <x v="2194"/>
    <x v="9"/>
    <x v="2"/>
  </r>
  <r>
    <n v="45221"/>
    <x v="493"/>
    <x v="22"/>
    <x v="0"/>
    <x v="4"/>
    <s v="Prang Drawing Pencil Set"/>
    <n v="8.34"/>
    <n v="3"/>
    <x v="281"/>
    <x v="9"/>
    <x v="2"/>
  </r>
  <r>
    <n v="45221"/>
    <x v="493"/>
    <x v="22"/>
    <x v="1"/>
    <x v="8"/>
    <s v="Linden 12&quot; Wall Clock With Oak Frame"/>
    <n v="101.94"/>
    <n v="3"/>
    <x v="3679"/>
    <x v="9"/>
    <x v="2"/>
  </r>
  <r>
    <n v="45222"/>
    <x v="50"/>
    <x v="20"/>
    <x v="0"/>
    <x v="0"/>
    <s v="Snap-A-Way Black Print Carbonless Ruled Speed Letter, Triplicate"/>
    <n v="379.4"/>
    <n v="10"/>
    <x v="3680"/>
    <x v="9"/>
    <x v="2"/>
  </r>
  <r>
    <n v="45222"/>
    <x v="252"/>
    <x v="1"/>
    <x v="1"/>
    <x v="8"/>
    <s v="DAX Cubicle Frames - 8x10"/>
    <n v="16.16"/>
    <n v="7"/>
    <x v="3681"/>
    <x v="9"/>
    <x v="2"/>
  </r>
  <r>
    <n v="45222"/>
    <x v="252"/>
    <x v="1"/>
    <x v="0"/>
    <x v="0"/>
    <s v="Xerox 1929"/>
    <n v="54.82"/>
    <n v="3"/>
    <x v="1822"/>
    <x v="9"/>
    <x v="2"/>
  </r>
  <r>
    <n v="45222"/>
    <x v="314"/>
    <x v="22"/>
    <x v="0"/>
    <x v="7"/>
    <s v="Advantus SlideClip Paper Clips"/>
    <n v="17.05"/>
    <n v="5"/>
    <x v="3682"/>
    <x v="9"/>
    <x v="2"/>
  </r>
  <r>
    <n v="45223"/>
    <x v="197"/>
    <x v="3"/>
    <x v="2"/>
    <x v="9"/>
    <s v="Micro Innovations USB RF Wireless Keyboard with Mouse"/>
    <n v="100"/>
    <n v="4"/>
    <x v="2924"/>
    <x v="9"/>
    <x v="2"/>
  </r>
  <r>
    <n v="45223"/>
    <x v="197"/>
    <x v="3"/>
    <x v="2"/>
    <x v="9"/>
    <s v="LogitechÂ VX Revolution Cordless Laser Mouse for Notebooks (Black)"/>
    <n v="359.98"/>
    <n v="2"/>
    <x v="903"/>
    <x v="9"/>
    <x v="2"/>
  </r>
  <r>
    <n v="45223"/>
    <x v="651"/>
    <x v="15"/>
    <x v="2"/>
    <x v="6"/>
    <s v="Apple iPhone 5C"/>
    <n v="239.98"/>
    <n v="3"/>
    <x v="1829"/>
    <x v="9"/>
    <x v="2"/>
  </r>
  <r>
    <n v="45223"/>
    <x v="331"/>
    <x v="3"/>
    <x v="2"/>
    <x v="9"/>
    <s v="Razer Tiamat Over Ear 7.1 Surround Sound PC Gaming Headset"/>
    <n v="199.99"/>
    <n v="1"/>
    <x v="3683"/>
    <x v="9"/>
    <x v="2"/>
  </r>
  <r>
    <n v="45223"/>
    <x v="359"/>
    <x v="0"/>
    <x v="0"/>
    <x v="0"/>
    <s v="Eureka Recycled Copy Paper 8 1/2&quot; x 11&quot;, Ream"/>
    <n v="15.55"/>
    <n v="3"/>
    <x v="192"/>
    <x v="9"/>
    <x v="2"/>
  </r>
  <r>
    <n v="45223"/>
    <x v="341"/>
    <x v="3"/>
    <x v="2"/>
    <x v="9"/>
    <s v="NETGEAR N750 Dual Band Wi-Fi Gigabit Router"/>
    <n v="450"/>
    <n v="5"/>
    <x v="3684"/>
    <x v="9"/>
    <x v="2"/>
  </r>
  <r>
    <n v="45224"/>
    <x v="65"/>
    <x v="16"/>
    <x v="2"/>
    <x v="6"/>
    <s v="Panasonic KX-TG9471B"/>
    <n v="783.96"/>
    <n v="5"/>
    <x v="3685"/>
    <x v="9"/>
    <x v="2"/>
  </r>
  <r>
    <n v="45226"/>
    <x v="617"/>
    <x v="20"/>
    <x v="1"/>
    <x v="8"/>
    <s v="Electrix 20W Halogen Replacement Bulb for Zoom-In Desk Lamp"/>
    <n v="40.200000000000003"/>
    <n v="3"/>
    <x v="3686"/>
    <x v="9"/>
    <x v="2"/>
  </r>
  <r>
    <n v="45226"/>
    <x v="244"/>
    <x v="3"/>
    <x v="0"/>
    <x v="12"/>
    <s v="Staple holder"/>
    <n v="43.92"/>
    <n v="4"/>
    <x v="989"/>
    <x v="9"/>
    <x v="2"/>
  </r>
  <r>
    <n v="45226"/>
    <x v="244"/>
    <x v="3"/>
    <x v="0"/>
    <x v="3"/>
    <s v="Acco Data Flex Cable Posts For Top &amp; Bottom Load Binders, 6&quot; Capacity"/>
    <n v="25.03"/>
    <n v="3"/>
    <x v="355"/>
    <x v="9"/>
    <x v="2"/>
  </r>
  <r>
    <n v="45226"/>
    <x v="346"/>
    <x v="6"/>
    <x v="1"/>
    <x v="5"/>
    <s v="Global Executive Mid-Back Manager's Chair"/>
    <n v="290.98"/>
    <n v="1"/>
    <x v="3687"/>
    <x v="9"/>
    <x v="2"/>
  </r>
  <r>
    <n v="45226"/>
    <x v="205"/>
    <x v="3"/>
    <x v="0"/>
    <x v="3"/>
    <s v="Avery Legal 4-Ring Binder"/>
    <n v="67.14"/>
    <n v="4"/>
    <x v="2666"/>
    <x v="9"/>
    <x v="2"/>
  </r>
  <r>
    <n v="45226"/>
    <x v="346"/>
    <x v="20"/>
    <x v="1"/>
    <x v="5"/>
    <s v="Metal Folding Chairs, Beige, 4/Carton"/>
    <n v="427.64"/>
    <n v="14"/>
    <x v="3688"/>
    <x v="9"/>
    <x v="2"/>
  </r>
  <r>
    <n v="45226"/>
    <x v="346"/>
    <x v="20"/>
    <x v="0"/>
    <x v="7"/>
    <s v="Advantus Push Pins, Aluminum Head"/>
    <n v="40.67"/>
    <n v="7"/>
    <x v="3689"/>
    <x v="9"/>
    <x v="2"/>
  </r>
  <r>
    <n v="45226"/>
    <x v="346"/>
    <x v="20"/>
    <x v="0"/>
    <x v="2"/>
    <s v="Rogers Profile Extra Capacity Storage Tub"/>
    <n v="33.479999999999997"/>
    <n v="2"/>
    <x v="2514"/>
    <x v="9"/>
    <x v="2"/>
  </r>
  <r>
    <n v="45226"/>
    <x v="346"/>
    <x v="20"/>
    <x v="0"/>
    <x v="3"/>
    <s v="Prestige Round Ring Binders"/>
    <n v="9.73"/>
    <n v="2"/>
    <x v="649"/>
    <x v="9"/>
    <x v="2"/>
  </r>
  <r>
    <n v="45227"/>
    <x v="657"/>
    <x v="3"/>
    <x v="0"/>
    <x v="2"/>
    <s v="Personal Filing Tote with Lid, Black/Gray"/>
    <n v="93.06"/>
    <n v="6"/>
    <x v="3690"/>
    <x v="9"/>
    <x v="2"/>
  </r>
  <r>
    <n v="45227"/>
    <x v="657"/>
    <x v="3"/>
    <x v="2"/>
    <x v="6"/>
    <s v="Adtran 1202752G1"/>
    <n v="302.38"/>
    <n v="3"/>
    <x v="248"/>
    <x v="9"/>
    <x v="2"/>
  </r>
  <r>
    <n v="45227"/>
    <x v="104"/>
    <x v="23"/>
    <x v="0"/>
    <x v="0"/>
    <s v="Xerox 223"/>
    <n v="32.4"/>
    <n v="5"/>
    <x v="327"/>
    <x v="9"/>
    <x v="2"/>
  </r>
  <r>
    <n v="45227"/>
    <x v="104"/>
    <x v="23"/>
    <x v="0"/>
    <x v="2"/>
    <s v="Tennsco Stur-D-Stor Boltless Shelving, 5 Shelves, 24&quot; Deep, Sand"/>
    <n v="1082.48"/>
    <n v="8"/>
    <x v="3691"/>
    <x v="9"/>
    <x v="2"/>
  </r>
  <r>
    <n v="45227"/>
    <x v="104"/>
    <x v="23"/>
    <x v="0"/>
    <x v="0"/>
    <s v="Xerox 1939"/>
    <n v="56.91"/>
    <n v="3"/>
    <x v="3692"/>
    <x v="9"/>
    <x v="2"/>
  </r>
  <r>
    <n v="45227"/>
    <x v="104"/>
    <x v="23"/>
    <x v="1"/>
    <x v="8"/>
    <s v="Floodlight Indoor Halogen Bulbs, 1 Bulb per Pack, 60 Watts"/>
    <n v="77.599999999999994"/>
    <n v="4"/>
    <x v="1634"/>
    <x v="9"/>
    <x v="2"/>
  </r>
  <r>
    <n v="45227"/>
    <x v="104"/>
    <x v="23"/>
    <x v="0"/>
    <x v="3"/>
    <s v="Avery Premier Heavy-Duty Binder with Round Locking Rings"/>
    <n v="14.28"/>
    <n v="1"/>
    <x v="29"/>
    <x v="9"/>
    <x v="2"/>
  </r>
  <r>
    <n v="45227"/>
    <x v="756"/>
    <x v="3"/>
    <x v="0"/>
    <x v="0"/>
    <s v="Southworth Structures Collection"/>
    <n v="50.96"/>
    <n v="7"/>
    <x v="3693"/>
    <x v="9"/>
    <x v="2"/>
  </r>
  <r>
    <n v="45227"/>
    <x v="756"/>
    <x v="3"/>
    <x v="0"/>
    <x v="3"/>
    <s v="Square Ring Data Binders, Rigid 75 Pt. Covers, 11&quot; x 14-7/8&quot;"/>
    <n v="49.54"/>
    <n v="3"/>
    <x v="2880"/>
    <x v="9"/>
    <x v="2"/>
  </r>
  <r>
    <n v="45227"/>
    <x v="190"/>
    <x v="16"/>
    <x v="1"/>
    <x v="8"/>
    <s v="24-Hour Round Wall Clock"/>
    <n v="47.95"/>
    <n v="3"/>
    <x v="3346"/>
    <x v="9"/>
    <x v="2"/>
  </r>
  <r>
    <n v="45227"/>
    <x v="190"/>
    <x v="16"/>
    <x v="0"/>
    <x v="3"/>
    <s v="Large Capacity Hanging Post Binders"/>
    <n v="37.43"/>
    <n v="5"/>
    <x v="696"/>
    <x v="9"/>
    <x v="2"/>
  </r>
  <r>
    <n v="45227"/>
    <x v="190"/>
    <x v="16"/>
    <x v="1"/>
    <x v="8"/>
    <s v="Eldon Radial Chair Mat for Low to Medium Pile Carpets"/>
    <n v="63.97"/>
    <n v="2"/>
    <x v="62"/>
    <x v="9"/>
    <x v="2"/>
  </r>
  <r>
    <n v="45227"/>
    <x v="190"/>
    <x v="16"/>
    <x v="1"/>
    <x v="8"/>
    <s v="Howard Miller 13-1/2&quot; Diameter Rosebrook Wall Clock"/>
    <n v="165.05"/>
    <n v="3"/>
    <x v="3694"/>
    <x v="9"/>
    <x v="2"/>
  </r>
  <r>
    <n v="45227"/>
    <x v="436"/>
    <x v="25"/>
    <x v="0"/>
    <x v="3"/>
    <s v="XtraLife ClearVue Slant-D Ring Binder, White, 3&quot;"/>
    <n v="17.62"/>
    <n v="4"/>
    <x v="3695"/>
    <x v="9"/>
    <x v="2"/>
  </r>
  <r>
    <n v="45227"/>
    <x v="287"/>
    <x v="16"/>
    <x v="0"/>
    <x v="3"/>
    <s v="Canvas Sectional Post Binders"/>
    <n v="38.19"/>
    <n v="5"/>
    <x v="2939"/>
    <x v="9"/>
    <x v="2"/>
  </r>
  <r>
    <n v="45227"/>
    <x v="268"/>
    <x v="20"/>
    <x v="0"/>
    <x v="4"/>
    <s v="BIC Brite Liner Highlighters"/>
    <n v="12.42"/>
    <n v="3"/>
    <x v="1172"/>
    <x v="9"/>
    <x v="2"/>
  </r>
  <r>
    <n v="45227"/>
    <x v="668"/>
    <x v="20"/>
    <x v="1"/>
    <x v="8"/>
    <s v="Tenex Chairmat w/ Average Lip, 45&quot; x 53&quot;"/>
    <n v="756.8"/>
    <n v="5"/>
    <x v="3696"/>
    <x v="9"/>
    <x v="2"/>
  </r>
  <r>
    <n v="45228"/>
    <x v="140"/>
    <x v="23"/>
    <x v="0"/>
    <x v="2"/>
    <s v="Rogers Jumbo File, Granite"/>
    <n v="40.74"/>
    <n v="3"/>
    <x v="1018"/>
    <x v="9"/>
    <x v="2"/>
  </r>
  <r>
    <n v="45228"/>
    <x v="140"/>
    <x v="23"/>
    <x v="0"/>
    <x v="12"/>
    <s v="Commercial WindTunnel Clean Air Upright Vacuum, Replacement Belts, Filtration Bags"/>
    <n v="11.67"/>
    <n v="3"/>
    <x v="1344"/>
    <x v="9"/>
    <x v="2"/>
  </r>
  <r>
    <n v="45228"/>
    <x v="682"/>
    <x v="14"/>
    <x v="1"/>
    <x v="8"/>
    <s v="Electrix 20W Halogen Replacement Bulb for Zoom-In Desk Lamp"/>
    <n v="67"/>
    <n v="5"/>
    <x v="3697"/>
    <x v="9"/>
    <x v="2"/>
  </r>
  <r>
    <n v="45228"/>
    <x v="564"/>
    <x v="3"/>
    <x v="0"/>
    <x v="3"/>
    <s v="XtraLife ClearVue Slant-D Ring Binder, White, 3&quot;"/>
    <n v="11.74"/>
    <n v="1"/>
    <x v="3698"/>
    <x v="9"/>
    <x v="2"/>
  </r>
  <r>
    <n v="45229"/>
    <x v="80"/>
    <x v="14"/>
    <x v="0"/>
    <x v="4"/>
    <s v="Newell 312"/>
    <n v="11.68"/>
    <n v="2"/>
    <x v="3137"/>
    <x v="9"/>
    <x v="2"/>
  </r>
  <r>
    <n v="45229"/>
    <x v="150"/>
    <x v="20"/>
    <x v="0"/>
    <x v="3"/>
    <s v="GBC Personal VeloBind Strips"/>
    <n v="28.75"/>
    <n v="3"/>
    <x v="3554"/>
    <x v="9"/>
    <x v="2"/>
  </r>
  <r>
    <n v="45229"/>
    <x v="150"/>
    <x v="20"/>
    <x v="0"/>
    <x v="4"/>
    <s v="Boston KS Multi-Size Manual Pencil Sharpener"/>
    <n v="114.95"/>
    <n v="5"/>
    <x v="3699"/>
    <x v="9"/>
    <x v="2"/>
  </r>
  <r>
    <n v="45229"/>
    <x v="530"/>
    <x v="3"/>
    <x v="0"/>
    <x v="7"/>
    <s v="Assorted Color Push Pins"/>
    <n v="3.62"/>
    <n v="2"/>
    <x v="3647"/>
    <x v="9"/>
    <x v="2"/>
  </r>
  <r>
    <n v="45230"/>
    <x v="649"/>
    <x v="2"/>
    <x v="1"/>
    <x v="5"/>
    <s v="Hon Olson Stacker Stools"/>
    <n v="492.84"/>
    <n v="5"/>
    <x v="3700"/>
    <x v="9"/>
    <x v="2"/>
  </r>
  <r>
    <n v="45230"/>
    <x v="104"/>
    <x v="3"/>
    <x v="0"/>
    <x v="2"/>
    <s v="Dual Level, Single-Width Filing Carts"/>
    <n v="1085.42"/>
    <n v="7"/>
    <x v="1768"/>
    <x v="9"/>
    <x v="2"/>
  </r>
  <r>
    <n v="45230"/>
    <x v="251"/>
    <x v="16"/>
    <x v="0"/>
    <x v="0"/>
    <s v="Xerox 1898"/>
    <n v="32.06"/>
    <n v="6"/>
    <x v="3490"/>
    <x v="9"/>
    <x v="2"/>
  </r>
  <r>
    <n v="45230"/>
    <x v="698"/>
    <x v="39"/>
    <x v="0"/>
    <x v="14"/>
    <s v="Fiskars Softgrip Scissors"/>
    <n v="21.96"/>
    <n v="2"/>
    <x v="2661"/>
    <x v="9"/>
    <x v="2"/>
  </r>
  <r>
    <n v="45230"/>
    <x v="698"/>
    <x v="39"/>
    <x v="1"/>
    <x v="5"/>
    <s v="Hon Mobius Operator's Chair"/>
    <n v="368.97"/>
    <n v="3"/>
    <x v="3589"/>
    <x v="9"/>
    <x v="2"/>
  </r>
  <r>
    <n v="45230"/>
    <x v="698"/>
    <x v="39"/>
    <x v="0"/>
    <x v="4"/>
    <s v="Newell 31"/>
    <n v="12.39"/>
    <n v="3"/>
    <x v="1540"/>
    <x v="9"/>
    <x v="2"/>
  </r>
  <r>
    <n v="45230"/>
    <x v="698"/>
    <x v="39"/>
    <x v="0"/>
    <x v="2"/>
    <s v="Carina Mini System Audio Rack, Model AR050B"/>
    <n v="332.94"/>
    <n v="3"/>
    <x v="425"/>
    <x v="9"/>
    <x v="2"/>
  </r>
  <r>
    <n v="45230"/>
    <x v="472"/>
    <x v="3"/>
    <x v="1"/>
    <x v="5"/>
    <s v="Office Star - Professional Matrix Back Chair with 2-to-1 Synchro Tilt and Mesh Fabric Seat"/>
    <n v="1403.92"/>
    <n v="5"/>
    <x v="374"/>
    <x v="9"/>
    <x v="2"/>
  </r>
  <r>
    <n v="45231"/>
    <x v="307"/>
    <x v="6"/>
    <x v="2"/>
    <x v="6"/>
    <s v="LF Elite 3D Dazzle Designer Hard Case Cover, Lf Stylus Pen and Wiper For Apple Iphone 5c Mini Lite"/>
    <n v="21.8"/>
    <n v="2"/>
    <x v="2622"/>
    <x v="10"/>
    <x v="2"/>
  </r>
  <r>
    <n v="45231"/>
    <x v="307"/>
    <x v="6"/>
    <x v="0"/>
    <x v="10"/>
    <s v="Airmail Envelopes"/>
    <n v="251.79"/>
    <n v="3"/>
    <x v="3701"/>
    <x v="10"/>
    <x v="2"/>
  </r>
  <r>
    <n v="45231"/>
    <x v="599"/>
    <x v="0"/>
    <x v="0"/>
    <x v="2"/>
    <s v="Tenex Personal Filing Tote With Secure Closure Lid, Black/Frost"/>
    <n v="111.67"/>
    <n v="9"/>
    <x v="2556"/>
    <x v="10"/>
    <x v="2"/>
  </r>
  <r>
    <n v="45231"/>
    <x v="21"/>
    <x v="1"/>
    <x v="2"/>
    <x v="9"/>
    <s v="Maxell 4.7GB DVD-R"/>
    <n v="68.11"/>
    <n v="3"/>
    <x v="3702"/>
    <x v="10"/>
    <x v="2"/>
  </r>
  <r>
    <n v="45233"/>
    <x v="68"/>
    <x v="30"/>
    <x v="0"/>
    <x v="4"/>
    <s v="Hunt PowerHouse Electric Pencil Sharpener, Blue"/>
    <n v="75.959999999999994"/>
    <n v="2"/>
    <x v="3703"/>
    <x v="10"/>
    <x v="2"/>
  </r>
  <r>
    <n v="45233"/>
    <x v="68"/>
    <x v="30"/>
    <x v="0"/>
    <x v="3"/>
    <s v="Avery Durable Plastic 1&quot; Binders"/>
    <n v="27.24"/>
    <n v="6"/>
    <x v="3704"/>
    <x v="10"/>
    <x v="2"/>
  </r>
  <r>
    <n v="45233"/>
    <x v="582"/>
    <x v="22"/>
    <x v="0"/>
    <x v="4"/>
    <s v="Newell 332"/>
    <n v="8.82"/>
    <n v="3"/>
    <x v="459"/>
    <x v="10"/>
    <x v="2"/>
  </r>
  <r>
    <n v="45233"/>
    <x v="766"/>
    <x v="3"/>
    <x v="1"/>
    <x v="5"/>
    <s v="Global Deluxe High-Back Office Chair in Storm"/>
    <n v="217.58"/>
    <n v="2"/>
    <x v="3705"/>
    <x v="10"/>
    <x v="2"/>
  </r>
  <r>
    <n v="45233"/>
    <x v="766"/>
    <x v="3"/>
    <x v="2"/>
    <x v="9"/>
    <s v="Kensington K72356US Mouse-in-a-Box USB Desktop Mouse"/>
    <n v="82.95"/>
    <n v="5"/>
    <x v="3706"/>
    <x v="10"/>
    <x v="2"/>
  </r>
  <r>
    <n v="45233"/>
    <x v="766"/>
    <x v="3"/>
    <x v="0"/>
    <x v="1"/>
    <s v="Avery 50"/>
    <n v="87.71"/>
    <n v="7"/>
    <x v="1685"/>
    <x v="10"/>
    <x v="2"/>
  </r>
  <r>
    <n v="45233"/>
    <x v="766"/>
    <x v="3"/>
    <x v="0"/>
    <x v="12"/>
    <s v="Honeywell Enviracaire Portable HEPA Air Cleaner for 16' x 20' Room"/>
    <n v="1101.48"/>
    <n v="4"/>
    <x v="3707"/>
    <x v="10"/>
    <x v="2"/>
  </r>
  <r>
    <n v="45233"/>
    <x v="358"/>
    <x v="5"/>
    <x v="0"/>
    <x v="7"/>
    <s v="Advantus Plastic Paper Clips"/>
    <n v="20"/>
    <n v="4"/>
    <x v="665"/>
    <x v="10"/>
    <x v="2"/>
  </r>
  <r>
    <n v="45233"/>
    <x v="358"/>
    <x v="5"/>
    <x v="0"/>
    <x v="4"/>
    <s v="Economy #2 Pencils"/>
    <n v="7.98"/>
    <n v="3"/>
    <x v="163"/>
    <x v="10"/>
    <x v="2"/>
  </r>
  <r>
    <n v="45233"/>
    <x v="358"/>
    <x v="5"/>
    <x v="1"/>
    <x v="8"/>
    <s v="Magna Visual Magnetic Picture Hangers"/>
    <n v="24.1"/>
    <n v="5"/>
    <x v="2491"/>
    <x v="10"/>
    <x v="2"/>
  </r>
  <r>
    <n v="45233"/>
    <x v="358"/>
    <x v="5"/>
    <x v="0"/>
    <x v="4"/>
    <s v="Boston 16750 Black Compact Battery Pencil Sharpener"/>
    <n v="8.75"/>
    <n v="1"/>
    <x v="1791"/>
    <x v="10"/>
    <x v="2"/>
  </r>
  <r>
    <n v="45233"/>
    <x v="358"/>
    <x v="5"/>
    <x v="1"/>
    <x v="13"/>
    <s v="Global Adaptabilities Conference Tables"/>
    <n v="842.94"/>
    <n v="3"/>
    <x v="3708"/>
    <x v="10"/>
    <x v="2"/>
  </r>
  <r>
    <n v="45233"/>
    <x v="21"/>
    <x v="3"/>
    <x v="0"/>
    <x v="7"/>
    <s v="Stockwell Push Pins"/>
    <n v="15.26"/>
    <n v="7"/>
    <x v="3709"/>
    <x v="10"/>
    <x v="2"/>
  </r>
  <r>
    <n v="45233"/>
    <x v="21"/>
    <x v="3"/>
    <x v="0"/>
    <x v="12"/>
    <s v="Holmes 99% HEPA Air Purifier"/>
    <n v="43.32"/>
    <n v="2"/>
    <x v="1891"/>
    <x v="10"/>
    <x v="2"/>
  </r>
  <r>
    <n v="45233"/>
    <x v="21"/>
    <x v="3"/>
    <x v="0"/>
    <x v="3"/>
    <s v="Avery Durable Plastic 1&quot; Binders"/>
    <n v="43.58"/>
    <n v="12"/>
    <x v="3710"/>
    <x v="10"/>
    <x v="2"/>
  </r>
  <r>
    <n v="45233"/>
    <x v="21"/>
    <x v="3"/>
    <x v="0"/>
    <x v="0"/>
    <s v="Xerox 1892"/>
    <n v="116.28"/>
    <n v="3"/>
    <x v="463"/>
    <x v="10"/>
    <x v="2"/>
  </r>
  <r>
    <n v="45233"/>
    <x v="21"/>
    <x v="3"/>
    <x v="0"/>
    <x v="3"/>
    <s v="Fellowes Black Plastic Comb Bindings"/>
    <n v="9.3000000000000007"/>
    <n v="2"/>
    <x v="3354"/>
    <x v="10"/>
    <x v="2"/>
  </r>
  <r>
    <n v="45233"/>
    <x v="21"/>
    <x v="3"/>
    <x v="0"/>
    <x v="0"/>
    <s v="Xerox 22"/>
    <n v="19.440000000000001"/>
    <n v="3"/>
    <x v="5"/>
    <x v="10"/>
    <x v="2"/>
  </r>
  <r>
    <n v="45233"/>
    <x v="21"/>
    <x v="3"/>
    <x v="0"/>
    <x v="0"/>
    <s v="Multicolor Computer Printout Paper"/>
    <n v="314.55"/>
    <n v="3"/>
    <x v="3196"/>
    <x v="10"/>
    <x v="2"/>
  </r>
  <r>
    <n v="45233"/>
    <x v="225"/>
    <x v="0"/>
    <x v="0"/>
    <x v="0"/>
    <s v="Xerox 1978"/>
    <n v="9.25"/>
    <n v="2"/>
    <x v="318"/>
    <x v="10"/>
    <x v="2"/>
  </r>
  <r>
    <n v="45233"/>
    <x v="262"/>
    <x v="11"/>
    <x v="0"/>
    <x v="3"/>
    <s v="Avery Reinforcements for Hole-Punch Pages"/>
    <n v="4.16"/>
    <n v="7"/>
    <x v="3711"/>
    <x v="10"/>
    <x v="2"/>
  </r>
  <r>
    <n v="45233"/>
    <x v="262"/>
    <x v="11"/>
    <x v="2"/>
    <x v="15"/>
    <s v="Okidata B401 Printer"/>
    <n v="179.99"/>
    <n v="3"/>
    <x v="3712"/>
    <x v="10"/>
    <x v="2"/>
  </r>
  <r>
    <n v="45233"/>
    <x v="425"/>
    <x v="2"/>
    <x v="2"/>
    <x v="9"/>
    <s v="NETGEAR N750 Dual Band Wi-Fi Gigabit Router"/>
    <n v="72"/>
    <n v="1"/>
    <x v="1038"/>
    <x v="10"/>
    <x v="2"/>
  </r>
  <r>
    <n v="45233"/>
    <x v="425"/>
    <x v="2"/>
    <x v="1"/>
    <x v="5"/>
    <s v="Bevis Steel Folding Chairs"/>
    <n v="470.16"/>
    <n v="7"/>
    <x v="3713"/>
    <x v="10"/>
    <x v="2"/>
  </r>
  <r>
    <n v="45234"/>
    <x v="554"/>
    <x v="5"/>
    <x v="0"/>
    <x v="7"/>
    <s v="OIC Colored Binder Clips, Assorted Sizes"/>
    <n v="10.74"/>
    <n v="3"/>
    <x v="1803"/>
    <x v="10"/>
    <x v="2"/>
  </r>
  <r>
    <n v="45234"/>
    <x v="756"/>
    <x v="22"/>
    <x v="1"/>
    <x v="8"/>
    <s v="Tenex &quot;The Solids&quot; Textured Chair Mats"/>
    <n v="209.88"/>
    <n v="3"/>
    <x v="1863"/>
    <x v="10"/>
    <x v="2"/>
  </r>
  <r>
    <n v="45234"/>
    <x v="384"/>
    <x v="3"/>
    <x v="1"/>
    <x v="8"/>
    <s v="Advantus Panel Wall Acrylic Frame"/>
    <n v="38.29"/>
    <n v="7"/>
    <x v="3714"/>
    <x v="10"/>
    <x v="2"/>
  </r>
  <r>
    <n v="45234"/>
    <x v="426"/>
    <x v="3"/>
    <x v="0"/>
    <x v="4"/>
    <s v="Boston Heavy-Duty Trimline Electric Pencil Sharpeners"/>
    <n v="192.8"/>
    <n v="4"/>
    <x v="3715"/>
    <x v="10"/>
    <x v="2"/>
  </r>
  <r>
    <n v="45234"/>
    <x v="609"/>
    <x v="11"/>
    <x v="0"/>
    <x v="14"/>
    <s v="Serrated Blade or Curved Handle Hand Letter Openers"/>
    <n v="17.579999999999998"/>
    <n v="7"/>
    <x v="3716"/>
    <x v="10"/>
    <x v="2"/>
  </r>
  <r>
    <n v="45234"/>
    <x v="609"/>
    <x v="11"/>
    <x v="1"/>
    <x v="5"/>
    <s v="Office Star - Contemporary Task Swivel chair with Loop Arms, Charcoal"/>
    <n v="104.78"/>
    <n v="1"/>
    <x v="3717"/>
    <x v="10"/>
    <x v="2"/>
  </r>
  <r>
    <n v="45234"/>
    <x v="609"/>
    <x v="11"/>
    <x v="0"/>
    <x v="0"/>
    <s v="Southworth 25% Cotton Premium Laser Paper and Envelopes"/>
    <n v="47.95"/>
    <n v="3"/>
    <x v="977"/>
    <x v="10"/>
    <x v="2"/>
  </r>
  <r>
    <n v="45234"/>
    <x v="609"/>
    <x v="11"/>
    <x v="1"/>
    <x v="5"/>
    <s v="Global Enterprise Series Seating High-Back Swivel/Tilt Chairs"/>
    <n v="650.35"/>
    <n v="3"/>
    <x v="3718"/>
    <x v="10"/>
    <x v="2"/>
  </r>
  <r>
    <n v="45234"/>
    <x v="609"/>
    <x v="11"/>
    <x v="0"/>
    <x v="1"/>
    <s v="Dot Matrix Printer Tape Reel Labels, White, 5000/Box"/>
    <n v="629.17999999999995"/>
    <n v="8"/>
    <x v="3719"/>
    <x v="10"/>
    <x v="2"/>
  </r>
  <r>
    <n v="45234"/>
    <x v="609"/>
    <x v="11"/>
    <x v="0"/>
    <x v="0"/>
    <s v="Xerox 1887"/>
    <n v="15.18"/>
    <n v="1"/>
    <x v="3720"/>
    <x v="10"/>
    <x v="2"/>
  </r>
  <r>
    <n v="45234"/>
    <x v="591"/>
    <x v="16"/>
    <x v="1"/>
    <x v="8"/>
    <s v="Ultra Door Pull Handle"/>
    <n v="50.5"/>
    <n v="6"/>
    <x v="94"/>
    <x v="10"/>
    <x v="2"/>
  </r>
  <r>
    <n v="45234"/>
    <x v="249"/>
    <x v="3"/>
    <x v="0"/>
    <x v="3"/>
    <s v="Tuff Stuff Recycled Round Ring Binders"/>
    <n v="7.71"/>
    <n v="2"/>
    <x v="644"/>
    <x v="10"/>
    <x v="2"/>
  </r>
  <r>
    <n v="45234"/>
    <x v="249"/>
    <x v="3"/>
    <x v="0"/>
    <x v="3"/>
    <s v="Acco Economy Flexible Poly Round Ring Binder"/>
    <n v="4.18"/>
    <n v="1"/>
    <x v="660"/>
    <x v="10"/>
    <x v="2"/>
  </r>
  <r>
    <n v="45234"/>
    <x v="249"/>
    <x v="3"/>
    <x v="0"/>
    <x v="0"/>
    <s v="Xerox 229"/>
    <n v="38.880000000000003"/>
    <n v="6"/>
    <x v="2107"/>
    <x v="10"/>
    <x v="2"/>
  </r>
  <r>
    <n v="45234"/>
    <x v="727"/>
    <x v="25"/>
    <x v="0"/>
    <x v="2"/>
    <s v="Eldon Portable Mobile Manager"/>
    <n v="45.25"/>
    <n v="2"/>
    <x v="393"/>
    <x v="10"/>
    <x v="2"/>
  </r>
  <r>
    <n v="45234"/>
    <x v="727"/>
    <x v="25"/>
    <x v="1"/>
    <x v="13"/>
    <s v="BPI Conference Tables"/>
    <n v="876.3"/>
    <n v="10"/>
    <x v="3721"/>
    <x v="10"/>
    <x v="2"/>
  </r>
  <r>
    <n v="45234"/>
    <x v="727"/>
    <x v="25"/>
    <x v="0"/>
    <x v="14"/>
    <s v="Premier Electric Letter Opener"/>
    <n v="185.38"/>
    <n v="2"/>
    <x v="3096"/>
    <x v="10"/>
    <x v="2"/>
  </r>
  <r>
    <n v="45234"/>
    <x v="204"/>
    <x v="3"/>
    <x v="2"/>
    <x v="15"/>
    <s v="Okidata B400 Printer"/>
    <n v="686.4"/>
    <n v="2"/>
    <x v="3722"/>
    <x v="10"/>
    <x v="2"/>
  </r>
  <r>
    <n v="45234"/>
    <x v="533"/>
    <x v="0"/>
    <x v="1"/>
    <x v="8"/>
    <s v="DAX Two-Tone Rosewood/Black Document Frame, Desktop, 5 x 7"/>
    <n v="11.38"/>
    <n v="3"/>
    <x v="1581"/>
    <x v="10"/>
    <x v="2"/>
  </r>
  <r>
    <n v="45234"/>
    <x v="533"/>
    <x v="0"/>
    <x v="1"/>
    <x v="8"/>
    <s v="Deflect-o EconoMat Studded, No Bevel Mat for Low Pile Carpeting"/>
    <n v="66.11"/>
    <n v="4"/>
    <x v="418"/>
    <x v="10"/>
    <x v="2"/>
  </r>
  <r>
    <n v="45235"/>
    <x v="431"/>
    <x v="3"/>
    <x v="0"/>
    <x v="3"/>
    <s v="Cardinal Holdit Data Disk Pockets"/>
    <n v="29.12"/>
    <n v="5"/>
    <x v="3435"/>
    <x v="10"/>
    <x v="2"/>
  </r>
  <r>
    <n v="45235"/>
    <x v="756"/>
    <x v="2"/>
    <x v="2"/>
    <x v="6"/>
    <s v="Anker Astro Mini 3000mAh Ultra-Compact Portable Charger"/>
    <n v="23.99"/>
    <n v="2"/>
    <x v="3723"/>
    <x v="10"/>
    <x v="2"/>
  </r>
  <r>
    <n v="45235"/>
    <x v="287"/>
    <x v="0"/>
    <x v="1"/>
    <x v="13"/>
    <s v="Laminate Occasional Tables"/>
    <n v="863.13"/>
    <n v="8"/>
    <x v="3724"/>
    <x v="10"/>
    <x v="2"/>
  </r>
  <r>
    <n v="45235"/>
    <x v="287"/>
    <x v="0"/>
    <x v="0"/>
    <x v="3"/>
    <s v="Storex Dura Pro Binders"/>
    <n v="3.56"/>
    <n v="3"/>
    <x v="1987"/>
    <x v="10"/>
    <x v="2"/>
  </r>
  <r>
    <n v="45235"/>
    <x v="287"/>
    <x v="0"/>
    <x v="1"/>
    <x v="11"/>
    <s v="O'Sullivan Plantations 2-Door Library in Landvery Oak"/>
    <n v="956.66"/>
    <n v="7"/>
    <x v="3610"/>
    <x v="10"/>
    <x v="2"/>
  </r>
  <r>
    <n v="45235"/>
    <x v="287"/>
    <x v="0"/>
    <x v="0"/>
    <x v="3"/>
    <s v="Premium Transparent Presentation Covers by GBC"/>
    <n v="12.59"/>
    <n v="3"/>
    <x v="3015"/>
    <x v="10"/>
    <x v="2"/>
  </r>
  <r>
    <n v="45235"/>
    <x v="287"/>
    <x v="0"/>
    <x v="2"/>
    <x v="9"/>
    <s v="Logitech Wireless Headset H600 Over-The-Head Design"/>
    <n v="171.96"/>
    <n v="5"/>
    <x v="3725"/>
    <x v="10"/>
    <x v="2"/>
  </r>
  <r>
    <n v="45235"/>
    <x v="415"/>
    <x v="18"/>
    <x v="0"/>
    <x v="3"/>
    <s v="Premium Transparent Presentation Covers by GBC"/>
    <n v="104.9"/>
    <n v="5"/>
    <x v="3726"/>
    <x v="10"/>
    <x v="2"/>
  </r>
  <r>
    <n v="45235"/>
    <x v="415"/>
    <x v="18"/>
    <x v="0"/>
    <x v="4"/>
    <s v="Prismacolor Color Pencil Set"/>
    <n v="39.68"/>
    <n v="2"/>
    <x v="328"/>
    <x v="10"/>
    <x v="2"/>
  </r>
  <r>
    <n v="45235"/>
    <x v="415"/>
    <x v="18"/>
    <x v="0"/>
    <x v="1"/>
    <s v="Avery 503"/>
    <n v="51.75"/>
    <n v="5"/>
    <x v="3727"/>
    <x v="10"/>
    <x v="2"/>
  </r>
  <r>
    <n v="45235"/>
    <x v="343"/>
    <x v="3"/>
    <x v="0"/>
    <x v="3"/>
    <s v="GBC Twin Loop Wire Binding Elements"/>
    <n v="53.25"/>
    <n v="2"/>
    <x v="613"/>
    <x v="10"/>
    <x v="2"/>
  </r>
  <r>
    <n v="45235"/>
    <x v="438"/>
    <x v="0"/>
    <x v="0"/>
    <x v="1"/>
    <s v="Avery 490"/>
    <n v="11.84"/>
    <n v="1"/>
    <x v="823"/>
    <x v="10"/>
    <x v="2"/>
  </r>
  <r>
    <n v="45235"/>
    <x v="377"/>
    <x v="22"/>
    <x v="2"/>
    <x v="9"/>
    <s v="Cherry 142-key Programmable Keyboard"/>
    <n v="479.72"/>
    <n v="4"/>
    <x v="3728"/>
    <x v="10"/>
    <x v="2"/>
  </r>
  <r>
    <n v="45235"/>
    <x v="564"/>
    <x v="3"/>
    <x v="2"/>
    <x v="9"/>
    <s v="KeyTronicÂ E03601U1 -Â KeyboardÂ - Beige"/>
    <n v="72"/>
    <n v="4"/>
    <x v="3540"/>
    <x v="10"/>
    <x v="2"/>
  </r>
  <r>
    <n v="45235"/>
    <x v="564"/>
    <x v="3"/>
    <x v="1"/>
    <x v="5"/>
    <s v="Harbour Creations 67200 Series Stacking Chairs"/>
    <n v="113.89"/>
    <n v="2"/>
    <x v="3561"/>
    <x v="10"/>
    <x v="2"/>
  </r>
  <r>
    <n v="45235"/>
    <x v="564"/>
    <x v="3"/>
    <x v="0"/>
    <x v="10"/>
    <s v="Strathmore #10 Envelopes, Ultimate White"/>
    <n v="158.13"/>
    <n v="3"/>
    <x v="408"/>
    <x v="10"/>
    <x v="2"/>
  </r>
  <r>
    <n v="45235"/>
    <x v="395"/>
    <x v="6"/>
    <x v="1"/>
    <x v="8"/>
    <s v="3M Polarizing Task Lamp with Clamp Arm, Light Gray"/>
    <n v="273.95999999999998"/>
    <n v="2"/>
    <x v="3729"/>
    <x v="10"/>
    <x v="2"/>
  </r>
  <r>
    <n v="45235"/>
    <x v="395"/>
    <x v="6"/>
    <x v="2"/>
    <x v="9"/>
    <s v="Microsoft Natural Ergonomic Keyboard 4000"/>
    <n v="89.97"/>
    <n v="3"/>
    <x v="1219"/>
    <x v="10"/>
    <x v="2"/>
  </r>
  <r>
    <n v="45235"/>
    <x v="395"/>
    <x v="6"/>
    <x v="1"/>
    <x v="8"/>
    <s v="Tenex Chairmat w/ Average Lip, 45&quot; x 53&quot;"/>
    <n v="756.8"/>
    <n v="5"/>
    <x v="3696"/>
    <x v="10"/>
    <x v="2"/>
  </r>
  <r>
    <n v="45236"/>
    <x v="471"/>
    <x v="3"/>
    <x v="1"/>
    <x v="5"/>
    <s v="Global Task Chair, Black"/>
    <n v="81.42"/>
    <n v="2"/>
    <x v="1990"/>
    <x v="10"/>
    <x v="2"/>
  </r>
  <r>
    <n v="45236"/>
    <x v="471"/>
    <x v="3"/>
    <x v="1"/>
    <x v="8"/>
    <s v="Eldon Cleatmat Plus Chair Mats for High Pile Carpets"/>
    <n v="238.56"/>
    <n v="3"/>
    <x v="3730"/>
    <x v="10"/>
    <x v="2"/>
  </r>
  <r>
    <n v="45236"/>
    <x v="254"/>
    <x v="16"/>
    <x v="1"/>
    <x v="5"/>
    <s v="High-Back Leather Manager's Chair"/>
    <n v="207.98"/>
    <n v="2"/>
    <x v="3731"/>
    <x v="10"/>
    <x v="2"/>
  </r>
  <r>
    <n v="45236"/>
    <x v="254"/>
    <x v="16"/>
    <x v="0"/>
    <x v="0"/>
    <s v="Embossed Ink Jet Note Cards"/>
    <n v="36.11"/>
    <n v="2"/>
    <x v="3732"/>
    <x v="10"/>
    <x v="2"/>
  </r>
  <r>
    <n v="45236"/>
    <x v="254"/>
    <x v="16"/>
    <x v="1"/>
    <x v="8"/>
    <s v="Executive Impressions 14&quot; Contract Wall Clock"/>
    <n v="35.57"/>
    <n v="2"/>
    <x v="436"/>
    <x v="10"/>
    <x v="2"/>
  </r>
  <r>
    <n v="45236"/>
    <x v="254"/>
    <x v="16"/>
    <x v="0"/>
    <x v="0"/>
    <s v="Eaton Premium Continuous-Feed Paper, 25% Cotton, Letter Size, White, 1000 Shts/Box"/>
    <n v="88.77"/>
    <n v="2"/>
    <x v="1096"/>
    <x v="10"/>
    <x v="2"/>
  </r>
  <r>
    <n v="45236"/>
    <x v="576"/>
    <x v="3"/>
    <x v="0"/>
    <x v="2"/>
    <s v="Eldon Portable Mobile Manager"/>
    <n v="84.84"/>
    <n v="3"/>
    <x v="3733"/>
    <x v="10"/>
    <x v="2"/>
  </r>
  <r>
    <n v="45237"/>
    <x v="655"/>
    <x v="22"/>
    <x v="0"/>
    <x v="3"/>
    <s v="Wilson Jones International Size A4 Ring Binders"/>
    <n v="27.68"/>
    <n v="2"/>
    <x v="2759"/>
    <x v="10"/>
    <x v="2"/>
  </r>
  <r>
    <n v="45237"/>
    <x v="673"/>
    <x v="3"/>
    <x v="0"/>
    <x v="3"/>
    <s v="Fellowes Binding Cases"/>
    <n v="37.44"/>
    <n v="4"/>
    <x v="235"/>
    <x v="10"/>
    <x v="2"/>
  </r>
  <r>
    <n v="45237"/>
    <x v="673"/>
    <x v="3"/>
    <x v="0"/>
    <x v="3"/>
    <s v="Ibico Plastic and Wire Spiral Binding Combs"/>
    <n v="26.98"/>
    <n v="4"/>
    <x v="1943"/>
    <x v="10"/>
    <x v="2"/>
  </r>
  <r>
    <n v="45237"/>
    <x v="673"/>
    <x v="3"/>
    <x v="0"/>
    <x v="14"/>
    <s v="Acme Preferred Stainless Steel Scissors"/>
    <n v="11.36"/>
    <n v="2"/>
    <x v="1300"/>
    <x v="10"/>
    <x v="2"/>
  </r>
  <r>
    <n v="45237"/>
    <x v="673"/>
    <x v="3"/>
    <x v="0"/>
    <x v="1"/>
    <s v="Avery 486"/>
    <n v="14.62"/>
    <n v="2"/>
    <x v="96"/>
    <x v="10"/>
    <x v="2"/>
  </r>
  <r>
    <n v="45237"/>
    <x v="595"/>
    <x v="3"/>
    <x v="1"/>
    <x v="8"/>
    <s v="C-Line Magnetic Cubicle Keepers, Clear Polypropylene"/>
    <n v="14.82"/>
    <n v="3"/>
    <x v="113"/>
    <x v="10"/>
    <x v="2"/>
  </r>
  <r>
    <n v="45237"/>
    <x v="491"/>
    <x v="10"/>
    <x v="2"/>
    <x v="9"/>
    <s v="Plantronics Audio 478 Stereo USB Headset"/>
    <n v="119.98"/>
    <n v="3"/>
    <x v="815"/>
    <x v="10"/>
    <x v="2"/>
  </r>
  <r>
    <n v="45237"/>
    <x v="204"/>
    <x v="23"/>
    <x v="0"/>
    <x v="7"/>
    <s v="Rubber Band Ball"/>
    <n v="14.96"/>
    <n v="4"/>
    <x v="1481"/>
    <x v="10"/>
    <x v="2"/>
  </r>
  <r>
    <n v="45237"/>
    <x v="577"/>
    <x v="3"/>
    <x v="0"/>
    <x v="0"/>
    <s v="Wirebound Four 2-3/4 x 5 Forms per Page, 400 Sets per Book"/>
    <n v="12.9"/>
    <n v="2"/>
    <x v="3734"/>
    <x v="10"/>
    <x v="2"/>
  </r>
  <r>
    <n v="45237"/>
    <x v="415"/>
    <x v="46"/>
    <x v="1"/>
    <x v="5"/>
    <s v="Global Troy Executive Leather Low-Back Tilter"/>
    <n v="1603.14"/>
    <n v="4"/>
    <x v="3446"/>
    <x v="10"/>
    <x v="2"/>
  </r>
  <r>
    <n v="45237"/>
    <x v="399"/>
    <x v="20"/>
    <x v="2"/>
    <x v="6"/>
    <s v="AT&amp;T SB67148 SynJ"/>
    <n v="263.95999999999998"/>
    <n v="4"/>
    <x v="2453"/>
    <x v="10"/>
    <x v="2"/>
  </r>
  <r>
    <n v="45237"/>
    <x v="399"/>
    <x v="20"/>
    <x v="2"/>
    <x v="6"/>
    <s v="Jabra Supreme Plus Driver EditionÂ Headset"/>
    <n v="359.97"/>
    <n v="3"/>
    <x v="3735"/>
    <x v="10"/>
    <x v="2"/>
  </r>
  <r>
    <n v="45237"/>
    <x v="399"/>
    <x v="20"/>
    <x v="0"/>
    <x v="0"/>
    <s v="Xerox 23"/>
    <n v="12.96"/>
    <n v="2"/>
    <x v="113"/>
    <x v="10"/>
    <x v="2"/>
  </r>
  <r>
    <n v="45237"/>
    <x v="399"/>
    <x v="20"/>
    <x v="0"/>
    <x v="2"/>
    <s v="Eldon Base for stackable storage shelf, platinum"/>
    <n v="116.82"/>
    <n v="3"/>
    <x v="460"/>
    <x v="10"/>
    <x v="2"/>
  </r>
  <r>
    <n v="45237"/>
    <x v="399"/>
    <x v="20"/>
    <x v="0"/>
    <x v="3"/>
    <s v="Ibico EB-19 Dual Function Manual Binding System"/>
    <n v="276.77999999999997"/>
    <n v="2"/>
    <x v="3423"/>
    <x v="10"/>
    <x v="2"/>
  </r>
  <r>
    <n v="45237"/>
    <x v="283"/>
    <x v="0"/>
    <x v="1"/>
    <x v="8"/>
    <s v="Executive Impressions 14&quot; Contract Wall Clock with Quartz Movement"/>
    <n v="44.46"/>
    <n v="5"/>
    <x v="3736"/>
    <x v="10"/>
    <x v="2"/>
  </r>
  <r>
    <n v="45237"/>
    <x v="283"/>
    <x v="0"/>
    <x v="0"/>
    <x v="2"/>
    <s v="Mini 13-1/2 Capacity Data Binder Rack, Pearl"/>
    <n v="314.08999999999997"/>
    <n v="3"/>
    <x v="3737"/>
    <x v="10"/>
    <x v="2"/>
  </r>
  <r>
    <n v="45237"/>
    <x v="44"/>
    <x v="3"/>
    <x v="2"/>
    <x v="9"/>
    <s v="NETGEAR AC1750 Dual Band GigabitÂ Smart WiFi Router"/>
    <n v="479.97"/>
    <n v="3"/>
    <x v="618"/>
    <x v="10"/>
    <x v="2"/>
  </r>
  <r>
    <n v="45237"/>
    <x v="437"/>
    <x v="3"/>
    <x v="0"/>
    <x v="3"/>
    <s v="GBC VeloBinder Manual Binding System"/>
    <n v="57.58"/>
    <n v="2"/>
    <x v="3738"/>
    <x v="10"/>
    <x v="2"/>
  </r>
  <r>
    <n v="45238"/>
    <x v="704"/>
    <x v="5"/>
    <x v="1"/>
    <x v="11"/>
    <s v="Bush Somerset Collection Bookcase"/>
    <n v="261.95999999999998"/>
    <n v="2"/>
    <x v="3739"/>
    <x v="10"/>
    <x v="2"/>
  </r>
  <r>
    <n v="45238"/>
    <x v="704"/>
    <x v="5"/>
    <x v="1"/>
    <x v="5"/>
    <s v="Hon Deluxe Fabric Upholstered Stacking Chairs, Rounded Back"/>
    <n v="731.94"/>
    <n v="3"/>
    <x v="3740"/>
    <x v="10"/>
    <x v="2"/>
  </r>
  <r>
    <n v="45239"/>
    <x v="413"/>
    <x v="3"/>
    <x v="2"/>
    <x v="9"/>
    <s v="Logitech Wireless Gaming Headset G930"/>
    <n v="479.97"/>
    <n v="3"/>
    <x v="143"/>
    <x v="10"/>
    <x v="2"/>
  </r>
  <r>
    <n v="45240"/>
    <x v="593"/>
    <x v="3"/>
    <x v="0"/>
    <x v="2"/>
    <s v="File Shuttle I and Handi-File"/>
    <n v="155.82"/>
    <n v="7"/>
    <x v="3741"/>
    <x v="10"/>
    <x v="2"/>
  </r>
  <r>
    <n v="45240"/>
    <x v="593"/>
    <x v="3"/>
    <x v="0"/>
    <x v="3"/>
    <s v="Binding Machine Supplies"/>
    <n v="70.010000000000005"/>
    <n v="3"/>
    <x v="1633"/>
    <x v="10"/>
    <x v="2"/>
  </r>
  <r>
    <n v="45240"/>
    <x v="684"/>
    <x v="3"/>
    <x v="0"/>
    <x v="3"/>
    <s v="ACCOHIDE 3-Ring Binder, Blue, 1&quot;"/>
    <n v="13.22"/>
    <n v="4"/>
    <x v="519"/>
    <x v="10"/>
    <x v="2"/>
  </r>
  <r>
    <n v="45240"/>
    <x v="684"/>
    <x v="3"/>
    <x v="0"/>
    <x v="0"/>
    <s v="Xerox 1996"/>
    <n v="32.4"/>
    <n v="5"/>
    <x v="327"/>
    <x v="10"/>
    <x v="2"/>
  </r>
  <r>
    <n v="45240"/>
    <x v="587"/>
    <x v="4"/>
    <x v="0"/>
    <x v="4"/>
    <s v="Newell 315"/>
    <n v="41.86"/>
    <n v="7"/>
    <x v="274"/>
    <x v="10"/>
    <x v="2"/>
  </r>
  <r>
    <n v="45240"/>
    <x v="192"/>
    <x v="10"/>
    <x v="0"/>
    <x v="14"/>
    <s v="Staple remover"/>
    <n v="14.72"/>
    <n v="5"/>
    <x v="3742"/>
    <x v="10"/>
    <x v="2"/>
  </r>
  <r>
    <n v="45240"/>
    <x v="192"/>
    <x v="10"/>
    <x v="0"/>
    <x v="2"/>
    <s v="Acco Perma 4000 Stacking Storage Drawers"/>
    <n v="38.979999999999997"/>
    <n v="3"/>
    <x v="2074"/>
    <x v="10"/>
    <x v="2"/>
  </r>
  <r>
    <n v="45240"/>
    <x v="367"/>
    <x v="10"/>
    <x v="0"/>
    <x v="1"/>
    <s v="Avery File Folder Labels"/>
    <n v="9.2200000000000006"/>
    <n v="4"/>
    <x v="2627"/>
    <x v="10"/>
    <x v="2"/>
  </r>
  <r>
    <n v="45240"/>
    <x v="367"/>
    <x v="10"/>
    <x v="2"/>
    <x v="6"/>
    <s v="Square Credit Card Reader"/>
    <n v="41.96"/>
    <n v="7"/>
    <x v="3743"/>
    <x v="10"/>
    <x v="2"/>
  </r>
  <r>
    <n v="45240"/>
    <x v="367"/>
    <x v="10"/>
    <x v="0"/>
    <x v="0"/>
    <s v="Xerox 1882"/>
    <n v="89.57"/>
    <n v="2"/>
    <x v="2875"/>
    <x v="10"/>
    <x v="2"/>
  </r>
  <r>
    <n v="45240"/>
    <x v="367"/>
    <x v="10"/>
    <x v="0"/>
    <x v="0"/>
    <s v="Wirebound Message Books, Four 2 3/4&quot; x 5&quot; Forms per Page, 600 Sets per Book"/>
    <n v="22.25"/>
    <n v="3"/>
    <x v="3744"/>
    <x v="10"/>
    <x v="2"/>
  </r>
  <r>
    <n v="45240"/>
    <x v="367"/>
    <x v="10"/>
    <x v="0"/>
    <x v="12"/>
    <s v="Eureka The Boss Plus 12-Amp Hard Box Upright Vacuum, Red"/>
    <n v="334.88"/>
    <n v="4"/>
    <x v="3745"/>
    <x v="10"/>
    <x v="2"/>
  </r>
  <r>
    <n v="45240"/>
    <x v="367"/>
    <x v="10"/>
    <x v="1"/>
    <x v="8"/>
    <s v="DAX Natural Wood-Tone Poster Frame"/>
    <n v="148.29"/>
    <n v="7"/>
    <x v="3746"/>
    <x v="10"/>
    <x v="2"/>
  </r>
  <r>
    <n v="45240"/>
    <x v="367"/>
    <x v="10"/>
    <x v="0"/>
    <x v="0"/>
    <s v="Xerox 1924"/>
    <n v="4.62"/>
    <n v="1"/>
    <x v="967"/>
    <x v="10"/>
    <x v="2"/>
  </r>
  <r>
    <n v="45240"/>
    <x v="367"/>
    <x v="10"/>
    <x v="2"/>
    <x v="9"/>
    <s v="Memorex 25GB 6X Branded Blu-Ray Recordable Disc, 30/Pack"/>
    <n v="178.92"/>
    <n v="7"/>
    <x v="3747"/>
    <x v="10"/>
    <x v="2"/>
  </r>
  <r>
    <n v="45240"/>
    <x v="367"/>
    <x v="10"/>
    <x v="0"/>
    <x v="3"/>
    <s v="GBC Twin Loop Wire Binding Elements"/>
    <n v="69.89"/>
    <n v="7"/>
    <x v="3748"/>
    <x v="10"/>
    <x v="2"/>
  </r>
  <r>
    <n v="45240"/>
    <x v="282"/>
    <x v="0"/>
    <x v="2"/>
    <x v="9"/>
    <s v="Kensington SlimBlade Notebook Wireless Mouse with Nano Receiver"/>
    <n v="279.94"/>
    <n v="7"/>
    <x v="2062"/>
    <x v="10"/>
    <x v="2"/>
  </r>
  <r>
    <n v="45240"/>
    <x v="666"/>
    <x v="24"/>
    <x v="1"/>
    <x v="8"/>
    <s v="3M Polarizing Light Filter Sleeves"/>
    <n v="37.299999999999997"/>
    <n v="2"/>
    <x v="3599"/>
    <x v="10"/>
    <x v="2"/>
  </r>
  <r>
    <n v="45240"/>
    <x v="666"/>
    <x v="24"/>
    <x v="0"/>
    <x v="3"/>
    <s v="Wilson Jones Ledger-Size, Piano-Hinge Binder, 2&quot;, Blue"/>
    <n v="81.96"/>
    <n v="2"/>
    <x v="3749"/>
    <x v="10"/>
    <x v="2"/>
  </r>
  <r>
    <n v="45240"/>
    <x v="562"/>
    <x v="20"/>
    <x v="0"/>
    <x v="3"/>
    <s v="Canvas Sectional Post Binders"/>
    <n v="20.37"/>
    <n v="1"/>
    <x v="842"/>
    <x v="10"/>
    <x v="2"/>
  </r>
  <r>
    <n v="45240"/>
    <x v="562"/>
    <x v="20"/>
    <x v="0"/>
    <x v="3"/>
    <s v="Wilson Jones Century Plastic Molded Ring Binders"/>
    <n v="49.85"/>
    <n v="3"/>
    <x v="1748"/>
    <x v="10"/>
    <x v="2"/>
  </r>
  <r>
    <n v="45240"/>
    <x v="170"/>
    <x v="3"/>
    <x v="0"/>
    <x v="0"/>
    <s v="Embossed Ink Jet Note Cards"/>
    <n v="67.709999999999994"/>
    <n v="3"/>
    <x v="3750"/>
    <x v="10"/>
    <x v="2"/>
  </r>
  <r>
    <n v="45240"/>
    <x v="170"/>
    <x v="3"/>
    <x v="0"/>
    <x v="12"/>
    <s v="Belkin F9S820V06 8 Outlet Surge"/>
    <n v="129.91999999999999"/>
    <n v="4"/>
    <x v="3751"/>
    <x v="10"/>
    <x v="2"/>
  </r>
  <r>
    <n v="45240"/>
    <x v="170"/>
    <x v="3"/>
    <x v="1"/>
    <x v="8"/>
    <s v="Howard Miller 11-1/2&quot; Diameter Ridgewood Wall Clock"/>
    <n v="467.46"/>
    <n v="9"/>
    <x v="3752"/>
    <x v="10"/>
    <x v="2"/>
  </r>
  <r>
    <n v="45240"/>
    <x v="170"/>
    <x v="3"/>
    <x v="0"/>
    <x v="0"/>
    <s v="Xerox 1933"/>
    <n v="61.4"/>
    <n v="5"/>
    <x v="2345"/>
    <x v="10"/>
    <x v="2"/>
  </r>
  <r>
    <n v="45240"/>
    <x v="170"/>
    <x v="3"/>
    <x v="0"/>
    <x v="2"/>
    <s v="Standard Rollaway File with Lock"/>
    <n v="720.76"/>
    <n v="4"/>
    <x v="3753"/>
    <x v="10"/>
    <x v="2"/>
  </r>
  <r>
    <n v="45240"/>
    <x v="170"/>
    <x v="3"/>
    <x v="0"/>
    <x v="3"/>
    <s v="Peel &amp; Stick Add-On Corner Pockets"/>
    <n v="5.18"/>
    <n v="3"/>
    <x v="1534"/>
    <x v="10"/>
    <x v="2"/>
  </r>
  <r>
    <n v="45240"/>
    <x v="170"/>
    <x v="3"/>
    <x v="0"/>
    <x v="4"/>
    <s v="Newell 338"/>
    <n v="14.7"/>
    <n v="5"/>
    <x v="3215"/>
    <x v="10"/>
    <x v="2"/>
  </r>
  <r>
    <n v="45240"/>
    <x v="151"/>
    <x v="3"/>
    <x v="1"/>
    <x v="8"/>
    <s v="Eldon Expressions Wood and Plastic Desk Accessories, Oak"/>
    <n v="9.98"/>
    <n v="1"/>
    <x v="3232"/>
    <x v="10"/>
    <x v="2"/>
  </r>
  <r>
    <n v="45240"/>
    <x v="644"/>
    <x v="3"/>
    <x v="0"/>
    <x v="2"/>
    <s v="Acco Perma 2700 Stacking Storage Drawers"/>
    <n v="29.74"/>
    <n v="1"/>
    <x v="519"/>
    <x v="10"/>
    <x v="2"/>
  </r>
  <r>
    <n v="45240"/>
    <x v="9"/>
    <x v="10"/>
    <x v="0"/>
    <x v="0"/>
    <s v="Xerox 227"/>
    <n v="31.1"/>
    <n v="6"/>
    <x v="782"/>
    <x v="10"/>
    <x v="2"/>
  </r>
  <r>
    <n v="45240"/>
    <x v="48"/>
    <x v="39"/>
    <x v="2"/>
    <x v="6"/>
    <s v="Samsung Convoy 3"/>
    <n v="221.98"/>
    <n v="2"/>
    <x v="3754"/>
    <x v="10"/>
    <x v="2"/>
  </r>
  <r>
    <n v="45240"/>
    <x v="48"/>
    <x v="39"/>
    <x v="1"/>
    <x v="11"/>
    <s v="Sauder Facets Collection Library, Sky Alder Finish"/>
    <n v="341.96"/>
    <n v="2"/>
    <x v="3755"/>
    <x v="10"/>
    <x v="2"/>
  </r>
  <r>
    <n v="45240"/>
    <x v="72"/>
    <x v="20"/>
    <x v="0"/>
    <x v="3"/>
    <s v="Presstex Flexible Ring Binders"/>
    <n v="3.64"/>
    <n v="1"/>
    <x v="214"/>
    <x v="10"/>
    <x v="2"/>
  </r>
  <r>
    <n v="45240"/>
    <x v="72"/>
    <x v="20"/>
    <x v="2"/>
    <x v="6"/>
    <s v="BlackBerry Q10"/>
    <n v="881.93"/>
    <n v="7"/>
    <x v="3756"/>
    <x v="10"/>
    <x v="2"/>
  </r>
  <r>
    <n v="45241"/>
    <x v="741"/>
    <x v="20"/>
    <x v="2"/>
    <x v="9"/>
    <s v="Micropad Numeric Keypads"/>
    <n v="59.97"/>
    <n v="3"/>
    <x v="405"/>
    <x v="10"/>
    <x v="2"/>
  </r>
  <r>
    <n v="45241"/>
    <x v="741"/>
    <x v="20"/>
    <x v="0"/>
    <x v="2"/>
    <s v="Safco Steel Mobile File Cart"/>
    <n v="83.36"/>
    <n v="1"/>
    <x v="3757"/>
    <x v="10"/>
    <x v="2"/>
  </r>
  <r>
    <n v="45241"/>
    <x v="653"/>
    <x v="1"/>
    <x v="2"/>
    <x v="9"/>
    <s v="Belkin F8E887 USB Wired Ergonomic Keyboard"/>
    <n v="95.97"/>
    <n v="4"/>
    <x v="217"/>
    <x v="10"/>
    <x v="2"/>
  </r>
  <r>
    <n v="45241"/>
    <x v="653"/>
    <x v="1"/>
    <x v="1"/>
    <x v="5"/>
    <s v="Global Chrome Stack Chair"/>
    <n v="47.99"/>
    <n v="2"/>
    <x v="2383"/>
    <x v="10"/>
    <x v="2"/>
  </r>
  <r>
    <n v="45241"/>
    <x v="437"/>
    <x v="14"/>
    <x v="2"/>
    <x v="6"/>
    <s v="Digium D40 VoIP phone"/>
    <n v="257.98"/>
    <n v="2"/>
    <x v="1168"/>
    <x v="10"/>
    <x v="2"/>
  </r>
  <r>
    <n v="45241"/>
    <x v="328"/>
    <x v="3"/>
    <x v="1"/>
    <x v="8"/>
    <s v="Eldon Regeneration Recycled Desk Accessories, Smoke"/>
    <n v="6.96"/>
    <n v="4"/>
    <x v="2160"/>
    <x v="10"/>
    <x v="2"/>
  </r>
  <r>
    <n v="45241"/>
    <x v="162"/>
    <x v="16"/>
    <x v="0"/>
    <x v="3"/>
    <s v="Ibico Standard Transparent Covers"/>
    <n v="9.89"/>
    <n v="2"/>
    <x v="3758"/>
    <x v="10"/>
    <x v="2"/>
  </r>
  <r>
    <n v="45241"/>
    <x v="162"/>
    <x v="16"/>
    <x v="0"/>
    <x v="12"/>
    <s v="Sanyo 2.5 Cubic Foot Mid-Size Office Refrigerators"/>
    <n v="671.54"/>
    <n v="3"/>
    <x v="2921"/>
    <x v="10"/>
    <x v="2"/>
  </r>
  <r>
    <n v="45241"/>
    <x v="615"/>
    <x v="20"/>
    <x v="0"/>
    <x v="2"/>
    <s v="Staple magnet"/>
    <n v="28.14"/>
    <n v="3"/>
    <x v="3759"/>
    <x v="10"/>
    <x v="2"/>
  </r>
  <r>
    <n v="45241"/>
    <x v="615"/>
    <x v="20"/>
    <x v="2"/>
    <x v="9"/>
    <s v="KeyTronicÂ E03601U1 -Â KeyboardÂ - Beige"/>
    <n v="36"/>
    <n v="2"/>
    <x v="1536"/>
    <x v="10"/>
    <x v="2"/>
  </r>
  <r>
    <n v="45241"/>
    <x v="615"/>
    <x v="20"/>
    <x v="0"/>
    <x v="4"/>
    <s v="Boston School Pro Electric Pencil Sharpener, 1670"/>
    <n v="92.94"/>
    <n v="3"/>
    <x v="3760"/>
    <x v="10"/>
    <x v="2"/>
  </r>
  <r>
    <n v="45241"/>
    <x v="615"/>
    <x v="20"/>
    <x v="1"/>
    <x v="5"/>
    <s v="Global Wood Trimmed Manager's Task Chair, Khaki"/>
    <n v="245.65"/>
    <n v="3"/>
    <x v="2842"/>
    <x v="10"/>
    <x v="2"/>
  </r>
  <r>
    <n v="45241"/>
    <x v="615"/>
    <x v="20"/>
    <x v="0"/>
    <x v="3"/>
    <s v="Deluxe Heavy-Duty Vinyl Round Ring Binder"/>
    <n v="55.01"/>
    <n v="3"/>
    <x v="3761"/>
    <x v="10"/>
    <x v="2"/>
  </r>
  <r>
    <n v="45241"/>
    <x v="615"/>
    <x v="20"/>
    <x v="0"/>
    <x v="3"/>
    <s v="XtraLife ClearVue Slant-D Ring Binder, White, 3&quot;"/>
    <n v="35.229999999999997"/>
    <n v="3"/>
    <x v="2240"/>
    <x v="10"/>
    <x v="2"/>
  </r>
  <r>
    <n v="45241"/>
    <x v="269"/>
    <x v="3"/>
    <x v="1"/>
    <x v="8"/>
    <s v="Magnifier Swing Arm Lamp"/>
    <n v="41.96"/>
    <n v="2"/>
    <x v="929"/>
    <x v="10"/>
    <x v="2"/>
  </r>
  <r>
    <n v="45241"/>
    <x v="269"/>
    <x v="3"/>
    <x v="1"/>
    <x v="5"/>
    <s v="Hon Every-Day Series Multi-Task Chairs"/>
    <n v="451.15"/>
    <n v="3"/>
    <x v="62"/>
    <x v="10"/>
    <x v="2"/>
  </r>
  <r>
    <n v="45241"/>
    <x v="269"/>
    <x v="3"/>
    <x v="0"/>
    <x v="3"/>
    <s v="Avery Poly Binder Pockets"/>
    <n v="31.5"/>
    <n v="11"/>
    <x v="3762"/>
    <x v="10"/>
    <x v="2"/>
  </r>
  <r>
    <n v="45241"/>
    <x v="756"/>
    <x v="18"/>
    <x v="1"/>
    <x v="13"/>
    <s v="Balt Solid Wood Round Tables"/>
    <n v="2678.94"/>
    <n v="6"/>
    <x v="3763"/>
    <x v="10"/>
    <x v="2"/>
  </r>
  <r>
    <n v="45241"/>
    <x v="774"/>
    <x v="1"/>
    <x v="0"/>
    <x v="4"/>
    <s v="Newell 332"/>
    <n v="14.11"/>
    <n v="6"/>
    <x v="3764"/>
    <x v="10"/>
    <x v="2"/>
  </r>
  <r>
    <n v="45242"/>
    <x v="102"/>
    <x v="12"/>
    <x v="0"/>
    <x v="3"/>
    <s v="Avery Durable Slant Ring Binders With Label Holder"/>
    <n v="6.27"/>
    <n v="5"/>
    <x v="3765"/>
    <x v="10"/>
    <x v="2"/>
  </r>
  <r>
    <n v="45242"/>
    <x v="102"/>
    <x v="12"/>
    <x v="0"/>
    <x v="3"/>
    <s v="Round Ring Binders"/>
    <n v="4.37"/>
    <n v="7"/>
    <x v="3766"/>
    <x v="10"/>
    <x v="2"/>
  </r>
  <r>
    <n v="45242"/>
    <x v="102"/>
    <x v="12"/>
    <x v="2"/>
    <x v="9"/>
    <s v="Micropad Numeric Keypads"/>
    <n v="31.98"/>
    <n v="2"/>
    <x v="866"/>
    <x v="10"/>
    <x v="2"/>
  </r>
  <r>
    <n v="45242"/>
    <x v="136"/>
    <x v="18"/>
    <x v="0"/>
    <x v="10"/>
    <s v="Tyvek  Top-Opening Peel &amp; Seel  Envelopes, Gray"/>
    <n v="287.52"/>
    <n v="8"/>
    <x v="365"/>
    <x v="10"/>
    <x v="2"/>
  </r>
  <r>
    <n v="45242"/>
    <x v="136"/>
    <x v="18"/>
    <x v="0"/>
    <x v="12"/>
    <s v="Belkin F9H710-06 7 Outlet SurgeMaster Surge Protector"/>
    <n v="37.68"/>
    <n v="2"/>
    <x v="3359"/>
    <x v="10"/>
    <x v="2"/>
  </r>
  <r>
    <n v="45242"/>
    <x v="136"/>
    <x v="18"/>
    <x v="0"/>
    <x v="0"/>
    <s v="Xerox 1896"/>
    <n v="19.98"/>
    <n v="2"/>
    <x v="2989"/>
    <x v="10"/>
    <x v="2"/>
  </r>
  <r>
    <n v="45242"/>
    <x v="136"/>
    <x v="18"/>
    <x v="0"/>
    <x v="4"/>
    <s v="Newell 332"/>
    <n v="20.58"/>
    <n v="7"/>
    <x v="2703"/>
    <x v="10"/>
    <x v="2"/>
  </r>
  <r>
    <n v="45242"/>
    <x v="136"/>
    <x v="18"/>
    <x v="0"/>
    <x v="3"/>
    <s v="Cardinal Slant-D Ring Binders"/>
    <n v="17.38"/>
    <n v="2"/>
    <x v="1061"/>
    <x v="10"/>
    <x v="2"/>
  </r>
  <r>
    <n v="45242"/>
    <x v="530"/>
    <x v="10"/>
    <x v="1"/>
    <x v="5"/>
    <s v="Global Leather and Oak Executive Chair, Black"/>
    <n v="1474.8"/>
    <n v="7"/>
    <x v="3767"/>
    <x v="10"/>
    <x v="2"/>
  </r>
  <r>
    <n v="45242"/>
    <x v="530"/>
    <x v="10"/>
    <x v="0"/>
    <x v="12"/>
    <s v="Holmes Replacement Filter for HEPA Air Cleaner, Very Large Room, HEPA Filter"/>
    <n v="110.1"/>
    <n v="2"/>
    <x v="3768"/>
    <x v="10"/>
    <x v="2"/>
  </r>
  <r>
    <n v="45242"/>
    <x v="530"/>
    <x v="10"/>
    <x v="0"/>
    <x v="7"/>
    <s v="OIC Bulk Pack Metal Binder Clips"/>
    <n v="16.75"/>
    <n v="6"/>
    <x v="192"/>
    <x v="10"/>
    <x v="2"/>
  </r>
  <r>
    <n v="45242"/>
    <x v="530"/>
    <x v="10"/>
    <x v="1"/>
    <x v="5"/>
    <s v="Hon Deluxe Fabric Upholstered Stacking Chairs, Rounded Back"/>
    <n v="1537.07"/>
    <n v="9"/>
    <x v="62"/>
    <x v="10"/>
    <x v="2"/>
  </r>
  <r>
    <n v="45242"/>
    <x v="530"/>
    <x v="10"/>
    <x v="1"/>
    <x v="5"/>
    <s v="Hon 4070 Series Pagoda Round Back Stacking Chairs"/>
    <n v="449.37"/>
    <n v="2"/>
    <x v="3769"/>
    <x v="10"/>
    <x v="2"/>
  </r>
  <r>
    <n v="45242"/>
    <x v="233"/>
    <x v="3"/>
    <x v="2"/>
    <x v="6"/>
    <s v="Panasonic KX TS3282W Corded phone"/>
    <n v="203.98"/>
    <n v="3"/>
    <x v="3770"/>
    <x v="10"/>
    <x v="2"/>
  </r>
  <r>
    <n v="45242"/>
    <x v="233"/>
    <x v="3"/>
    <x v="1"/>
    <x v="13"/>
    <s v="Global Adaptabilities Conference Tables"/>
    <n v="674.35"/>
    <n v="3"/>
    <x v="3771"/>
    <x v="10"/>
    <x v="2"/>
  </r>
  <r>
    <n v="45242"/>
    <x v="153"/>
    <x v="1"/>
    <x v="1"/>
    <x v="8"/>
    <s v="DAX Charcoal/Nickel-Tone Document Frame, 5 x 7"/>
    <n v="22.75"/>
    <n v="6"/>
    <x v="1123"/>
    <x v="10"/>
    <x v="2"/>
  </r>
  <r>
    <n v="45243"/>
    <x v="365"/>
    <x v="22"/>
    <x v="0"/>
    <x v="4"/>
    <s v="Boston 16801 Nautilus Battery Pencil Sharpener"/>
    <n v="44.02"/>
    <n v="2"/>
    <x v="2240"/>
    <x v="10"/>
    <x v="2"/>
  </r>
  <r>
    <n v="45243"/>
    <x v="106"/>
    <x v="25"/>
    <x v="0"/>
    <x v="14"/>
    <s v="Acme Forged Steel Scissors with Black Enamel Handles"/>
    <n v="52.14"/>
    <n v="7"/>
    <x v="1243"/>
    <x v="10"/>
    <x v="2"/>
  </r>
  <r>
    <n v="45243"/>
    <x v="775"/>
    <x v="22"/>
    <x v="1"/>
    <x v="8"/>
    <s v="Eldon Image Series Desk Accessories, Burgundy"/>
    <n v="4.18"/>
    <n v="1"/>
    <x v="366"/>
    <x v="10"/>
    <x v="2"/>
  </r>
  <r>
    <n v="45243"/>
    <x v="684"/>
    <x v="2"/>
    <x v="0"/>
    <x v="0"/>
    <s v="White Computer Printout Paper by Universal"/>
    <n v="217.06"/>
    <n v="7"/>
    <x v="3772"/>
    <x v="10"/>
    <x v="2"/>
  </r>
  <r>
    <n v="45243"/>
    <x v="162"/>
    <x v="1"/>
    <x v="0"/>
    <x v="3"/>
    <s v="XtraLife ClearVue Slant-D Ring Binders by Cardinal"/>
    <n v="3.14"/>
    <n v="2"/>
    <x v="3773"/>
    <x v="10"/>
    <x v="2"/>
  </r>
  <r>
    <n v="45243"/>
    <x v="38"/>
    <x v="20"/>
    <x v="0"/>
    <x v="2"/>
    <s v="Tenex File Box, Personal Filing Tote with Lid, Black"/>
    <n v="77.55"/>
    <n v="5"/>
    <x v="468"/>
    <x v="10"/>
    <x v="2"/>
  </r>
  <r>
    <n v="45243"/>
    <x v="38"/>
    <x v="20"/>
    <x v="0"/>
    <x v="2"/>
    <s v="Eldon Simplefile Box Office"/>
    <n v="24.88"/>
    <n v="2"/>
    <x v="610"/>
    <x v="10"/>
    <x v="2"/>
  </r>
  <r>
    <n v="45243"/>
    <x v="38"/>
    <x v="20"/>
    <x v="0"/>
    <x v="4"/>
    <s v="Boston Electric Pencil Sharpener, Model 1818, Charcoal Black"/>
    <n v="140.75"/>
    <n v="5"/>
    <x v="3774"/>
    <x v="10"/>
    <x v="2"/>
  </r>
  <r>
    <n v="45243"/>
    <x v="38"/>
    <x v="20"/>
    <x v="0"/>
    <x v="2"/>
    <s v="Portable Personal File Box"/>
    <n v="36.630000000000003"/>
    <n v="3"/>
    <x v="385"/>
    <x v="10"/>
    <x v="2"/>
  </r>
  <r>
    <n v="45243"/>
    <x v="324"/>
    <x v="39"/>
    <x v="1"/>
    <x v="8"/>
    <s v="Master Giant Foot Doorstop, Safety Yellow"/>
    <n v="30.36"/>
    <n v="4"/>
    <x v="3775"/>
    <x v="10"/>
    <x v="2"/>
  </r>
  <r>
    <n v="45243"/>
    <x v="619"/>
    <x v="20"/>
    <x v="2"/>
    <x v="6"/>
    <s v="Xiaomi Mi3"/>
    <n v="2279.96"/>
    <n v="4"/>
    <x v="3776"/>
    <x v="10"/>
    <x v="2"/>
  </r>
  <r>
    <n v="45243"/>
    <x v="619"/>
    <x v="20"/>
    <x v="0"/>
    <x v="1"/>
    <s v="Avery 499"/>
    <n v="14.94"/>
    <n v="3"/>
    <x v="96"/>
    <x v="10"/>
    <x v="2"/>
  </r>
  <r>
    <n v="45243"/>
    <x v="675"/>
    <x v="22"/>
    <x v="1"/>
    <x v="8"/>
    <s v="DAX Solid Wood Frames"/>
    <n v="19.54"/>
    <n v="2"/>
    <x v="2820"/>
    <x v="10"/>
    <x v="2"/>
  </r>
  <r>
    <n v="45244"/>
    <x v="158"/>
    <x v="4"/>
    <x v="2"/>
    <x v="9"/>
    <s v="Logitech diNovo Edge Keyboard"/>
    <n v="499.98"/>
    <n v="2"/>
    <x v="3777"/>
    <x v="10"/>
    <x v="2"/>
  </r>
  <r>
    <n v="45244"/>
    <x v="158"/>
    <x v="4"/>
    <x v="0"/>
    <x v="0"/>
    <s v="Xerox 4200 Series MultiUse Premium Copy Paper (20Lb. and 84 Bright)"/>
    <n v="5.28"/>
    <n v="1"/>
    <x v="459"/>
    <x v="10"/>
    <x v="2"/>
  </r>
  <r>
    <n v="45244"/>
    <x v="158"/>
    <x v="4"/>
    <x v="0"/>
    <x v="3"/>
    <s v="ACCOHIDE 3-Ring Binder, Blue, 1&quot;"/>
    <n v="8.26"/>
    <n v="2"/>
    <x v="2014"/>
    <x v="10"/>
    <x v="2"/>
  </r>
  <r>
    <n v="45244"/>
    <x v="776"/>
    <x v="3"/>
    <x v="0"/>
    <x v="1"/>
    <s v="Avery 52"/>
    <n v="7.38"/>
    <n v="2"/>
    <x v="1540"/>
    <x v="10"/>
    <x v="2"/>
  </r>
  <r>
    <n v="45244"/>
    <x v="708"/>
    <x v="0"/>
    <x v="0"/>
    <x v="3"/>
    <s v="Binder Posts"/>
    <n v="2.2999999999999998"/>
    <n v="2"/>
    <x v="2205"/>
    <x v="10"/>
    <x v="2"/>
  </r>
  <r>
    <n v="45244"/>
    <x v="337"/>
    <x v="20"/>
    <x v="1"/>
    <x v="5"/>
    <s v="Hon GuestStacker Chair"/>
    <n v="408.01"/>
    <n v="2"/>
    <x v="3324"/>
    <x v="10"/>
    <x v="2"/>
  </r>
  <r>
    <n v="45244"/>
    <x v="337"/>
    <x v="20"/>
    <x v="0"/>
    <x v="2"/>
    <s v="Tenex Personal Project File with Scoop Front Design, Black"/>
    <n v="40.44"/>
    <n v="3"/>
    <x v="448"/>
    <x v="10"/>
    <x v="2"/>
  </r>
  <r>
    <n v="45244"/>
    <x v="632"/>
    <x v="2"/>
    <x v="1"/>
    <x v="5"/>
    <s v="Global Ergonomic Managers Chair"/>
    <n v="380.06"/>
    <n v="3"/>
    <x v="3778"/>
    <x v="10"/>
    <x v="2"/>
  </r>
  <r>
    <n v="45244"/>
    <x v="632"/>
    <x v="2"/>
    <x v="2"/>
    <x v="16"/>
    <s v="Sharp AL-1530CS Digital Copier"/>
    <n v="1199.98"/>
    <n v="4"/>
    <x v="3779"/>
    <x v="10"/>
    <x v="2"/>
  </r>
  <r>
    <n v="45244"/>
    <x v="632"/>
    <x v="2"/>
    <x v="1"/>
    <x v="8"/>
    <s v="DAX Contemporary Wood Frame with Silver Metal Mat, Desktop, 11 x 14 Size"/>
    <n v="48.58"/>
    <n v="3"/>
    <x v="584"/>
    <x v="10"/>
    <x v="2"/>
  </r>
  <r>
    <n v="45244"/>
    <x v="560"/>
    <x v="3"/>
    <x v="0"/>
    <x v="4"/>
    <s v="Newell 35"/>
    <n v="9.84"/>
    <n v="3"/>
    <x v="1029"/>
    <x v="10"/>
    <x v="2"/>
  </r>
  <r>
    <n v="45244"/>
    <x v="176"/>
    <x v="7"/>
    <x v="0"/>
    <x v="0"/>
    <s v="Tops Wirebound Message Log Books"/>
    <n v="16.45"/>
    <n v="5"/>
    <x v="3780"/>
    <x v="10"/>
    <x v="2"/>
  </r>
  <r>
    <n v="45244"/>
    <x v="176"/>
    <x v="7"/>
    <x v="1"/>
    <x v="8"/>
    <s v="Stacking Trays by OIC"/>
    <n v="19.920000000000002"/>
    <n v="4"/>
    <x v="29"/>
    <x v="10"/>
    <x v="2"/>
  </r>
  <r>
    <n v="45244"/>
    <x v="361"/>
    <x v="36"/>
    <x v="2"/>
    <x v="6"/>
    <s v="BlueLounge Milo Smartphone Stand, White/Metallic"/>
    <n v="89.97"/>
    <n v="3"/>
    <x v="3781"/>
    <x v="10"/>
    <x v="2"/>
  </r>
  <r>
    <n v="45244"/>
    <x v="0"/>
    <x v="20"/>
    <x v="2"/>
    <x v="6"/>
    <s v="SmartStand Mobile Device Holder, Assorted Colors"/>
    <n v="13.98"/>
    <n v="2"/>
    <x v="288"/>
    <x v="10"/>
    <x v="2"/>
  </r>
  <r>
    <n v="45244"/>
    <x v="0"/>
    <x v="20"/>
    <x v="0"/>
    <x v="4"/>
    <s v="Boston Home &amp; Office Model 2000 Electric Pencil Sharpeners"/>
    <n v="23.65"/>
    <n v="1"/>
    <x v="2661"/>
    <x v="10"/>
    <x v="2"/>
  </r>
  <r>
    <n v="45245"/>
    <x v="660"/>
    <x v="3"/>
    <x v="2"/>
    <x v="9"/>
    <s v="ImationÂ 16GB Mini TravelDrive USB 2.0Â Flash Drive"/>
    <n v="99.39"/>
    <n v="3"/>
    <x v="3782"/>
    <x v="10"/>
    <x v="2"/>
  </r>
  <r>
    <n v="45245"/>
    <x v="614"/>
    <x v="3"/>
    <x v="0"/>
    <x v="3"/>
    <s v="Fellowes PB500 Electric Punch Plastic Comb Binding Machine with Manual Bind"/>
    <n v="1016.79"/>
    <n v="1"/>
    <x v="3783"/>
    <x v="10"/>
    <x v="2"/>
  </r>
  <r>
    <n v="45245"/>
    <x v="614"/>
    <x v="3"/>
    <x v="0"/>
    <x v="3"/>
    <s v="Avery Self-Adhesive Photo Pockets for Polaroid Photos"/>
    <n v="38.14"/>
    <n v="7"/>
    <x v="3704"/>
    <x v="10"/>
    <x v="2"/>
  </r>
  <r>
    <n v="45245"/>
    <x v="123"/>
    <x v="3"/>
    <x v="2"/>
    <x v="6"/>
    <s v="Polycom SoundPoint IP 450 VoIP phone"/>
    <n v="361.38"/>
    <n v="2"/>
    <x v="3784"/>
    <x v="10"/>
    <x v="2"/>
  </r>
  <r>
    <n v="45245"/>
    <x v="402"/>
    <x v="25"/>
    <x v="1"/>
    <x v="13"/>
    <s v="Hon Racetrack Conference Tables"/>
    <n v="630.02"/>
    <n v="4"/>
    <x v="3785"/>
    <x v="10"/>
    <x v="2"/>
  </r>
  <r>
    <n v="45246"/>
    <x v="131"/>
    <x v="31"/>
    <x v="0"/>
    <x v="10"/>
    <s v="Staple envelope"/>
    <n v="28.4"/>
    <n v="5"/>
    <x v="3704"/>
    <x v="10"/>
    <x v="2"/>
  </r>
  <r>
    <n v="45246"/>
    <x v="24"/>
    <x v="3"/>
    <x v="0"/>
    <x v="3"/>
    <s v="Round Ring Binders"/>
    <n v="8.32"/>
    <n v="5"/>
    <x v="1120"/>
    <x v="10"/>
    <x v="2"/>
  </r>
  <r>
    <n v="45247"/>
    <x v="389"/>
    <x v="31"/>
    <x v="0"/>
    <x v="3"/>
    <s v="Avery Non-Stick Binders"/>
    <n v="10.78"/>
    <n v="3"/>
    <x v="3786"/>
    <x v="10"/>
    <x v="2"/>
  </r>
  <r>
    <n v="45247"/>
    <x v="497"/>
    <x v="0"/>
    <x v="2"/>
    <x v="6"/>
    <s v="Apple EarPods with Remote and Mic"/>
    <n v="67.180000000000007"/>
    <n v="3"/>
    <x v="1690"/>
    <x v="10"/>
    <x v="2"/>
  </r>
  <r>
    <n v="45247"/>
    <x v="497"/>
    <x v="0"/>
    <x v="0"/>
    <x v="0"/>
    <s v="TOPS Voice Message Log Book, Flash Format"/>
    <n v="15.23"/>
    <n v="4"/>
    <x v="1547"/>
    <x v="10"/>
    <x v="2"/>
  </r>
  <r>
    <n v="45247"/>
    <x v="631"/>
    <x v="3"/>
    <x v="0"/>
    <x v="14"/>
    <s v="Acme Tagit Stainless Steel Antibacterial Scissors"/>
    <n v="49.5"/>
    <n v="5"/>
    <x v="58"/>
    <x v="10"/>
    <x v="2"/>
  </r>
  <r>
    <n v="45248"/>
    <x v="299"/>
    <x v="39"/>
    <x v="0"/>
    <x v="2"/>
    <s v="Tennsco Snap-Together Open Shelving Units, Starter Sets and Add-On Units"/>
    <n v="1117.92"/>
    <n v="4"/>
    <x v="1382"/>
    <x v="10"/>
    <x v="2"/>
  </r>
  <r>
    <n v="45248"/>
    <x v="188"/>
    <x v="0"/>
    <x v="0"/>
    <x v="4"/>
    <s v="4009 Highlighters by Sanford"/>
    <n v="6.37"/>
    <n v="2"/>
    <x v="812"/>
    <x v="10"/>
    <x v="2"/>
  </r>
  <r>
    <n v="45248"/>
    <x v="188"/>
    <x v="0"/>
    <x v="0"/>
    <x v="1"/>
    <s v="Avery 4027 File Folder Labels for Dot Matrix Printers, 5000 Labels per Box, White"/>
    <n v="48.85"/>
    <n v="2"/>
    <x v="2770"/>
    <x v="10"/>
    <x v="2"/>
  </r>
  <r>
    <n v="45248"/>
    <x v="188"/>
    <x v="0"/>
    <x v="0"/>
    <x v="0"/>
    <s v="Xerox 1881"/>
    <n v="19.649999999999999"/>
    <n v="2"/>
    <x v="824"/>
    <x v="10"/>
    <x v="2"/>
  </r>
  <r>
    <n v="45248"/>
    <x v="188"/>
    <x v="0"/>
    <x v="1"/>
    <x v="5"/>
    <s v="Global Value Steno Chair, Gray"/>
    <n v="255.11"/>
    <n v="6"/>
    <x v="3787"/>
    <x v="10"/>
    <x v="2"/>
  </r>
  <r>
    <n v="45248"/>
    <x v="191"/>
    <x v="10"/>
    <x v="0"/>
    <x v="12"/>
    <s v="Holmes 99% HEPA Air Purifier"/>
    <n v="103.97"/>
    <n v="6"/>
    <x v="962"/>
    <x v="10"/>
    <x v="2"/>
  </r>
  <r>
    <n v="45248"/>
    <x v="492"/>
    <x v="3"/>
    <x v="2"/>
    <x v="6"/>
    <s v="Grandstream GXP2100 Mainstream Business Phone"/>
    <n v="61.19"/>
    <n v="1"/>
    <x v="1853"/>
    <x v="10"/>
    <x v="2"/>
  </r>
  <r>
    <n v="45248"/>
    <x v="492"/>
    <x v="3"/>
    <x v="0"/>
    <x v="12"/>
    <s v="Fellowes Command Center 5-outlet power strip"/>
    <n v="67.84"/>
    <n v="1"/>
    <x v="3788"/>
    <x v="10"/>
    <x v="2"/>
  </r>
  <r>
    <n v="45248"/>
    <x v="63"/>
    <x v="14"/>
    <x v="1"/>
    <x v="5"/>
    <s v="Novimex Swivel Fabric Task Chair"/>
    <n v="301.95999999999998"/>
    <n v="2"/>
    <x v="3789"/>
    <x v="10"/>
    <x v="2"/>
  </r>
  <r>
    <n v="45248"/>
    <x v="385"/>
    <x v="33"/>
    <x v="2"/>
    <x v="9"/>
    <s v="LogitechÂ Z-906 Speaker sys - home theater - 5.1-CH"/>
    <n v="1319.96"/>
    <n v="4"/>
    <x v="3790"/>
    <x v="10"/>
    <x v="2"/>
  </r>
  <r>
    <n v="45248"/>
    <x v="190"/>
    <x v="3"/>
    <x v="2"/>
    <x v="9"/>
    <s v="WD My Passport Ultra 2TB Portable External Hard Drive"/>
    <n v="595"/>
    <n v="5"/>
    <x v="3791"/>
    <x v="10"/>
    <x v="2"/>
  </r>
  <r>
    <n v="45248"/>
    <x v="737"/>
    <x v="3"/>
    <x v="0"/>
    <x v="3"/>
    <s v="Recycled Premium Regency Composition Covers"/>
    <n v="61.12"/>
    <n v="5"/>
    <x v="3792"/>
    <x v="10"/>
    <x v="2"/>
  </r>
  <r>
    <n v="45249"/>
    <x v="724"/>
    <x v="20"/>
    <x v="0"/>
    <x v="3"/>
    <s v="Avery Hanging File Binders"/>
    <n v="14.35"/>
    <n v="3"/>
    <x v="148"/>
    <x v="10"/>
    <x v="2"/>
  </r>
  <r>
    <n v="45249"/>
    <x v="724"/>
    <x v="20"/>
    <x v="0"/>
    <x v="2"/>
    <s v="Fellowes Neat Ideas Storage Cubes"/>
    <n v="64.959999999999994"/>
    <n v="2"/>
    <x v="100"/>
    <x v="10"/>
    <x v="2"/>
  </r>
  <r>
    <n v="45249"/>
    <x v="724"/>
    <x v="20"/>
    <x v="0"/>
    <x v="2"/>
    <s v="Advantus Rolling Storage Box"/>
    <n v="68.599999999999994"/>
    <n v="4"/>
    <x v="3793"/>
    <x v="10"/>
    <x v="2"/>
  </r>
  <r>
    <n v="45249"/>
    <x v="281"/>
    <x v="0"/>
    <x v="0"/>
    <x v="2"/>
    <s v="Tennsco Lockers, Gray"/>
    <n v="100.7"/>
    <n v="6"/>
    <x v="3794"/>
    <x v="10"/>
    <x v="2"/>
  </r>
  <r>
    <n v="45249"/>
    <x v="281"/>
    <x v="0"/>
    <x v="1"/>
    <x v="8"/>
    <s v="GE General Purpose, Extra Long Life, Showcase &amp; Floodlight Incandescent Bulbs"/>
    <n v="2.33"/>
    <n v="2"/>
    <x v="3795"/>
    <x v="10"/>
    <x v="2"/>
  </r>
  <r>
    <n v="45249"/>
    <x v="281"/>
    <x v="0"/>
    <x v="0"/>
    <x v="3"/>
    <s v="GBC Standard Recycled Report Covers, Clear Plastic Sheets"/>
    <n v="10.78"/>
    <n v="5"/>
    <x v="1132"/>
    <x v="10"/>
    <x v="2"/>
  </r>
  <r>
    <n v="45249"/>
    <x v="281"/>
    <x v="0"/>
    <x v="0"/>
    <x v="7"/>
    <s v="Staples"/>
    <n v="58.37"/>
    <n v="12"/>
    <x v="3796"/>
    <x v="10"/>
    <x v="2"/>
  </r>
  <r>
    <n v="45249"/>
    <x v="281"/>
    <x v="0"/>
    <x v="0"/>
    <x v="10"/>
    <s v="Recycled Interoffice Envelopes with Re-Use-A-Seal Closure, 10 x 13"/>
    <n v="40.97"/>
    <n v="3"/>
    <x v="2725"/>
    <x v="10"/>
    <x v="2"/>
  </r>
  <r>
    <n v="45249"/>
    <x v="281"/>
    <x v="0"/>
    <x v="2"/>
    <x v="6"/>
    <s v="invisibleSHIELD by ZAGG Smudge-Free Screen Protector"/>
    <n v="71.959999999999994"/>
    <n v="5"/>
    <x v="3781"/>
    <x v="10"/>
    <x v="2"/>
  </r>
  <r>
    <n v="45249"/>
    <x v="281"/>
    <x v="0"/>
    <x v="0"/>
    <x v="0"/>
    <s v="Xerox 1905"/>
    <n v="10.37"/>
    <n v="2"/>
    <x v="316"/>
    <x v="10"/>
    <x v="2"/>
  </r>
  <r>
    <n v="45249"/>
    <x v="281"/>
    <x v="0"/>
    <x v="0"/>
    <x v="3"/>
    <s v="Avery Hidden Tab Dividers for Binding Systems"/>
    <n v="1.19"/>
    <n v="2"/>
    <x v="3611"/>
    <x v="10"/>
    <x v="2"/>
  </r>
  <r>
    <n v="45249"/>
    <x v="70"/>
    <x v="20"/>
    <x v="0"/>
    <x v="4"/>
    <s v="Newell 340"/>
    <n v="17.28"/>
    <n v="6"/>
    <x v="1648"/>
    <x v="10"/>
    <x v="2"/>
  </r>
  <r>
    <n v="45249"/>
    <x v="70"/>
    <x v="20"/>
    <x v="0"/>
    <x v="3"/>
    <s v="GBC Plastic Binding Combs"/>
    <n v="17.71"/>
    <n v="3"/>
    <x v="2630"/>
    <x v="10"/>
    <x v="2"/>
  </r>
  <r>
    <n v="45249"/>
    <x v="676"/>
    <x v="18"/>
    <x v="0"/>
    <x v="12"/>
    <s v="Acco 6 Outlet Guardian Premium Plus Surge Suppressor"/>
    <n v="54.96"/>
    <n v="3"/>
    <x v="3012"/>
    <x v="10"/>
    <x v="2"/>
  </r>
  <r>
    <n v="45249"/>
    <x v="235"/>
    <x v="25"/>
    <x v="0"/>
    <x v="4"/>
    <s v="Deluxe Chalkboard Eraser Cleaner"/>
    <n v="18.48"/>
    <n v="2"/>
    <x v="1813"/>
    <x v="10"/>
    <x v="2"/>
  </r>
  <r>
    <n v="45249"/>
    <x v="11"/>
    <x v="20"/>
    <x v="0"/>
    <x v="12"/>
    <s v="Disposable Triple-Filter Dust Bags"/>
    <n v="8.74"/>
    <n v="2"/>
    <x v="2477"/>
    <x v="10"/>
    <x v="2"/>
  </r>
  <r>
    <n v="45249"/>
    <x v="11"/>
    <x v="20"/>
    <x v="0"/>
    <x v="0"/>
    <s v="Recycled Desk Saver Line &quot;While You Were Out&quot; Book, 5 1/2&quot; X 4&quot;"/>
    <n v="44.75"/>
    <n v="5"/>
    <x v="2753"/>
    <x v="10"/>
    <x v="2"/>
  </r>
  <r>
    <n v="45249"/>
    <x v="362"/>
    <x v="22"/>
    <x v="1"/>
    <x v="8"/>
    <s v="Tenex Chairmats For Use With Carpeted Floors"/>
    <n v="31.96"/>
    <n v="2"/>
    <x v="121"/>
    <x v="10"/>
    <x v="2"/>
  </r>
  <r>
    <n v="45250"/>
    <x v="608"/>
    <x v="39"/>
    <x v="0"/>
    <x v="1"/>
    <s v="Avery 519"/>
    <n v="14.62"/>
    <n v="2"/>
    <x v="96"/>
    <x v="10"/>
    <x v="2"/>
  </r>
  <r>
    <n v="45250"/>
    <x v="608"/>
    <x v="39"/>
    <x v="2"/>
    <x v="6"/>
    <s v="Avaya 5420 Digital phone"/>
    <n v="944.93"/>
    <n v="7"/>
    <x v="3797"/>
    <x v="10"/>
    <x v="2"/>
  </r>
  <r>
    <n v="45250"/>
    <x v="327"/>
    <x v="10"/>
    <x v="0"/>
    <x v="7"/>
    <s v="Advantus SlideClip Paper Clips"/>
    <n v="19.100000000000001"/>
    <n v="7"/>
    <x v="2936"/>
    <x v="10"/>
    <x v="2"/>
  </r>
  <r>
    <n v="45250"/>
    <x v="327"/>
    <x v="10"/>
    <x v="0"/>
    <x v="1"/>
    <s v="Avery 512"/>
    <n v="18.5"/>
    <n v="8"/>
    <x v="3184"/>
    <x v="10"/>
    <x v="2"/>
  </r>
  <r>
    <n v="45250"/>
    <x v="327"/>
    <x v="10"/>
    <x v="2"/>
    <x v="9"/>
    <s v="Logitech Wireless Gaming Headset G930"/>
    <n v="255.98"/>
    <n v="2"/>
    <x v="1386"/>
    <x v="10"/>
    <x v="2"/>
  </r>
  <r>
    <n v="45250"/>
    <x v="327"/>
    <x v="10"/>
    <x v="1"/>
    <x v="11"/>
    <s v="Bush Westfield Collection Bookcases, Medium Cherry Finish"/>
    <n v="86.97"/>
    <n v="3"/>
    <x v="3798"/>
    <x v="10"/>
    <x v="2"/>
  </r>
  <r>
    <n v="45250"/>
    <x v="156"/>
    <x v="10"/>
    <x v="0"/>
    <x v="0"/>
    <s v="Southworth 25% Cotton Granite Paper &amp; Envelopes"/>
    <n v="15.7"/>
    <n v="3"/>
    <x v="1194"/>
    <x v="10"/>
    <x v="2"/>
  </r>
  <r>
    <n v="45250"/>
    <x v="156"/>
    <x v="10"/>
    <x v="0"/>
    <x v="3"/>
    <s v="Acco 3-Hole Punch"/>
    <n v="2.63"/>
    <n v="2"/>
    <x v="3799"/>
    <x v="10"/>
    <x v="2"/>
  </r>
  <r>
    <n v="45250"/>
    <x v="156"/>
    <x v="10"/>
    <x v="0"/>
    <x v="3"/>
    <s v="Avery Recycled Flexi-View Covers for Binding Systems"/>
    <n v="14.43"/>
    <n v="3"/>
    <x v="3800"/>
    <x v="10"/>
    <x v="2"/>
  </r>
  <r>
    <n v="45250"/>
    <x v="17"/>
    <x v="0"/>
    <x v="1"/>
    <x v="5"/>
    <s v="Global Wood Trimmed Manager's Task Chair, Khaki"/>
    <n v="318.43"/>
    <n v="5"/>
    <x v="3801"/>
    <x v="10"/>
    <x v="2"/>
  </r>
  <r>
    <n v="45250"/>
    <x v="17"/>
    <x v="0"/>
    <x v="2"/>
    <x v="6"/>
    <s v="Samsung HM1900 Bluetooth Headset"/>
    <n v="122.92"/>
    <n v="7"/>
    <x v="3802"/>
    <x v="10"/>
    <x v="2"/>
  </r>
  <r>
    <n v="45250"/>
    <x v="17"/>
    <x v="0"/>
    <x v="1"/>
    <x v="8"/>
    <s v="Eldon Wave Desk Accessories"/>
    <n v="7.07"/>
    <n v="3"/>
    <x v="3227"/>
    <x v="10"/>
    <x v="2"/>
  </r>
  <r>
    <n v="45250"/>
    <x v="302"/>
    <x v="18"/>
    <x v="0"/>
    <x v="0"/>
    <s v="Ampad Poly Cover Wirebound Steno Book, 6&quot; x 9&quot; Assorted Colors, Gregg Ruled"/>
    <n v="9.08"/>
    <n v="2"/>
    <x v="1834"/>
    <x v="10"/>
    <x v="2"/>
  </r>
  <r>
    <n v="45250"/>
    <x v="302"/>
    <x v="18"/>
    <x v="0"/>
    <x v="0"/>
    <s v="Xerox 189"/>
    <n v="314.55"/>
    <n v="3"/>
    <x v="3196"/>
    <x v="10"/>
    <x v="2"/>
  </r>
  <r>
    <n v="45250"/>
    <x v="302"/>
    <x v="18"/>
    <x v="0"/>
    <x v="3"/>
    <s v="Pressboard Covers with Storage Hooks, 9 1/2&quot; x 11&quot;, Light Blue"/>
    <n v="4.91"/>
    <n v="1"/>
    <x v="3264"/>
    <x v="10"/>
    <x v="2"/>
  </r>
  <r>
    <n v="45250"/>
    <x v="15"/>
    <x v="0"/>
    <x v="2"/>
    <x v="6"/>
    <s v="Wireless Extenders zBoost YX545 SOHO Signal Booster"/>
    <n v="151.19"/>
    <n v="1"/>
    <x v="3803"/>
    <x v="10"/>
    <x v="2"/>
  </r>
  <r>
    <n v="45250"/>
    <x v="91"/>
    <x v="3"/>
    <x v="0"/>
    <x v="12"/>
    <s v="Bravo II Megaboss 12-Amp Hard Body Upright, Replacement Belts, 2 Belts per Pack"/>
    <n v="39"/>
    <n v="12"/>
    <x v="3194"/>
    <x v="10"/>
    <x v="2"/>
  </r>
  <r>
    <n v="45250"/>
    <x v="373"/>
    <x v="7"/>
    <x v="0"/>
    <x v="3"/>
    <s v="Wilson Jones Elliptical Ring 3 1/2&quot; Capacity Binders, 800 sheets"/>
    <n v="128.4"/>
    <n v="3"/>
    <x v="3804"/>
    <x v="10"/>
    <x v="2"/>
  </r>
  <r>
    <n v="45250"/>
    <x v="410"/>
    <x v="16"/>
    <x v="1"/>
    <x v="11"/>
    <s v="O'Sullivan 2-Door Barrister Bookcase in Odessa Pine"/>
    <n v="289.57"/>
    <n v="2"/>
    <x v="2161"/>
    <x v="10"/>
    <x v="2"/>
  </r>
  <r>
    <n v="45250"/>
    <x v="410"/>
    <x v="16"/>
    <x v="0"/>
    <x v="2"/>
    <s v="Akro-Mils 12-Gallon Tote"/>
    <n v="39.72"/>
    <n v="5"/>
    <x v="65"/>
    <x v="10"/>
    <x v="2"/>
  </r>
  <r>
    <n v="45250"/>
    <x v="410"/>
    <x v="16"/>
    <x v="2"/>
    <x v="6"/>
    <s v="Grandstream GXP2100 Mainstream Business Phone"/>
    <n v="244.77"/>
    <n v="4"/>
    <x v="1850"/>
    <x v="10"/>
    <x v="2"/>
  </r>
  <r>
    <n v="45250"/>
    <x v="688"/>
    <x v="3"/>
    <x v="2"/>
    <x v="9"/>
    <s v="Sony Micro Vault Click 4 GB USB 2.0 Flash Drive"/>
    <n v="27.88"/>
    <n v="2"/>
    <x v="388"/>
    <x v="10"/>
    <x v="2"/>
  </r>
  <r>
    <n v="45251"/>
    <x v="645"/>
    <x v="11"/>
    <x v="1"/>
    <x v="5"/>
    <s v="Novimex Fabric Task Chair"/>
    <n v="195.14"/>
    <n v="4"/>
    <x v="797"/>
    <x v="10"/>
    <x v="2"/>
  </r>
  <r>
    <n v="45251"/>
    <x v="491"/>
    <x v="30"/>
    <x v="0"/>
    <x v="0"/>
    <s v="Xerox 1987"/>
    <n v="40.46"/>
    <n v="7"/>
    <x v="2375"/>
    <x v="10"/>
    <x v="2"/>
  </r>
  <r>
    <n v="45251"/>
    <x v="491"/>
    <x v="30"/>
    <x v="2"/>
    <x v="6"/>
    <s v="Logitech Mobile Speakerphone P710e -Â speaker phone"/>
    <n v="404.94"/>
    <n v="3"/>
    <x v="3805"/>
    <x v="10"/>
    <x v="2"/>
  </r>
  <r>
    <n v="45251"/>
    <x v="74"/>
    <x v="10"/>
    <x v="2"/>
    <x v="15"/>
    <s v="Texas Instrument TI-15 Fraction Calculator"/>
    <n v="30.35"/>
    <n v="7"/>
    <x v="3806"/>
    <x v="10"/>
    <x v="2"/>
  </r>
  <r>
    <n v="45251"/>
    <x v="74"/>
    <x v="10"/>
    <x v="1"/>
    <x v="5"/>
    <s v="Global Value Steno Chair, Gray"/>
    <n v="127.55"/>
    <n v="3"/>
    <x v="3807"/>
    <x v="10"/>
    <x v="2"/>
  </r>
  <r>
    <n v="45251"/>
    <x v="74"/>
    <x v="10"/>
    <x v="1"/>
    <x v="8"/>
    <s v="Computer Room Manger, 14&quot;"/>
    <n v="77.95"/>
    <n v="3"/>
    <x v="1419"/>
    <x v="10"/>
    <x v="2"/>
  </r>
  <r>
    <n v="45251"/>
    <x v="310"/>
    <x v="1"/>
    <x v="0"/>
    <x v="0"/>
    <s v="Xerox 1910"/>
    <n v="38.43"/>
    <n v="1"/>
    <x v="3557"/>
    <x v="10"/>
    <x v="2"/>
  </r>
  <r>
    <n v="45251"/>
    <x v="310"/>
    <x v="1"/>
    <x v="0"/>
    <x v="2"/>
    <s v="Tenex Personal Project File with Scoop Front Design, Black"/>
    <n v="21.57"/>
    <n v="2"/>
    <x v="2912"/>
    <x v="10"/>
    <x v="2"/>
  </r>
  <r>
    <n v="45251"/>
    <x v="310"/>
    <x v="1"/>
    <x v="2"/>
    <x v="9"/>
    <s v="Lenovo 17-Key USB Numeric Keypad"/>
    <n v="81.58"/>
    <n v="3"/>
    <x v="2118"/>
    <x v="10"/>
    <x v="2"/>
  </r>
  <r>
    <n v="45251"/>
    <x v="30"/>
    <x v="20"/>
    <x v="0"/>
    <x v="0"/>
    <s v="Xerox 1975"/>
    <n v="12.96"/>
    <n v="2"/>
    <x v="195"/>
    <x v="10"/>
    <x v="2"/>
  </r>
  <r>
    <n v="45251"/>
    <x v="488"/>
    <x v="20"/>
    <x v="1"/>
    <x v="11"/>
    <s v="Hon Metal Bookcases, Putty"/>
    <n v="113.57"/>
    <n v="2"/>
    <x v="3808"/>
    <x v="10"/>
    <x v="2"/>
  </r>
  <r>
    <n v="45251"/>
    <x v="495"/>
    <x v="3"/>
    <x v="0"/>
    <x v="0"/>
    <s v="Xerox 222"/>
    <n v="32.4"/>
    <n v="5"/>
    <x v="327"/>
    <x v="10"/>
    <x v="2"/>
  </r>
  <r>
    <n v="45252"/>
    <x v="735"/>
    <x v="20"/>
    <x v="1"/>
    <x v="8"/>
    <s v="Luxo Economy Swing Arm Lamp"/>
    <n v="39.880000000000003"/>
    <n v="2"/>
    <x v="166"/>
    <x v="10"/>
    <x v="2"/>
  </r>
  <r>
    <n v="45252"/>
    <x v="735"/>
    <x v="20"/>
    <x v="0"/>
    <x v="3"/>
    <s v="Acco Pressboard Covers with Storage Hooks, 9 1/2&quot; x 11&quot;, Executive Red"/>
    <n v="12.19"/>
    <n v="4"/>
    <x v="889"/>
    <x v="10"/>
    <x v="2"/>
  </r>
  <r>
    <n v="45252"/>
    <x v="735"/>
    <x v="20"/>
    <x v="0"/>
    <x v="4"/>
    <s v="BIC Liqua Brite Liner"/>
    <n v="20.82"/>
    <n v="3"/>
    <x v="2977"/>
    <x v="10"/>
    <x v="2"/>
  </r>
  <r>
    <n v="45252"/>
    <x v="122"/>
    <x v="14"/>
    <x v="0"/>
    <x v="3"/>
    <s v="Ibico Standard Transparent Covers"/>
    <n v="49.44"/>
    <n v="3"/>
    <x v="1627"/>
    <x v="10"/>
    <x v="2"/>
  </r>
  <r>
    <n v="45252"/>
    <x v="617"/>
    <x v="0"/>
    <x v="0"/>
    <x v="3"/>
    <s v="Wilson Jones Impact Binders"/>
    <n v="6.22"/>
    <n v="6"/>
    <x v="3809"/>
    <x v="10"/>
    <x v="2"/>
  </r>
  <r>
    <n v="45252"/>
    <x v="617"/>
    <x v="0"/>
    <x v="0"/>
    <x v="4"/>
    <s v="Newell 348"/>
    <n v="23.62"/>
    <n v="9"/>
    <x v="1613"/>
    <x v="10"/>
    <x v="2"/>
  </r>
  <r>
    <n v="45252"/>
    <x v="617"/>
    <x v="0"/>
    <x v="2"/>
    <x v="9"/>
    <s v="KeyTronicÂ KT800P2 -Â KeyboardÂ - Black"/>
    <n v="24.03"/>
    <n v="2"/>
    <x v="260"/>
    <x v="10"/>
    <x v="2"/>
  </r>
  <r>
    <n v="45252"/>
    <x v="617"/>
    <x v="0"/>
    <x v="0"/>
    <x v="1"/>
    <s v="Avery 494"/>
    <n v="2.09"/>
    <n v="1"/>
    <x v="3547"/>
    <x v="10"/>
    <x v="2"/>
  </r>
  <r>
    <n v="45252"/>
    <x v="617"/>
    <x v="0"/>
    <x v="0"/>
    <x v="3"/>
    <s v="Accohide Poly Flexible Ring Binders"/>
    <n v="4.49"/>
    <n v="6"/>
    <x v="3810"/>
    <x v="10"/>
    <x v="2"/>
  </r>
  <r>
    <n v="45252"/>
    <x v="683"/>
    <x v="20"/>
    <x v="0"/>
    <x v="3"/>
    <s v="GBC Premium Transparent Covers with Diagonal Lined Pattern"/>
    <n v="134.27000000000001"/>
    <n v="8"/>
    <x v="3811"/>
    <x v="10"/>
    <x v="2"/>
  </r>
  <r>
    <n v="45253"/>
    <x v="465"/>
    <x v="2"/>
    <x v="0"/>
    <x v="7"/>
    <s v="Advantus Map Pennant Flags and Round Head Tacks"/>
    <n v="15.8"/>
    <n v="5"/>
    <x v="1036"/>
    <x v="10"/>
    <x v="2"/>
  </r>
  <r>
    <n v="45253"/>
    <x v="465"/>
    <x v="2"/>
    <x v="1"/>
    <x v="8"/>
    <s v="Nu-Dell Float Frame 11 x 14 1/2"/>
    <n v="14.37"/>
    <n v="2"/>
    <x v="383"/>
    <x v="10"/>
    <x v="2"/>
  </r>
  <r>
    <n v="45253"/>
    <x v="465"/>
    <x v="2"/>
    <x v="1"/>
    <x v="8"/>
    <s v="DAX Executive Solid Wood Document Frame, Desktop or Hang, Mahogany, 5 x 7"/>
    <n v="70.45"/>
    <n v="7"/>
    <x v="3163"/>
    <x v="10"/>
    <x v="2"/>
  </r>
  <r>
    <n v="45254"/>
    <x v="342"/>
    <x v="2"/>
    <x v="0"/>
    <x v="7"/>
    <s v="Stockwell Gold Paper Clips"/>
    <n v="4.42"/>
    <n v="3"/>
    <x v="121"/>
    <x v="10"/>
    <x v="2"/>
  </r>
  <r>
    <n v="45254"/>
    <x v="115"/>
    <x v="20"/>
    <x v="0"/>
    <x v="3"/>
    <s v="Acco PRESSTEX Data Binder with Storage Hooks, Light Blue, 9 1/2&quot; X 11&quot;"/>
    <n v="17.22"/>
    <n v="4"/>
    <x v="1175"/>
    <x v="10"/>
    <x v="2"/>
  </r>
  <r>
    <n v="45254"/>
    <x v="115"/>
    <x v="20"/>
    <x v="0"/>
    <x v="0"/>
    <s v="Xerox 196"/>
    <n v="11.56"/>
    <n v="2"/>
    <x v="814"/>
    <x v="10"/>
    <x v="2"/>
  </r>
  <r>
    <n v="45254"/>
    <x v="115"/>
    <x v="20"/>
    <x v="2"/>
    <x v="9"/>
    <s v="SanDisk Ultra 32 GB MicroSDHC Class 10 Memory Card"/>
    <n v="88.4"/>
    <n v="4"/>
    <x v="1088"/>
    <x v="10"/>
    <x v="2"/>
  </r>
  <r>
    <n v="45254"/>
    <x v="115"/>
    <x v="20"/>
    <x v="0"/>
    <x v="0"/>
    <s v="Xerox 217"/>
    <n v="6.48"/>
    <n v="1"/>
    <x v="1006"/>
    <x v="10"/>
    <x v="2"/>
  </r>
  <r>
    <n v="45254"/>
    <x v="538"/>
    <x v="3"/>
    <x v="2"/>
    <x v="6"/>
    <s v="iKross Bluetooth Portable Keyboard + Cell Phone Stand Holder + Brush for Apple iPhone 5S 5C 5, 4S 4"/>
    <n v="33.520000000000003"/>
    <n v="2"/>
    <x v="318"/>
    <x v="10"/>
    <x v="2"/>
  </r>
  <r>
    <n v="45254"/>
    <x v="538"/>
    <x v="3"/>
    <x v="1"/>
    <x v="8"/>
    <s v="DAX Value U-Channel Document Frames, Easel Back"/>
    <n v="9.94"/>
    <n v="2"/>
    <x v="20"/>
    <x v="10"/>
    <x v="2"/>
  </r>
  <r>
    <n v="45254"/>
    <x v="777"/>
    <x v="0"/>
    <x v="0"/>
    <x v="2"/>
    <s v="Sterilite Officeware Hinged File Box"/>
    <n v="41.92"/>
    <n v="5"/>
    <x v="3056"/>
    <x v="10"/>
    <x v="2"/>
  </r>
  <r>
    <n v="45254"/>
    <x v="777"/>
    <x v="0"/>
    <x v="2"/>
    <x v="9"/>
    <s v="Logitech G19 Programmable Gaming Keyboard"/>
    <n v="297.58"/>
    <n v="3"/>
    <x v="2590"/>
    <x v="10"/>
    <x v="2"/>
  </r>
  <r>
    <n v="45254"/>
    <x v="777"/>
    <x v="0"/>
    <x v="0"/>
    <x v="7"/>
    <s v="Colored Push Pins"/>
    <n v="4.34"/>
    <n v="3"/>
    <x v="1079"/>
    <x v="10"/>
    <x v="2"/>
  </r>
  <r>
    <n v="45254"/>
    <x v="777"/>
    <x v="0"/>
    <x v="2"/>
    <x v="9"/>
    <s v="Logitech G105 Gaming Keyboard"/>
    <n v="94.99"/>
    <n v="2"/>
    <x v="3812"/>
    <x v="10"/>
    <x v="2"/>
  </r>
  <r>
    <n v="45254"/>
    <x v="777"/>
    <x v="0"/>
    <x v="0"/>
    <x v="0"/>
    <s v="Xerox 1925"/>
    <n v="74.349999999999994"/>
    <n v="3"/>
    <x v="229"/>
    <x v="10"/>
    <x v="2"/>
  </r>
  <r>
    <n v="45254"/>
    <x v="777"/>
    <x v="0"/>
    <x v="0"/>
    <x v="4"/>
    <s v="Dixon My First Ticonderoga Pencil, #2"/>
    <n v="14.04"/>
    <n v="3"/>
    <x v="2286"/>
    <x v="10"/>
    <x v="2"/>
  </r>
  <r>
    <n v="45254"/>
    <x v="778"/>
    <x v="11"/>
    <x v="0"/>
    <x v="0"/>
    <s v="IBM Multi-Purpose Copy Paper, 8 1/2 x 11&quot;, Case"/>
    <n v="24.78"/>
    <n v="1"/>
    <x v="3813"/>
    <x v="10"/>
    <x v="2"/>
  </r>
  <r>
    <n v="45254"/>
    <x v="208"/>
    <x v="0"/>
    <x v="2"/>
    <x v="6"/>
    <s v="AT&amp;T 1080 Phone"/>
    <n v="657.55"/>
    <n v="6"/>
    <x v="3814"/>
    <x v="10"/>
    <x v="2"/>
  </r>
  <r>
    <n v="45254"/>
    <x v="569"/>
    <x v="3"/>
    <x v="2"/>
    <x v="9"/>
    <s v="Plantronics CS510 - Over-the-Head monaural Wireless Headset System"/>
    <n v="659.9"/>
    <n v="2"/>
    <x v="2331"/>
    <x v="10"/>
    <x v="2"/>
  </r>
  <r>
    <n v="45254"/>
    <x v="569"/>
    <x v="3"/>
    <x v="1"/>
    <x v="5"/>
    <s v="Global Leather Executive Chair"/>
    <n v="1684.75"/>
    <n v="6"/>
    <x v="3815"/>
    <x v="10"/>
    <x v="2"/>
  </r>
  <r>
    <n v="45254"/>
    <x v="569"/>
    <x v="3"/>
    <x v="2"/>
    <x v="9"/>
    <s v="Logitech G500s Laser Gaming Mouse with Adjustable Weight Tuning"/>
    <n v="559.91999999999996"/>
    <n v="8"/>
    <x v="3816"/>
    <x v="10"/>
    <x v="2"/>
  </r>
  <r>
    <n v="45254"/>
    <x v="482"/>
    <x v="22"/>
    <x v="0"/>
    <x v="3"/>
    <s v="Ibico Hi-Tech Manual Binding System"/>
    <n v="1219.96"/>
    <n v="5"/>
    <x v="3817"/>
    <x v="10"/>
    <x v="2"/>
  </r>
  <r>
    <n v="45254"/>
    <x v="174"/>
    <x v="36"/>
    <x v="1"/>
    <x v="8"/>
    <s v="Howard Miller 11-1/2&quot; Diameter Ridgewood Wall Clock"/>
    <n v="207.76"/>
    <n v="4"/>
    <x v="3818"/>
    <x v="10"/>
    <x v="2"/>
  </r>
  <r>
    <n v="45254"/>
    <x v="683"/>
    <x v="10"/>
    <x v="0"/>
    <x v="10"/>
    <s v="Brown Kraft Recycled Envelopes"/>
    <n v="40.75"/>
    <n v="3"/>
    <x v="3819"/>
    <x v="10"/>
    <x v="2"/>
  </r>
  <r>
    <n v="45254"/>
    <x v="683"/>
    <x v="10"/>
    <x v="2"/>
    <x v="9"/>
    <s v="V7 USB Numeric Keypad"/>
    <n v="139.96"/>
    <n v="5"/>
    <x v="3820"/>
    <x v="10"/>
    <x v="2"/>
  </r>
  <r>
    <n v="45254"/>
    <x v="748"/>
    <x v="22"/>
    <x v="0"/>
    <x v="14"/>
    <s v="Elite 5&quot; Scissors"/>
    <n v="25.35"/>
    <n v="3"/>
    <x v="2956"/>
    <x v="10"/>
    <x v="2"/>
  </r>
  <r>
    <n v="45254"/>
    <x v="528"/>
    <x v="22"/>
    <x v="1"/>
    <x v="8"/>
    <s v="Howard Miller Distant Time Traveler Alarm Clock"/>
    <n v="82.26"/>
    <n v="3"/>
    <x v="3650"/>
    <x v="10"/>
    <x v="2"/>
  </r>
  <r>
    <n v="45254"/>
    <x v="90"/>
    <x v="16"/>
    <x v="1"/>
    <x v="11"/>
    <s v="O'Sullivan Cherrywood Estates Traditional Bookcase"/>
    <n v="339.92"/>
    <n v="5"/>
    <x v="838"/>
    <x v="10"/>
    <x v="2"/>
  </r>
  <r>
    <n v="45254"/>
    <x v="90"/>
    <x v="16"/>
    <x v="0"/>
    <x v="0"/>
    <s v="Tops Wirebound Message Log Books"/>
    <n v="10.53"/>
    <n v="4"/>
    <x v="75"/>
    <x v="10"/>
    <x v="2"/>
  </r>
  <r>
    <n v="45254"/>
    <x v="90"/>
    <x v="16"/>
    <x v="0"/>
    <x v="12"/>
    <s v="Fellowes Advanced Computer Series Surge Protectors"/>
    <n v="42.38"/>
    <n v="2"/>
    <x v="390"/>
    <x v="10"/>
    <x v="2"/>
  </r>
  <r>
    <n v="45255"/>
    <x v="631"/>
    <x v="16"/>
    <x v="0"/>
    <x v="0"/>
    <s v="Telephone Message Books with Fax/Mobile Section, 5 1/2&quot; x 3 3/16&quot;"/>
    <n v="5.08"/>
    <n v="1"/>
    <x v="826"/>
    <x v="10"/>
    <x v="2"/>
  </r>
  <r>
    <n v="45255"/>
    <x v="455"/>
    <x v="23"/>
    <x v="0"/>
    <x v="2"/>
    <s v="Fellowes Strictly Business Drawer File, Letter/Legal Size"/>
    <n v="563.4"/>
    <n v="4"/>
    <x v="1705"/>
    <x v="10"/>
    <x v="2"/>
  </r>
  <r>
    <n v="45255"/>
    <x v="455"/>
    <x v="23"/>
    <x v="2"/>
    <x v="15"/>
    <s v="Konica Minolta magicolor 1690MF Multifunction Printer"/>
    <n v="319.92"/>
    <n v="8"/>
    <x v="3821"/>
    <x v="10"/>
    <x v="2"/>
  </r>
  <r>
    <n v="45255"/>
    <x v="287"/>
    <x v="13"/>
    <x v="2"/>
    <x v="6"/>
    <s v="OtterBox Defender Series Case - Samsung Galaxy S4"/>
    <n v="59.98"/>
    <n v="2"/>
    <x v="2373"/>
    <x v="10"/>
    <x v="2"/>
  </r>
  <r>
    <n v="45255"/>
    <x v="653"/>
    <x v="14"/>
    <x v="1"/>
    <x v="13"/>
    <s v="Chromcraft Round Conference Tables"/>
    <n v="1568.61"/>
    <n v="9"/>
    <x v="3822"/>
    <x v="10"/>
    <x v="2"/>
  </r>
  <r>
    <n v="45255"/>
    <x v="653"/>
    <x v="14"/>
    <x v="0"/>
    <x v="3"/>
    <s v="Wilson Jones International Size A4 Ring Binders"/>
    <n v="17.3"/>
    <n v="1"/>
    <x v="1109"/>
    <x v="10"/>
    <x v="2"/>
  </r>
  <r>
    <n v="45255"/>
    <x v="653"/>
    <x v="14"/>
    <x v="2"/>
    <x v="9"/>
    <s v="Memorex Mini Travel Drive 32 GB USB 2.0 Flash Drive"/>
    <n v="160"/>
    <n v="8"/>
    <x v="3823"/>
    <x v="10"/>
    <x v="2"/>
  </r>
  <r>
    <n v="45255"/>
    <x v="106"/>
    <x v="10"/>
    <x v="0"/>
    <x v="3"/>
    <s v="GBC Ibimaster 500 Manual ProClick Binding System"/>
    <n v="456.59"/>
    <n v="2"/>
    <x v="3824"/>
    <x v="10"/>
    <x v="2"/>
  </r>
  <r>
    <n v="45255"/>
    <x v="106"/>
    <x v="10"/>
    <x v="2"/>
    <x v="15"/>
    <s v="Cubify CubeX 3D Printer Double Head Print"/>
    <n v="4499.99"/>
    <n v="5"/>
    <x v="3825"/>
    <x v="10"/>
    <x v="2"/>
  </r>
  <r>
    <n v="45255"/>
    <x v="106"/>
    <x v="10"/>
    <x v="2"/>
    <x v="9"/>
    <s v="NETGEAR RangeMax WNR1000 Wireless Router"/>
    <n v="59.98"/>
    <n v="3"/>
    <x v="1471"/>
    <x v="10"/>
    <x v="2"/>
  </r>
  <r>
    <n v="45255"/>
    <x v="144"/>
    <x v="33"/>
    <x v="0"/>
    <x v="2"/>
    <s v="Sterilite Officeware Hinged File Box"/>
    <n v="73.36"/>
    <n v="7"/>
    <x v="3826"/>
    <x v="10"/>
    <x v="2"/>
  </r>
  <r>
    <n v="45255"/>
    <x v="294"/>
    <x v="3"/>
    <x v="1"/>
    <x v="5"/>
    <s v="Padded Folding Chairs, Black, 4/Carton"/>
    <n v="194.35"/>
    <n v="3"/>
    <x v="503"/>
    <x v="10"/>
    <x v="2"/>
  </r>
  <r>
    <n v="45256"/>
    <x v="231"/>
    <x v="33"/>
    <x v="0"/>
    <x v="0"/>
    <s v="Easy-staple paper"/>
    <n v="70.98"/>
    <n v="7"/>
    <x v="3827"/>
    <x v="10"/>
    <x v="2"/>
  </r>
  <r>
    <n v="45256"/>
    <x v="231"/>
    <x v="33"/>
    <x v="0"/>
    <x v="3"/>
    <s v="Surelock Post Binders"/>
    <n v="91.68"/>
    <n v="3"/>
    <x v="433"/>
    <x v="10"/>
    <x v="2"/>
  </r>
  <r>
    <n v="45256"/>
    <x v="231"/>
    <x v="33"/>
    <x v="0"/>
    <x v="3"/>
    <s v="Wilson Jones DublLock D-Ring Binders"/>
    <n v="33.75"/>
    <n v="5"/>
    <x v="3828"/>
    <x v="10"/>
    <x v="2"/>
  </r>
  <r>
    <n v="45256"/>
    <x v="231"/>
    <x v="33"/>
    <x v="2"/>
    <x v="15"/>
    <s v="Hewlett-Packard Deskjet 3050a All-in-One Color Inkjet Printer"/>
    <n v="3040"/>
    <n v="8"/>
    <x v="3829"/>
    <x v="10"/>
    <x v="2"/>
  </r>
  <r>
    <n v="45256"/>
    <x v="498"/>
    <x v="22"/>
    <x v="0"/>
    <x v="3"/>
    <s v="Newell 3-Hole Punched Plastic Slotted Magazine Holders for Binders"/>
    <n v="7.31"/>
    <n v="2"/>
    <x v="1393"/>
    <x v="10"/>
    <x v="2"/>
  </r>
  <r>
    <n v="45256"/>
    <x v="189"/>
    <x v="2"/>
    <x v="2"/>
    <x v="6"/>
    <s v="Mitel MiVoice 5330e IP Phone"/>
    <n v="494.98"/>
    <n v="3"/>
    <x v="3830"/>
    <x v="10"/>
    <x v="2"/>
  </r>
  <r>
    <n v="45256"/>
    <x v="205"/>
    <x v="16"/>
    <x v="0"/>
    <x v="3"/>
    <s v="Zipper Ring Binder Pockets"/>
    <n v="3.74"/>
    <n v="4"/>
    <x v="3831"/>
    <x v="10"/>
    <x v="2"/>
  </r>
  <r>
    <n v="45256"/>
    <x v="78"/>
    <x v="20"/>
    <x v="1"/>
    <x v="13"/>
    <s v="Bevis Oval Conference Table, Walnut"/>
    <n v="313.18"/>
    <n v="2"/>
    <x v="3832"/>
    <x v="10"/>
    <x v="2"/>
  </r>
  <r>
    <n v="45256"/>
    <x v="208"/>
    <x v="0"/>
    <x v="0"/>
    <x v="4"/>
    <s v="DIXON Ticonderoga Erasable Checking Pencils"/>
    <n v="17.86"/>
    <n v="4"/>
    <x v="390"/>
    <x v="10"/>
    <x v="2"/>
  </r>
  <r>
    <n v="45256"/>
    <x v="33"/>
    <x v="37"/>
    <x v="2"/>
    <x v="9"/>
    <s v="Micropad Numeric Keypads"/>
    <n v="59.97"/>
    <n v="3"/>
    <x v="405"/>
    <x v="10"/>
    <x v="2"/>
  </r>
  <r>
    <n v="45256"/>
    <x v="33"/>
    <x v="37"/>
    <x v="0"/>
    <x v="0"/>
    <s v="Xerox 1959"/>
    <n v="13.36"/>
    <n v="2"/>
    <x v="846"/>
    <x v="10"/>
    <x v="2"/>
  </r>
  <r>
    <n v="45256"/>
    <x v="281"/>
    <x v="2"/>
    <x v="0"/>
    <x v="3"/>
    <s v="Binding Machine Supplies"/>
    <n v="78.760000000000005"/>
    <n v="9"/>
    <x v="3833"/>
    <x v="10"/>
    <x v="2"/>
  </r>
  <r>
    <n v="45256"/>
    <x v="389"/>
    <x v="3"/>
    <x v="1"/>
    <x v="11"/>
    <s v="DMI Eclipse Executive Suite Bookcases"/>
    <n v="3406.66"/>
    <n v="8"/>
    <x v="3834"/>
    <x v="10"/>
    <x v="2"/>
  </r>
  <r>
    <n v="45256"/>
    <x v="389"/>
    <x v="3"/>
    <x v="0"/>
    <x v="4"/>
    <s v="Newell 31"/>
    <n v="37.17"/>
    <n v="9"/>
    <x v="2183"/>
    <x v="10"/>
    <x v="2"/>
  </r>
  <r>
    <n v="45256"/>
    <x v="389"/>
    <x v="3"/>
    <x v="0"/>
    <x v="12"/>
    <s v="Belkin F9S820V06 8 Outlet Surge"/>
    <n v="64.959999999999994"/>
    <n v="2"/>
    <x v="3835"/>
    <x v="10"/>
    <x v="2"/>
  </r>
  <r>
    <n v="45256"/>
    <x v="389"/>
    <x v="3"/>
    <x v="1"/>
    <x v="8"/>
    <s v="GE 48&quot; Fluorescent Tube, Cool White Energy Saver, 34 Watts, 30/Box"/>
    <n v="595.38"/>
    <n v="6"/>
    <x v="1857"/>
    <x v="10"/>
    <x v="2"/>
  </r>
  <r>
    <n v="45257"/>
    <x v="480"/>
    <x v="1"/>
    <x v="0"/>
    <x v="2"/>
    <s v="SAFCO Commercial Wire Shelving, 72h"/>
    <n v="97.98"/>
    <n v="2"/>
    <x v="3836"/>
    <x v="10"/>
    <x v="2"/>
  </r>
  <r>
    <n v="45257"/>
    <x v="480"/>
    <x v="1"/>
    <x v="2"/>
    <x v="9"/>
    <s v="Memorex Micro Travel Drive 8 GB"/>
    <n v="62.4"/>
    <n v="6"/>
    <x v="3837"/>
    <x v="10"/>
    <x v="2"/>
  </r>
  <r>
    <n v="45257"/>
    <x v="583"/>
    <x v="12"/>
    <x v="2"/>
    <x v="6"/>
    <s v="Motorola Moto X"/>
    <n v="271.99"/>
    <n v="1"/>
    <x v="3838"/>
    <x v="10"/>
    <x v="2"/>
  </r>
  <r>
    <n v="45257"/>
    <x v="668"/>
    <x v="14"/>
    <x v="0"/>
    <x v="12"/>
    <s v="Euro-Pro Shark Turbo Vacuum"/>
    <n v="167.29"/>
    <n v="6"/>
    <x v="3839"/>
    <x v="10"/>
    <x v="2"/>
  </r>
  <r>
    <n v="45257"/>
    <x v="274"/>
    <x v="42"/>
    <x v="2"/>
    <x v="9"/>
    <s v="Verbatim 25 GB 6x Blu-ray Single Layer Recordable Disc, 3/Pack"/>
    <n v="34.950000000000003"/>
    <n v="5"/>
    <x v="3840"/>
    <x v="10"/>
    <x v="2"/>
  </r>
  <r>
    <n v="45257"/>
    <x v="274"/>
    <x v="42"/>
    <x v="0"/>
    <x v="3"/>
    <s v="Ibico Plastic Spiral Binding Combs"/>
    <n v="152"/>
    <n v="5"/>
    <x v="3841"/>
    <x v="10"/>
    <x v="2"/>
  </r>
  <r>
    <n v="45257"/>
    <x v="593"/>
    <x v="23"/>
    <x v="1"/>
    <x v="8"/>
    <s v="Ultra Door Pull Handle"/>
    <n v="31.56"/>
    <n v="3"/>
    <x v="2183"/>
    <x v="10"/>
    <x v="2"/>
  </r>
  <r>
    <n v="45257"/>
    <x v="221"/>
    <x v="16"/>
    <x v="2"/>
    <x v="6"/>
    <s v="Wi-Ex zBoost YX540 Cellular Phone Signal Booster"/>
    <n v="116.76"/>
    <n v="1"/>
    <x v="3842"/>
    <x v="10"/>
    <x v="2"/>
  </r>
  <r>
    <n v="45257"/>
    <x v="221"/>
    <x v="16"/>
    <x v="1"/>
    <x v="13"/>
    <s v="KI Adjustable-Height Table"/>
    <n v="331.02"/>
    <n v="7"/>
    <x v="3843"/>
    <x v="10"/>
    <x v="2"/>
  </r>
  <r>
    <n v="45257"/>
    <x v="752"/>
    <x v="12"/>
    <x v="0"/>
    <x v="2"/>
    <s v="Eldon Simplefile Box Office"/>
    <n v="39.81"/>
    <n v="4"/>
    <x v="3393"/>
    <x v="10"/>
    <x v="2"/>
  </r>
  <r>
    <n v="45257"/>
    <x v="92"/>
    <x v="23"/>
    <x v="0"/>
    <x v="0"/>
    <s v="Xerox 215"/>
    <n v="25.92"/>
    <n v="4"/>
    <x v="496"/>
    <x v="10"/>
    <x v="2"/>
  </r>
  <r>
    <n v="45257"/>
    <x v="92"/>
    <x v="23"/>
    <x v="0"/>
    <x v="4"/>
    <s v="Newell 324"/>
    <n v="34.65"/>
    <n v="3"/>
    <x v="420"/>
    <x v="10"/>
    <x v="2"/>
  </r>
  <r>
    <n v="45257"/>
    <x v="92"/>
    <x v="23"/>
    <x v="0"/>
    <x v="0"/>
    <s v="Xerox 1945"/>
    <n v="204.95"/>
    <n v="5"/>
    <x v="3844"/>
    <x v="10"/>
    <x v="2"/>
  </r>
  <r>
    <n v="45257"/>
    <x v="92"/>
    <x v="23"/>
    <x v="0"/>
    <x v="3"/>
    <s v="GBC Pre-Punched Binding Paper, Plastic, White, 8-1/2&quot; x 11&quot;"/>
    <n v="79.95"/>
    <n v="5"/>
    <x v="3069"/>
    <x v="10"/>
    <x v="2"/>
  </r>
  <r>
    <n v="45258"/>
    <x v="779"/>
    <x v="37"/>
    <x v="0"/>
    <x v="3"/>
    <s v="Avery Poly Binder Pockets"/>
    <n v="7.16"/>
    <n v="2"/>
    <x v="951"/>
    <x v="10"/>
    <x v="2"/>
  </r>
  <r>
    <n v="45258"/>
    <x v="8"/>
    <x v="16"/>
    <x v="0"/>
    <x v="3"/>
    <s v="ACCOHIDE Binder by Acco"/>
    <n v="7.43"/>
    <n v="6"/>
    <x v="3845"/>
    <x v="10"/>
    <x v="2"/>
  </r>
  <r>
    <n v="45258"/>
    <x v="211"/>
    <x v="4"/>
    <x v="1"/>
    <x v="5"/>
    <s v="Global Push Button Manager's Chair, Indigo"/>
    <n v="182.67"/>
    <n v="3"/>
    <x v="3846"/>
    <x v="10"/>
    <x v="2"/>
  </r>
  <r>
    <n v="45258"/>
    <x v="211"/>
    <x v="4"/>
    <x v="2"/>
    <x v="9"/>
    <s v="Kingston Digital DataTraveler 32GB USB 2.0"/>
    <n v="101.7"/>
    <n v="6"/>
    <x v="2622"/>
    <x v="10"/>
    <x v="2"/>
  </r>
  <r>
    <n v="45258"/>
    <x v="211"/>
    <x v="4"/>
    <x v="0"/>
    <x v="2"/>
    <s v="Tennsco Single-Tier Lockers"/>
    <n v="1126.02"/>
    <n v="3"/>
    <x v="3847"/>
    <x v="10"/>
    <x v="2"/>
  </r>
  <r>
    <n v="45258"/>
    <x v="211"/>
    <x v="4"/>
    <x v="0"/>
    <x v="2"/>
    <s v="24 Capacity Maxi Data Binder Racks, Pearl"/>
    <n v="1263.3"/>
    <n v="6"/>
    <x v="3848"/>
    <x v="10"/>
    <x v="2"/>
  </r>
  <r>
    <n v="45258"/>
    <x v="171"/>
    <x v="2"/>
    <x v="2"/>
    <x v="6"/>
    <s v="Wireless Extenders zBoost YX545 SOHO Signal Booster"/>
    <n v="340.18"/>
    <n v="3"/>
    <x v="3849"/>
    <x v="10"/>
    <x v="2"/>
  </r>
  <r>
    <n v="45258"/>
    <x v="171"/>
    <x v="2"/>
    <x v="0"/>
    <x v="7"/>
    <s v="Translucent Push Pins by OIC"/>
    <n v="12.67"/>
    <n v="8"/>
    <x v="773"/>
    <x v="10"/>
    <x v="2"/>
  </r>
  <r>
    <n v="45258"/>
    <x v="171"/>
    <x v="2"/>
    <x v="0"/>
    <x v="3"/>
    <s v="GBC Plasticlear Binding Covers"/>
    <n v="6.89"/>
    <n v="2"/>
    <x v="3850"/>
    <x v="10"/>
    <x v="2"/>
  </r>
  <r>
    <n v="45258"/>
    <x v="171"/>
    <x v="2"/>
    <x v="0"/>
    <x v="2"/>
    <s v="Tennsco Commercial Shelving"/>
    <n v="32.54"/>
    <n v="2"/>
    <x v="3851"/>
    <x v="10"/>
    <x v="2"/>
  </r>
  <r>
    <n v="45258"/>
    <x v="171"/>
    <x v="2"/>
    <x v="1"/>
    <x v="5"/>
    <s v="Situations Contoured Folding Chairs, 4/Set"/>
    <n v="347.8"/>
    <n v="7"/>
    <x v="3499"/>
    <x v="10"/>
    <x v="2"/>
  </r>
  <r>
    <n v="45259"/>
    <x v="317"/>
    <x v="0"/>
    <x v="2"/>
    <x v="9"/>
    <s v="Memorex Micro Travel Drive 32 GB"/>
    <n v="58.42"/>
    <n v="2"/>
    <x v="1051"/>
    <x v="10"/>
    <x v="2"/>
  </r>
  <r>
    <n v="45259"/>
    <x v="108"/>
    <x v="1"/>
    <x v="1"/>
    <x v="8"/>
    <s v="Tenex Chairmat w/ Average Lip, 45&quot; x 53&quot;"/>
    <n v="242.18"/>
    <n v="4"/>
    <x v="3852"/>
    <x v="10"/>
    <x v="2"/>
  </r>
  <r>
    <n v="45260"/>
    <x v="622"/>
    <x v="25"/>
    <x v="2"/>
    <x v="6"/>
    <s v="AT&amp;T 17929 Lendline Telephone"/>
    <n v="36.19"/>
    <n v="1"/>
    <x v="24"/>
    <x v="10"/>
    <x v="2"/>
  </r>
  <r>
    <n v="45260"/>
    <x v="206"/>
    <x v="14"/>
    <x v="0"/>
    <x v="0"/>
    <s v="REDIFORM Incoming/Outgoing Call Register, 11&quot; X 8 1/2&quot;, 100 Messages"/>
    <n v="33.36"/>
    <n v="4"/>
    <x v="1760"/>
    <x v="10"/>
    <x v="2"/>
  </r>
  <r>
    <n v="45260"/>
    <x v="206"/>
    <x v="14"/>
    <x v="0"/>
    <x v="0"/>
    <s v="Adams Phone Message Book, 200 Message Capacity, 8 1/16Â” x 11Â”"/>
    <n v="13.76"/>
    <n v="2"/>
    <x v="3853"/>
    <x v="10"/>
    <x v="2"/>
  </r>
  <r>
    <n v="45260"/>
    <x v="206"/>
    <x v="14"/>
    <x v="0"/>
    <x v="2"/>
    <s v="Sensible Storage WireTech Storage Systems"/>
    <n v="496.86"/>
    <n v="7"/>
    <x v="3727"/>
    <x v="10"/>
    <x v="2"/>
  </r>
  <r>
    <n v="45260"/>
    <x v="206"/>
    <x v="14"/>
    <x v="1"/>
    <x v="5"/>
    <s v="High-Back Leather Manager's Chair"/>
    <n v="389.97"/>
    <n v="3"/>
    <x v="2441"/>
    <x v="10"/>
    <x v="2"/>
  </r>
  <r>
    <n v="45261"/>
    <x v="333"/>
    <x v="28"/>
    <x v="0"/>
    <x v="0"/>
    <s v="Universal Premium White Copier/Laser Paper (20Lb. and 87 Bright)"/>
    <n v="23.92"/>
    <n v="4"/>
    <x v="1564"/>
    <x v="11"/>
    <x v="2"/>
  </r>
  <r>
    <n v="45261"/>
    <x v="264"/>
    <x v="36"/>
    <x v="1"/>
    <x v="5"/>
    <s v="Harbour Creations Steel Folding Chair"/>
    <n v="172.5"/>
    <n v="2"/>
    <x v="3854"/>
    <x v="11"/>
    <x v="2"/>
  </r>
  <r>
    <n v="45261"/>
    <x v="264"/>
    <x v="36"/>
    <x v="2"/>
    <x v="6"/>
    <s v="JBL Micro Wireless Portable Bluetooth Speaker"/>
    <n v="179.97"/>
    <n v="3"/>
    <x v="2467"/>
    <x v="11"/>
    <x v="2"/>
  </r>
  <r>
    <n v="45261"/>
    <x v="247"/>
    <x v="18"/>
    <x v="1"/>
    <x v="8"/>
    <s v="DAX Cubicle Frames - 8x10"/>
    <n v="17.309999999999999"/>
    <n v="3"/>
    <x v="376"/>
    <x v="11"/>
    <x v="2"/>
  </r>
  <r>
    <n v="45261"/>
    <x v="156"/>
    <x v="15"/>
    <x v="0"/>
    <x v="4"/>
    <s v="Newell 343"/>
    <n v="4.7"/>
    <n v="2"/>
    <x v="1018"/>
    <x v="11"/>
    <x v="2"/>
  </r>
  <r>
    <n v="45261"/>
    <x v="319"/>
    <x v="3"/>
    <x v="1"/>
    <x v="8"/>
    <s v="Westinghouse Clip-On Gooseneck Lamps"/>
    <n v="16.739999999999998"/>
    <n v="2"/>
    <x v="1787"/>
    <x v="11"/>
    <x v="2"/>
  </r>
  <r>
    <n v="45261"/>
    <x v="373"/>
    <x v="37"/>
    <x v="0"/>
    <x v="3"/>
    <s v="XtraLife ClearVue Slant-D Ring Binder, White, 3&quot;"/>
    <n v="88.08"/>
    <n v="6"/>
    <x v="3855"/>
    <x v="11"/>
    <x v="2"/>
  </r>
  <r>
    <n v="45261"/>
    <x v="373"/>
    <x v="37"/>
    <x v="1"/>
    <x v="5"/>
    <s v="Hon Every-Day Series Multi-Task Chairs"/>
    <n v="751.92"/>
    <n v="4"/>
    <x v="3856"/>
    <x v="11"/>
    <x v="2"/>
  </r>
  <r>
    <n v="45261"/>
    <x v="30"/>
    <x v="25"/>
    <x v="2"/>
    <x v="6"/>
    <s v="Jabra Supreme Plus Driver EditionÂ Headset"/>
    <n v="863.93"/>
    <n v="9"/>
    <x v="103"/>
    <x v="11"/>
    <x v="2"/>
  </r>
  <r>
    <n v="45261"/>
    <x v="522"/>
    <x v="0"/>
    <x v="1"/>
    <x v="5"/>
    <s v="Situations Contoured Folding Chairs, 4/Set"/>
    <n v="248.43"/>
    <n v="5"/>
    <x v="3857"/>
    <x v="11"/>
    <x v="2"/>
  </r>
  <r>
    <n v="45261"/>
    <x v="522"/>
    <x v="0"/>
    <x v="0"/>
    <x v="12"/>
    <s v="Acco 6 Outlet Guardian Premium Surge Suppressor"/>
    <n v="11.65"/>
    <n v="4"/>
    <x v="3858"/>
    <x v="11"/>
    <x v="2"/>
  </r>
  <r>
    <n v="45261"/>
    <x v="522"/>
    <x v="0"/>
    <x v="1"/>
    <x v="5"/>
    <s v="Global Push Button Manager's Chair, Indigo"/>
    <n v="85.25"/>
    <n v="2"/>
    <x v="3510"/>
    <x v="11"/>
    <x v="2"/>
  </r>
  <r>
    <n v="45261"/>
    <x v="67"/>
    <x v="32"/>
    <x v="2"/>
    <x v="6"/>
    <s v="Jensen SMPS-640 -Â speaker phone"/>
    <n v="137.94"/>
    <n v="3"/>
    <x v="3859"/>
    <x v="11"/>
    <x v="2"/>
  </r>
  <r>
    <n v="45261"/>
    <x v="67"/>
    <x v="32"/>
    <x v="1"/>
    <x v="8"/>
    <s v="Executive Impressions 14&quot;"/>
    <n v="111.15"/>
    <n v="5"/>
    <x v="1375"/>
    <x v="11"/>
    <x v="2"/>
  </r>
  <r>
    <n v="45261"/>
    <x v="67"/>
    <x v="32"/>
    <x v="0"/>
    <x v="12"/>
    <s v="Honeywell Enviracaire Portable HEPA Air Cleaner for 17' x 22' Room"/>
    <n v="901.95"/>
    <n v="3"/>
    <x v="3014"/>
    <x v="11"/>
    <x v="2"/>
  </r>
  <r>
    <n v="45261"/>
    <x v="67"/>
    <x v="32"/>
    <x v="1"/>
    <x v="13"/>
    <s v="Chromcraft Round Conference Tables"/>
    <n v="366.01"/>
    <n v="3"/>
    <x v="3860"/>
    <x v="11"/>
    <x v="2"/>
  </r>
  <r>
    <n v="45261"/>
    <x v="104"/>
    <x v="6"/>
    <x v="0"/>
    <x v="12"/>
    <s v="Honeywell Enviracaire Portable HEPA Air Cleaner for 17' x 22' Room"/>
    <n v="2104.5500000000002"/>
    <n v="7"/>
    <x v="3861"/>
    <x v="11"/>
    <x v="2"/>
  </r>
  <r>
    <n v="45261"/>
    <x v="104"/>
    <x v="6"/>
    <x v="0"/>
    <x v="14"/>
    <s v="Acme Softgrip Scissors"/>
    <n v="40.700000000000003"/>
    <n v="5"/>
    <x v="699"/>
    <x v="11"/>
    <x v="2"/>
  </r>
  <r>
    <n v="45261"/>
    <x v="162"/>
    <x v="3"/>
    <x v="1"/>
    <x v="8"/>
    <s v="Tenex Chairmats For Use With Carpeted Floors"/>
    <n v="31.96"/>
    <n v="2"/>
    <x v="121"/>
    <x v="11"/>
    <x v="2"/>
  </r>
  <r>
    <n v="45261"/>
    <x v="162"/>
    <x v="3"/>
    <x v="0"/>
    <x v="0"/>
    <s v="Xerox 1886"/>
    <n v="47.9"/>
    <n v="1"/>
    <x v="356"/>
    <x v="11"/>
    <x v="2"/>
  </r>
  <r>
    <n v="45261"/>
    <x v="162"/>
    <x v="3"/>
    <x v="0"/>
    <x v="2"/>
    <s v="Sauder Facets Collection Locker/File Cabinet, Sky Alder Finish"/>
    <n v="1112.94"/>
    <n v="3"/>
    <x v="3862"/>
    <x v="11"/>
    <x v="2"/>
  </r>
  <r>
    <n v="45261"/>
    <x v="162"/>
    <x v="3"/>
    <x v="0"/>
    <x v="10"/>
    <s v="#10- 4 1/8&quot; x 9 1/2&quot; Security-Tint Envelopes"/>
    <n v="22.92"/>
    <n v="3"/>
    <x v="1771"/>
    <x v="11"/>
    <x v="2"/>
  </r>
  <r>
    <n v="45261"/>
    <x v="470"/>
    <x v="3"/>
    <x v="0"/>
    <x v="4"/>
    <s v="Sanford Colorific Colored Pencils, 12/Box"/>
    <n v="23.04"/>
    <n v="8"/>
    <x v="112"/>
    <x v="11"/>
    <x v="2"/>
  </r>
  <r>
    <n v="45262"/>
    <x v="575"/>
    <x v="3"/>
    <x v="0"/>
    <x v="0"/>
    <s v="Xerox 192"/>
    <n v="25.92"/>
    <n v="4"/>
    <x v="496"/>
    <x v="11"/>
    <x v="2"/>
  </r>
  <r>
    <n v="45262"/>
    <x v="575"/>
    <x v="3"/>
    <x v="0"/>
    <x v="0"/>
    <s v="HP Office Recycled Paper (20Lb. and 87 Bright)"/>
    <n v="40.46"/>
    <n v="7"/>
    <x v="2375"/>
    <x v="11"/>
    <x v="2"/>
  </r>
  <r>
    <n v="45262"/>
    <x v="575"/>
    <x v="3"/>
    <x v="0"/>
    <x v="2"/>
    <s v="X-Rack File for Hanging Folders"/>
    <n v="33.869999999999997"/>
    <n v="3"/>
    <x v="109"/>
    <x v="11"/>
    <x v="2"/>
  </r>
  <r>
    <n v="45262"/>
    <x v="435"/>
    <x v="3"/>
    <x v="0"/>
    <x v="3"/>
    <s v="GBC VeloBind Cover Sets"/>
    <n v="24.7"/>
    <n v="2"/>
    <x v="713"/>
    <x v="11"/>
    <x v="2"/>
  </r>
  <r>
    <n v="45262"/>
    <x v="435"/>
    <x v="3"/>
    <x v="0"/>
    <x v="12"/>
    <s v="Holmes Cool Mist Humidifier for the Whole House with 8-Gallon Output per Day, Extended Life Filter"/>
    <n v="59.7"/>
    <n v="3"/>
    <x v="581"/>
    <x v="11"/>
    <x v="2"/>
  </r>
  <r>
    <n v="45262"/>
    <x v="435"/>
    <x v="3"/>
    <x v="1"/>
    <x v="8"/>
    <s v="Eldon Regeneration Recycled Desk Accessories, Black"/>
    <n v="14.52"/>
    <n v="3"/>
    <x v="814"/>
    <x v="11"/>
    <x v="2"/>
  </r>
  <r>
    <n v="45262"/>
    <x v="435"/>
    <x v="3"/>
    <x v="0"/>
    <x v="3"/>
    <s v="Satellite Sectional Post Binders"/>
    <n v="104.18"/>
    <n v="3"/>
    <x v="3863"/>
    <x v="11"/>
    <x v="2"/>
  </r>
  <r>
    <n v="45262"/>
    <x v="35"/>
    <x v="43"/>
    <x v="0"/>
    <x v="2"/>
    <s v="Deluxe Rollaway Locking File with Drawer"/>
    <n v="2079.4"/>
    <n v="5"/>
    <x v="3864"/>
    <x v="11"/>
    <x v="2"/>
  </r>
  <r>
    <n v="45262"/>
    <x v="35"/>
    <x v="43"/>
    <x v="2"/>
    <x v="6"/>
    <s v="VTech DS6151"/>
    <n v="629.95000000000005"/>
    <n v="5"/>
    <x v="2357"/>
    <x v="11"/>
    <x v="2"/>
  </r>
  <r>
    <n v="45262"/>
    <x v="35"/>
    <x v="43"/>
    <x v="1"/>
    <x v="8"/>
    <s v="Eldon 500 Class Desk Accessories"/>
    <n v="72.42"/>
    <n v="6"/>
    <x v="3865"/>
    <x v="11"/>
    <x v="2"/>
  </r>
  <r>
    <n v="45262"/>
    <x v="509"/>
    <x v="20"/>
    <x v="0"/>
    <x v="3"/>
    <s v="Ibico EB-19 Dual Function Manual Binding System"/>
    <n v="415.18"/>
    <n v="3"/>
    <x v="3866"/>
    <x v="11"/>
    <x v="2"/>
  </r>
  <r>
    <n v="45262"/>
    <x v="509"/>
    <x v="20"/>
    <x v="0"/>
    <x v="3"/>
    <s v="XtraLife ClearVue Slant-D Ring Binder, White, 3&quot;"/>
    <n v="35.229999999999997"/>
    <n v="3"/>
    <x v="2240"/>
    <x v="11"/>
    <x v="2"/>
  </r>
  <r>
    <n v="45262"/>
    <x v="509"/>
    <x v="20"/>
    <x v="0"/>
    <x v="0"/>
    <s v="Green Bar Computer Printout Paper"/>
    <n v="54.96"/>
    <n v="1"/>
    <x v="3867"/>
    <x v="11"/>
    <x v="2"/>
  </r>
  <r>
    <n v="45262"/>
    <x v="464"/>
    <x v="26"/>
    <x v="2"/>
    <x v="9"/>
    <s v="WD My Passport Ultra 1TB Portable External Hard Drive"/>
    <n v="165.6"/>
    <n v="3"/>
    <x v="2859"/>
    <x v="11"/>
    <x v="2"/>
  </r>
  <r>
    <n v="45262"/>
    <x v="203"/>
    <x v="30"/>
    <x v="0"/>
    <x v="3"/>
    <s v="GBC White Gloss Covers, Plain Front"/>
    <n v="115.84"/>
    <n v="8"/>
    <x v="3868"/>
    <x v="11"/>
    <x v="2"/>
  </r>
  <r>
    <n v="45262"/>
    <x v="168"/>
    <x v="0"/>
    <x v="1"/>
    <x v="11"/>
    <s v="Sauder Camden County Collection Library"/>
    <n v="781.86"/>
    <n v="10"/>
    <x v="3869"/>
    <x v="11"/>
    <x v="2"/>
  </r>
  <r>
    <n v="45262"/>
    <x v="168"/>
    <x v="0"/>
    <x v="0"/>
    <x v="0"/>
    <s v="Xerox 1962"/>
    <n v="30.82"/>
    <n v="9"/>
    <x v="1196"/>
    <x v="11"/>
    <x v="2"/>
  </r>
  <r>
    <n v="45263"/>
    <x v="709"/>
    <x v="20"/>
    <x v="0"/>
    <x v="0"/>
    <s v="Xerox 1964"/>
    <n v="182.72"/>
    <n v="8"/>
    <x v="1643"/>
    <x v="11"/>
    <x v="2"/>
  </r>
  <r>
    <n v="45263"/>
    <x v="709"/>
    <x v="20"/>
    <x v="1"/>
    <x v="13"/>
    <s v="Bevis Traditional Conference Table Top, Plinth Base"/>
    <n v="400.03"/>
    <n v="2"/>
    <x v="3870"/>
    <x v="11"/>
    <x v="2"/>
  </r>
  <r>
    <n v="45263"/>
    <x v="709"/>
    <x v="20"/>
    <x v="0"/>
    <x v="2"/>
    <s v="Personal Folder Holder, Ebony"/>
    <n v="33.630000000000003"/>
    <n v="3"/>
    <x v="2656"/>
    <x v="11"/>
    <x v="2"/>
  </r>
  <r>
    <n v="45263"/>
    <x v="709"/>
    <x v="20"/>
    <x v="1"/>
    <x v="5"/>
    <s v="Global Leather Highback Executive Chair with Pneumatic Height Adjustment, Black"/>
    <n v="542.65"/>
    <n v="3"/>
    <x v="3871"/>
    <x v="11"/>
    <x v="2"/>
  </r>
  <r>
    <n v="45263"/>
    <x v="709"/>
    <x v="20"/>
    <x v="0"/>
    <x v="1"/>
    <s v="Avery 520"/>
    <n v="6.3"/>
    <n v="2"/>
    <x v="3354"/>
    <x v="11"/>
    <x v="2"/>
  </r>
  <r>
    <n v="45263"/>
    <x v="740"/>
    <x v="2"/>
    <x v="0"/>
    <x v="12"/>
    <s v="Honeywell Enviracaire Portable HEPA Air Cleaner for up to 10 x 16 Room"/>
    <n v="394.82"/>
    <n v="4"/>
    <x v="3872"/>
    <x v="11"/>
    <x v="2"/>
  </r>
  <r>
    <n v="45263"/>
    <x v="740"/>
    <x v="2"/>
    <x v="0"/>
    <x v="3"/>
    <s v="GBC Clear Cover, 8-1/2 x 11, unpunched, 25 covers per pack"/>
    <n v="18.190000000000001"/>
    <n v="4"/>
    <x v="3873"/>
    <x v="11"/>
    <x v="2"/>
  </r>
  <r>
    <n v="45263"/>
    <x v="685"/>
    <x v="3"/>
    <x v="2"/>
    <x v="9"/>
    <s v="LogitechÂ Z-906 Speaker sys - home theater - 5.1-CH"/>
    <n v="1649.95"/>
    <n v="5"/>
    <x v="3874"/>
    <x v="11"/>
    <x v="2"/>
  </r>
  <r>
    <n v="45263"/>
    <x v="685"/>
    <x v="3"/>
    <x v="1"/>
    <x v="8"/>
    <s v="3M Polarizing Light Filter Sleeves"/>
    <n v="111.9"/>
    <n v="6"/>
    <x v="3875"/>
    <x v="11"/>
    <x v="2"/>
  </r>
  <r>
    <n v="45263"/>
    <x v="13"/>
    <x v="18"/>
    <x v="1"/>
    <x v="13"/>
    <s v="Hon 5100 Series Wood Tables"/>
    <n v="581.96"/>
    <n v="2"/>
    <x v="3876"/>
    <x v="11"/>
    <x v="2"/>
  </r>
  <r>
    <n v="45263"/>
    <x v="13"/>
    <x v="18"/>
    <x v="1"/>
    <x v="5"/>
    <s v="Global Stack Chair with Arms, Black"/>
    <n v="29.98"/>
    <n v="1"/>
    <x v="2184"/>
    <x v="11"/>
    <x v="2"/>
  </r>
  <r>
    <n v="45263"/>
    <x v="95"/>
    <x v="3"/>
    <x v="0"/>
    <x v="2"/>
    <s v="Fellowes Staxonsteel Drawer Files"/>
    <n v="772.68"/>
    <n v="4"/>
    <x v="2287"/>
    <x v="11"/>
    <x v="2"/>
  </r>
  <r>
    <n v="45263"/>
    <x v="310"/>
    <x v="3"/>
    <x v="1"/>
    <x v="13"/>
    <s v="Hon 4060 Series Tables"/>
    <n v="268.7"/>
    <n v="3"/>
    <x v="1690"/>
    <x v="11"/>
    <x v="2"/>
  </r>
  <r>
    <n v="45263"/>
    <x v="310"/>
    <x v="3"/>
    <x v="0"/>
    <x v="4"/>
    <s v="Rogers Handheld Barrel Pencil Sharpener"/>
    <n v="21.92"/>
    <n v="8"/>
    <x v="204"/>
    <x v="11"/>
    <x v="2"/>
  </r>
  <r>
    <n v="45263"/>
    <x v="310"/>
    <x v="3"/>
    <x v="0"/>
    <x v="2"/>
    <s v="Acco Perma 4000 Stacking Storage Drawers"/>
    <n v="48.72"/>
    <n v="3"/>
    <x v="1007"/>
    <x v="11"/>
    <x v="2"/>
  </r>
  <r>
    <n v="45263"/>
    <x v="310"/>
    <x v="3"/>
    <x v="1"/>
    <x v="11"/>
    <s v="O'Sullivan Living Dimensions 2-Shelf Bookcases"/>
    <n v="205.67"/>
    <n v="2"/>
    <x v="253"/>
    <x v="11"/>
    <x v="2"/>
  </r>
  <r>
    <n v="45264"/>
    <x v="383"/>
    <x v="20"/>
    <x v="1"/>
    <x v="8"/>
    <s v="Eldon Delta Triangular Chair Mat, 52&quot; x 58&quot;, Clear"/>
    <n v="113.79"/>
    <n v="3"/>
    <x v="3877"/>
    <x v="11"/>
    <x v="2"/>
  </r>
  <r>
    <n v="45264"/>
    <x v="383"/>
    <x v="20"/>
    <x v="2"/>
    <x v="9"/>
    <s v="Enermax Aurora Lite Keyboard"/>
    <n v="78.150000000000006"/>
    <n v="1"/>
    <x v="2574"/>
    <x v="11"/>
    <x v="2"/>
  </r>
  <r>
    <n v="45264"/>
    <x v="383"/>
    <x v="20"/>
    <x v="0"/>
    <x v="3"/>
    <s v="Peel &amp; Stick Add-On Corner Pockets"/>
    <n v="1.73"/>
    <n v="1"/>
    <x v="537"/>
    <x v="11"/>
    <x v="2"/>
  </r>
  <r>
    <n v="45264"/>
    <x v="383"/>
    <x v="20"/>
    <x v="0"/>
    <x v="0"/>
    <s v="Easy-staple paper"/>
    <n v="40.56"/>
    <n v="4"/>
    <x v="1400"/>
    <x v="11"/>
    <x v="2"/>
  </r>
  <r>
    <n v="45264"/>
    <x v="383"/>
    <x v="20"/>
    <x v="0"/>
    <x v="2"/>
    <s v="Carina Media Storage Towers in Natural &amp; Black"/>
    <n v="182.94"/>
    <n v="3"/>
    <x v="3878"/>
    <x v="11"/>
    <x v="2"/>
  </r>
  <r>
    <n v="45264"/>
    <x v="383"/>
    <x v="20"/>
    <x v="0"/>
    <x v="2"/>
    <s v="Fellowes Econo/Stor Drawers"/>
    <n v="193.86"/>
    <n v="2"/>
    <x v="3126"/>
    <x v="11"/>
    <x v="2"/>
  </r>
  <r>
    <n v="45264"/>
    <x v="227"/>
    <x v="20"/>
    <x v="0"/>
    <x v="2"/>
    <s v="Belkin OmniView SE Rackmount Kit"/>
    <n v="212.88"/>
    <n v="6"/>
    <x v="62"/>
    <x v="11"/>
    <x v="2"/>
  </r>
  <r>
    <n v="45264"/>
    <x v="272"/>
    <x v="20"/>
    <x v="0"/>
    <x v="3"/>
    <s v="GBC Instant Report Kit"/>
    <n v="15.53"/>
    <n v="3"/>
    <x v="1244"/>
    <x v="11"/>
    <x v="2"/>
  </r>
  <r>
    <n v="45264"/>
    <x v="388"/>
    <x v="3"/>
    <x v="0"/>
    <x v="0"/>
    <s v="Xerox 1915"/>
    <n v="104.85"/>
    <n v="1"/>
    <x v="672"/>
    <x v="11"/>
    <x v="2"/>
  </r>
  <r>
    <n v="45265"/>
    <x v="576"/>
    <x v="22"/>
    <x v="0"/>
    <x v="3"/>
    <s v="Fellowes PB200 Plastic Comb Binding Machine"/>
    <n v="407.98"/>
    <n v="3"/>
    <x v="3247"/>
    <x v="11"/>
    <x v="2"/>
  </r>
  <r>
    <n v="45265"/>
    <x v="780"/>
    <x v="21"/>
    <x v="2"/>
    <x v="6"/>
    <s v="Plantronics CordlessÂ Phone HeadsetÂ with In-line Volume - M214C"/>
    <n v="384.45"/>
    <n v="11"/>
    <x v="3879"/>
    <x v="11"/>
    <x v="2"/>
  </r>
  <r>
    <n v="45265"/>
    <x v="780"/>
    <x v="21"/>
    <x v="2"/>
    <x v="6"/>
    <s v="Anker Astro 15000mAh USB Portable Charger"/>
    <n v="149.97"/>
    <n v="3"/>
    <x v="1964"/>
    <x v="11"/>
    <x v="2"/>
  </r>
  <r>
    <n v="45265"/>
    <x v="780"/>
    <x v="21"/>
    <x v="1"/>
    <x v="5"/>
    <s v="Hon Deluxe Fabric Upholstered Stacking Chairs, Rounded Back"/>
    <n v="1951.84"/>
    <n v="8"/>
    <x v="3880"/>
    <x v="11"/>
    <x v="2"/>
  </r>
  <r>
    <n v="45265"/>
    <x v="780"/>
    <x v="21"/>
    <x v="0"/>
    <x v="3"/>
    <s v="GBC Prestige Therm-A-Bind Covers"/>
    <n v="171.55"/>
    <n v="5"/>
    <x v="956"/>
    <x v="11"/>
    <x v="2"/>
  </r>
  <r>
    <n v="45265"/>
    <x v="229"/>
    <x v="5"/>
    <x v="1"/>
    <x v="8"/>
    <s v="Howard Miller 16&quot; Diameter Gallery Wall Clock"/>
    <n v="191.82"/>
    <n v="3"/>
    <x v="1168"/>
    <x v="11"/>
    <x v="2"/>
  </r>
  <r>
    <n v="45265"/>
    <x v="229"/>
    <x v="20"/>
    <x v="0"/>
    <x v="2"/>
    <s v="Dual Level, Single-Width Filing Carts"/>
    <n v="465.18"/>
    <n v="3"/>
    <x v="1629"/>
    <x v="11"/>
    <x v="2"/>
  </r>
  <r>
    <n v="45265"/>
    <x v="166"/>
    <x v="32"/>
    <x v="1"/>
    <x v="11"/>
    <s v="O'Sullivan 5-Shelf Heavy-Duty Bookcases"/>
    <n v="81.94"/>
    <n v="1"/>
    <x v="3881"/>
    <x v="11"/>
    <x v="2"/>
  </r>
  <r>
    <n v="45265"/>
    <x v="529"/>
    <x v="44"/>
    <x v="0"/>
    <x v="4"/>
    <s v="BIC Brite Liner Grip Highlighters, Assorted, 5/Pack"/>
    <n v="33.92"/>
    <n v="8"/>
    <x v="3803"/>
    <x v="11"/>
    <x v="2"/>
  </r>
  <r>
    <n v="45265"/>
    <x v="633"/>
    <x v="5"/>
    <x v="2"/>
    <x v="6"/>
    <s v="Samsung Galaxy S III - 16GB - pebble blue (T-Mobile)"/>
    <n v="699.98"/>
    <n v="2"/>
    <x v="1679"/>
    <x v="11"/>
    <x v="2"/>
  </r>
  <r>
    <n v="45265"/>
    <x v="633"/>
    <x v="5"/>
    <x v="0"/>
    <x v="2"/>
    <s v="Fellowes Bankers Box Staxonsteel Drawer File/Stacking System"/>
    <n v="584.82000000000005"/>
    <n v="9"/>
    <x v="3882"/>
    <x v="11"/>
    <x v="2"/>
  </r>
  <r>
    <n v="45265"/>
    <x v="211"/>
    <x v="1"/>
    <x v="0"/>
    <x v="1"/>
    <s v="Avery 483"/>
    <n v="11.95"/>
    <n v="3"/>
    <x v="2014"/>
    <x v="11"/>
    <x v="2"/>
  </r>
  <r>
    <n v="45265"/>
    <x v="109"/>
    <x v="1"/>
    <x v="0"/>
    <x v="4"/>
    <s v="Newell 311"/>
    <n v="3.54"/>
    <n v="2"/>
    <x v="12"/>
    <x v="11"/>
    <x v="2"/>
  </r>
  <r>
    <n v="45265"/>
    <x v="736"/>
    <x v="7"/>
    <x v="1"/>
    <x v="8"/>
    <s v="Electrix 20W Halogen Replacement Bulb for Zoom-In Desk Lamp"/>
    <n v="13.4"/>
    <n v="1"/>
    <x v="2765"/>
    <x v="11"/>
    <x v="2"/>
  </r>
  <r>
    <n v="45265"/>
    <x v="736"/>
    <x v="7"/>
    <x v="0"/>
    <x v="0"/>
    <s v="Easy-staple paper"/>
    <n v="4.9800000000000004"/>
    <n v="1"/>
    <x v="115"/>
    <x v="11"/>
    <x v="2"/>
  </r>
  <r>
    <n v="45265"/>
    <x v="736"/>
    <x v="7"/>
    <x v="0"/>
    <x v="10"/>
    <s v="#10 White Business Envelopes,4 1/8 x 9 1/2"/>
    <n v="109.69"/>
    <n v="7"/>
    <x v="3883"/>
    <x v="11"/>
    <x v="2"/>
  </r>
  <r>
    <n v="45266"/>
    <x v="480"/>
    <x v="3"/>
    <x v="0"/>
    <x v="0"/>
    <s v="Xerox 216"/>
    <n v="19.440000000000001"/>
    <n v="3"/>
    <x v="5"/>
    <x v="11"/>
    <x v="2"/>
  </r>
  <r>
    <n v="45266"/>
    <x v="217"/>
    <x v="22"/>
    <x v="2"/>
    <x v="6"/>
    <s v="Plantronics Calisto P620-M USB Wireless Speakerphone System"/>
    <n v="156.79"/>
    <n v="1"/>
    <x v="1452"/>
    <x v="11"/>
    <x v="2"/>
  </r>
  <r>
    <n v="45266"/>
    <x v="217"/>
    <x v="22"/>
    <x v="2"/>
    <x v="6"/>
    <s v="Google Nexus 5"/>
    <n v="431.98"/>
    <n v="3"/>
    <x v="2618"/>
    <x v="11"/>
    <x v="2"/>
  </r>
  <r>
    <n v="45266"/>
    <x v="217"/>
    <x v="22"/>
    <x v="0"/>
    <x v="10"/>
    <s v="Jet-Pak Recycled Peel 'N' Seal Padded Mailers"/>
    <n v="35.89"/>
    <n v="1"/>
    <x v="1652"/>
    <x v="11"/>
    <x v="2"/>
  </r>
  <r>
    <n v="45266"/>
    <x v="217"/>
    <x v="22"/>
    <x v="0"/>
    <x v="3"/>
    <s v="Ibico Plastic and Wire Spiral Binding Combs"/>
    <n v="47.21"/>
    <n v="7"/>
    <x v="3884"/>
    <x v="11"/>
    <x v="2"/>
  </r>
  <r>
    <n v="45266"/>
    <x v="217"/>
    <x v="22"/>
    <x v="0"/>
    <x v="0"/>
    <s v="Xerox 1880"/>
    <n v="248.08"/>
    <n v="7"/>
    <x v="3885"/>
    <x v="11"/>
    <x v="2"/>
  </r>
  <r>
    <n v="45266"/>
    <x v="217"/>
    <x v="22"/>
    <x v="0"/>
    <x v="0"/>
    <s v="Snap-A-Way Black Print Carbonless Ruled Speed Letter, Triplicate"/>
    <n v="189.7"/>
    <n v="5"/>
    <x v="3886"/>
    <x v="11"/>
    <x v="2"/>
  </r>
  <r>
    <n v="45266"/>
    <x v="217"/>
    <x v="22"/>
    <x v="0"/>
    <x v="3"/>
    <s v="GBC Standard Therm-A-Bind Covers"/>
    <n v="59.81"/>
    <n v="3"/>
    <x v="503"/>
    <x v="11"/>
    <x v="2"/>
  </r>
  <r>
    <n v="45266"/>
    <x v="679"/>
    <x v="20"/>
    <x v="0"/>
    <x v="3"/>
    <s v="Ibico EB-19 Dual Function Manual Binding System"/>
    <n v="968.74"/>
    <n v="7"/>
    <x v="3887"/>
    <x v="11"/>
    <x v="2"/>
  </r>
  <r>
    <n v="45266"/>
    <x v="679"/>
    <x v="20"/>
    <x v="0"/>
    <x v="3"/>
    <s v="Trimflex Flexible Post Binders"/>
    <n v="222.35"/>
    <n v="13"/>
    <x v="3888"/>
    <x v="11"/>
    <x v="2"/>
  </r>
  <r>
    <n v="45266"/>
    <x v="679"/>
    <x v="20"/>
    <x v="2"/>
    <x v="16"/>
    <s v="Brother DCP1000 Digital 3 in 1 Multifunction Machine"/>
    <n v="479.98"/>
    <n v="2"/>
    <x v="380"/>
    <x v="11"/>
    <x v="2"/>
  </r>
  <r>
    <n v="45266"/>
    <x v="64"/>
    <x v="3"/>
    <x v="2"/>
    <x v="6"/>
    <s v="Avaya 5410 Digital phone"/>
    <n v="271.95999999999998"/>
    <n v="5"/>
    <x v="3889"/>
    <x v="11"/>
    <x v="2"/>
  </r>
  <r>
    <n v="45266"/>
    <x v="64"/>
    <x v="3"/>
    <x v="0"/>
    <x v="4"/>
    <s v="Blackstonian Pencils"/>
    <n v="18.690000000000001"/>
    <n v="7"/>
    <x v="1292"/>
    <x v="11"/>
    <x v="2"/>
  </r>
  <r>
    <n v="45266"/>
    <x v="64"/>
    <x v="3"/>
    <x v="0"/>
    <x v="0"/>
    <s v="Xerox 1977"/>
    <n v="13.36"/>
    <n v="2"/>
    <x v="846"/>
    <x v="11"/>
    <x v="2"/>
  </r>
  <r>
    <n v="45266"/>
    <x v="64"/>
    <x v="3"/>
    <x v="2"/>
    <x v="6"/>
    <s v="Cisco SPA301"/>
    <n v="249.58"/>
    <n v="2"/>
    <x v="2008"/>
    <x v="11"/>
    <x v="2"/>
  </r>
  <r>
    <n v="45266"/>
    <x v="64"/>
    <x v="3"/>
    <x v="0"/>
    <x v="7"/>
    <s v="Alliance Big Bands Rubber Bands, 12/Pack"/>
    <n v="13.86"/>
    <n v="7"/>
    <x v="62"/>
    <x v="11"/>
    <x v="2"/>
  </r>
  <r>
    <n v="45266"/>
    <x v="64"/>
    <x v="3"/>
    <x v="0"/>
    <x v="3"/>
    <s v="Avery Durable Slant Ring Binders With Label Holder"/>
    <n v="13.38"/>
    <n v="4"/>
    <x v="658"/>
    <x v="11"/>
    <x v="2"/>
  </r>
  <r>
    <n v="45266"/>
    <x v="64"/>
    <x v="3"/>
    <x v="0"/>
    <x v="3"/>
    <s v="Ibico Recycled Linen-Style Covers"/>
    <n v="437.47"/>
    <n v="14"/>
    <x v="3890"/>
    <x v="11"/>
    <x v="2"/>
  </r>
  <r>
    <n v="45268"/>
    <x v="702"/>
    <x v="0"/>
    <x v="2"/>
    <x v="6"/>
    <s v="GE 30524EE4"/>
    <n v="1097.54"/>
    <n v="7"/>
    <x v="3891"/>
    <x v="11"/>
    <x v="2"/>
  </r>
  <r>
    <n v="45268"/>
    <x v="702"/>
    <x v="0"/>
    <x v="1"/>
    <x v="8"/>
    <s v="Electrix Architect's Clamp-On Swing Arm Lamp, Black"/>
    <n v="190.92"/>
    <n v="5"/>
    <x v="3892"/>
    <x v="11"/>
    <x v="2"/>
  </r>
  <r>
    <n v="45268"/>
    <x v="87"/>
    <x v="28"/>
    <x v="2"/>
    <x v="6"/>
    <s v="Motorola HK250 Universal Bluetooth Headset"/>
    <n v="114.95"/>
    <n v="5"/>
    <x v="2889"/>
    <x v="11"/>
    <x v="2"/>
  </r>
  <r>
    <n v="45268"/>
    <x v="425"/>
    <x v="10"/>
    <x v="0"/>
    <x v="3"/>
    <s v="Universal Recycled Hanging Pressboard Report Binders, Letter Size"/>
    <n v="12.96"/>
    <n v="7"/>
    <x v="3893"/>
    <x v="11"/>
    <x v="2"/>
  </r>
  <r>
    <n v="45268"/>
    <x v="386"/>
    <x v="3"/>
    <x v="0"/>
    <x v="4"/>
    <s v="Newell 341"/>
    <n v="8.56"/>
    <n v="2"/>
    <x v="840"/>
    <x v="11"/>
    <x v="2"/>
  </r>
  <r>
    <n v="45268"/>
    <x v="386"/>
    <x v="3"/>
    <x v="0"/>
    <x v="0"/>
    <s v="Xerox 204"/>
    <n v="45.36"/>
    <n v="7"/>
    <x v="407"/>
    <x v="11"/>
    <x v="2"/>
  </r>
  <r>
    <n v="45268"/>
    <x v="386"/>
    <x v="3"/>
    <x v="1"/>
    <x v="13"/>
    <s v="Hon 94000 Series Round Tables"/>
    <n v="1421.66"/>
    <n v="6"/>
    <x v="3894"/>
    <x v="11"/>
    <x v="2"/>
  </r>
  <r>
    <n v="45268"/>
    <x v="440"/>
    <x v="3"/>
    <x v="0"/>
    <x v="2"/>
    <s v="SimpliFile Personal File, Black Granite, 15w x 6-15/16d x 11-1/4h"/>
    <n v="34.049999999999997"/>
    <n v="3"/>
    <x v="821"/>
    <x v="11"/>
    <x v="2"/>
  </r>
  <r>
    <n v="45268"/>
    <x v="440"/>
    <x v="3"/>
    <x v="0"/>
    <x v="2"/>
    <s v="Fellowes High-Stak Drawer Files"/>
    <n v="352.38"/>
    <n v="2"/>
    <x v="3895"/>
    <x v="11"/>
    <x v="2"/>
  </r>
  <r>
    <n v="45268"/>
    <x v="352"/>
    <x v="25"/>
    <x v="2"/>
    <x v="6"/>
    <s v="Cisco SPA301"/>
    <n v="249.58"/>
    <n v="2"/>
    <x v="2008"/>
    <x v="11"/>
    <x v="2"/>
  </r>
  <r>
    <n v="45268"/>
    <x v="352"/>
    <x v="25"/>
    <x v="2"/>
    <x v="9"/>
    <s v="Maxell 4.7GB DVD-R"/>
    <n v="68.11"/>
    <n v="3"/>
    <x v="3702"/>
    <x v="11"/>
    <x v="2"/>
  </r>
  <r>
    <n v="45268"/>
    <x v="352"/>
    <x v="25"/>
    <x v="2"/>
    <x v="9"/>
    <s v="ImationÂ 30456 USBÂ Flash DriveÂ 8GB"/>
    <n v="16.559999999999999"/>
    <n v="3"/>
    <x v="3896"/>
    <x v="11"/>
    <x v="2"/>
  </r>
  <r>
    <n v="45268"/>
    <x v="640"/>
    <x v="10"/>
    <x v="0"/>
    <x v="0"/>
    <s v="Ampad Gold Fibre Wirebound Steno Books, 6&quot; x 9&quot;, Gregg Ruled"/>
    <n v="10.58"/>
    <n v="3"/>
    <x v="951"/>
    <x v="11"/>
    <x v="2"/>
  </r>
  <r>
    <n v="45268"/>
    <x v="316"/>
    <x v="21"/>
    <x v="1"/>
    <x v="11"/>
    <s v="Bush Westfield Collection Bookcases, Dark Cherry Finish"/>
    <n v="405.86"/>
    <n v="7"/>
    <x v="2875"/>
    <x v="11"/>
    <x v="2"/>
  </r>
  <r>
    <n v="45268"/>
    <x v="316"/>
    <x v="21"/>
    <x v="1"/>
    <x v="5"/>
    <s v="Hon GuestStacker Chair"/>
    <n v="680.01"/>
    <n v="3"/>
    <x v="3897"/>
    <x v="11"/>
    <x v="2"/>
  </r>
  <r>
    <n v="45269"/>
    <x v="127"/>
    <x v="40"/>
    <x v="0"/>
    <x v="4"/>
    <s v="Newell 318"/>
    <n v="19.46"/>
    <n v="7"/>
    <x v="2080"/>
    <x v="11"/>
    <x v="2"/>
  </r>
  <r>
    <n v="45269"/>
    <x v="127"/>
    <x v="40"/>
    <x v="0"/>
    <x v="12"/>
    <s v="Acco Six-Outlet Power Strip, 4' Cord Length"/>
    <n v="60.34"/>
    <n v="7"/>
    <x v="3898"/>
    <x v="11"/>
    <x v="2"/>
  </r>
  <r>
    <n v="45269"/>
    <x v="667"/>
    <x v="32"/>
    <x v="0"/>
    <x v="1"/>
    <s v="Avery 517"/>
    <n v="3.69"/>
    <n v="1"/>
    <x v="1515"/>
    <x v="11"/>
    <x v="2"/>
  </r>
  <r>
    <n v="45269"/>
    <x v="667"/>
    <x v="32"/>
    <x v="0"/>
    <x v="1"/>
    <s v="Avery 477"/>
    <n v="122.12"/>
    <n v="4"/>
    <x v="3281"/>
    <x v="11"/>
    <x v="2"/>
  </r>
  <r>
    <n v="45269"/>
    <x v="169"/>
    <x v="0"/>
    <x v="0"/>
    <x v="0"/>
    <s v="Things To Do Today Pad"/>
    <n v="9.39"/>
    <n v="2"/>
    <x v="1300"/>
    <x v="11"/>
    <x v="2"/>
  </r>
  <r>
    <n v="45269"/>
    <x v="169"/>
    <x v="0"/>
    <x v="0"/>
    <x v="4"/>
    <s v="Hunt BOSTON Vista Battery-Operated Pencil Sharpener, Black"/>
    <n v="9.33"/>
    <n v="1"/>
    <x v="595"/>
    <x v="11"/>
    <x v="2"/>
  </r>
  <r>
    <n v="45269"/>
    <x v="105"/>
    <x v="15"/>
    <x v="1"/>
    <x v="13"/>
    <s v="Hon 61000 Series Interactive Training Tables"/>
    <n v="79.97"/>
    <n v="3"/>
    <x v="3899"/>
    <x v="11"/>
    <x v="2"/>
  </r>
  <r>
    <n v="45269"/>
    <x v="105"/>
    <x v="15"/>
    <x v="0"/>
    <x v="3"/>
    <s v="Acco Pressboard Covers with Storage Hooks, 14 7/8&quot; x 11&quot;, Light Blue"/>
    <n v="2.95"/>
    <n v="2"/>
    <x v="2383"/>
    <x v="11"/>
    <x v="2"/>
  </r>
  <r>
    <n v="45269"/>
    <x v="564"/>
    <x v="14"/>
    <x v="2"/>
    <x v="6"/>
    <s v="LF Elite 3D Dazzle Designer Hard Case Cover, Lf Stylus Pen and Wiper For Apple Iphone 5c Mini Lite"/>
    <n v="10.9"/>
    <n v="1"/>
    <x v="1810"/>
    <x v="11"/>
    <x v="2"/>
  </r>
  <r>
    <n v="45269"/>
    <x v="564"/>
    <x v="14"/>
    <x v="2"/>
    <x v="9"/>
    <s v="Logitech Trackman Marble Mouse"/>
    <n v="59.98"/>
    <n v="2"/>
    <x v="3781"/>
    <x v="11"/>
    <x v="2"/>
  </r>
  <r>
    <n v="45269"/>
    <x v="564"/>
    <x v="14"/>
    <x v="0"/>
    <x v="12"/>
    <s v="Holmes Replacement Filter for HEPA Air Cleaner, Very Large Room, HEPA Filter"/>
    <n v="61.93"/>
    <n v="1"/>
    <x v="3900"/>
    <x v="11"/>
    <x v="2"/>
  </r>
  <r>
    <n v="45269"/>
    <x v="185"/>
    <x v="15"/>
    <x v="2"/>
    <x v="6"/>
    <s v="ARKON Windshield Dashboard Air Vent Car Mount Holder"/>
    <n v="40.68"/>
    <n v="3"/>
    <x v="1177"/>
    <x v="11"/>
    <x v="2"/>
  </r>
  <r>
    <n v="45269"/>
    <x v="274"/>
    <x v="1"/>
    <x v="0"/>
    <x v="14"/>
    <s v="Acme Office Executive Series Stainless Steel Trimmers"/>
    <n v="20.57"/>
    <n v="3"/>
    <x v="2918"/>
    <x v="11"/>
    <x v="2"/>
  </r>
  <r>
    <n v="45269"/>
    <x v="274"/>
    <x v="1"/>
    <x v="0"/>
    <x v="12"/>
    <s v="Belkin 6 Outlet Metallic Surge Strip"/>
    <n v="4.3600000000000003"/>
    <n v="2"/>
    <x v="3901"/>
    <x v="11"/>
    <x v="2"/>
  </r>
  <r>
    <n v="45269"/>
    <x v="274"/>
    <x v="1"/>
    <x v="2"/>
    <x v="9"/>
    <s v="Kingston Digital DataTraveler 8GB USB 2.0"/>
    <n v="19.04"/>
    <n v="4"/>
    <x v="1320"/>
    <x v="11"/>
    <x v="2"/>
  </r>
  <r>
    <n v="45269"/>
    <x v="153"/>
    <x v="3"/>
    <x v="0"/>
    <x v="3"/>
    <s v="Wilson Jones Elliptical Ring 3 1/2&quot; Capacity Binders, 800 sheets"/>
    <n v="273.92"/>
    <n v="8"/>
    <x v="3902"/>
    <x v="11"/>
    <x v="2"/>
  </r>
  <r>
    <n v="45269"/>
    <x v="181"/>
    <x v="6"/>
    <x v="1"/>
    <x v="13"/>
    <s v="Iceberg OfficeWorks 42&quot; Round Tables"/>
    <n v="1056.8599999999999"/>
    <n v="7"/>
    <x v="3903"/>
    <x v="11"/>
    <x v="2"/>
  </r>
  <r>
    <n v="45270"/>
    <x v="564"/>
    <x v="3"/>
    <x v="1"/>
    <x v="5"/>
    <s v="Global Leather Highback Executive Chair with Pneumatic Height Adjustment, Black"/>
    <n v="321.57"/>
    <n v="2"/>
    <x v="2185"/>
    <x v="11"/>
    <x v="2"/>
  </r>
  <r>
    <n v="45270"/>
    <x v="16"/>
    <x v="20"/>
    <x v="0"/>
    <x v="2"/>
    <s v="Fellowes Personal Hanging Folder Files, Navy"/>
    <n v="80.58"/>
    <n v="6"/>
    <x v="2021"/>
    <x v="11"/>
    <x v="2"/>
  </r>
  <r>
    <n v="45270"/>
    <x v="16"/>
    <x v="20"/>
    <x v="0"/>
    <x v="10"/>
    <s v="Tyvek Side-Opening Peel &amp; Seel Expanding Envelopes"/>
    <n v="361.92"/>
    <n v="4"/>
    <x v="3904"/>
    <x v="11"/>
    <x v="2"/>
  </r>
  <r>
    <n v="45270"/>
    <x v="358"/>
    <x v="22"/>
    <x v="0"/>
    <x v="3"/>
    <s v="GBC DocuBind P50 Personal Binding Machine"/>
    <n v="153.55000000000001"/>
    <n v="3"/>
    <x v="3905"/>
    <x v="11"/>
    <x v="2"/>
  </r>
  <r>
    <n v="45270"/>
    <x v="358"/>
    <x v="22"/>
    <x v="0"/>
    <x v="12"/>
    <s v="Holmes HEPA Air Purifier"/>
    <n v="65.34"/>
    <n v="3"/>
    <x v="3367"/>
    <x v="11"/>
    <x v="2"/>
  </r>
  <r>
    <n v="45270"/>
    <x v="358"/>
    <x v="22"/>
    <x v="0"/>
    <x v="0"/>
    <s v="Xerox 1988"/>
    <n v="123.92"/>
    <n v="4"/>
    <x v="1095"/>
    <x v="11"/>
    <x v="2"/>
  </r>
  <r>
    <n v="45270"/>
    <x v="358"/>
    <x v="22"/>
    <x v="0"/>
    <x v="12"/>
    <s v="Harmony HEPA Quiet Air Purifiers"/>
    <n v="35.1"/>
    <n v="3"/>
    <x v="3906"/>
    <x v="11"/>
    <x v="2"/>
  </r>
  <r>
    <n v="45270"/>
    <x v="358"/>
    <x v="22"/>
    <x v="2"/>
    <x v="9"/>
    <s v="Kingston Digital DataTraveler 16GB USB 2.0"/>
    <n v="44.75"/>
    <n v="5"/>
    <x v="838"/>
    <x v="11"/>
    <x v="2"/>
  </r>
  <r>
    <n v="45270"/>
    <x v="294"/>
    <x v="18"/>
    <x v="1"/>
    <x v="5"/>
    <s v="Global Commerce Series High-Back Swivel/Tilt Chairs"/>
    <n v="1424.9"/>
    <n v="5"/>
    <x v="3907"/>
    <x v="11"/>
    <x v="2"/>
  </r>
  <r>
    <n v="45270"/>
    <x v="694"/>
    <x v="3"/>
    <x v="0"/>
    <x v="0"/>
    <s v="Wirebound Message Books, Four 2 3/4 x 5 White Forms per Page"/>
    <n v="80.28"/>
    <n v="12"/>
    <x v="3908"/>
    <x v="11"/>
    <x v="2"/>
  </r>
  <r>
    <n v="45270"/>
    <x v="752"/>
    <x v="20"/>
    <x v="0"/>
    <x v="0"/>
    <s v="Wirebound Message Books, Four 2 3/4&quot; x 5&quot; Forms per Page, 600 Sets per Book"/>
    <n v="18.54"/>
    <n v="2"/>
    <x v="2341"/>
    <x v="11"/>
    <x v="2"/>
  </r>
  <r>
    <n v="45270"/>
    <x v="752"/>
    <x v="20"/>
    <x v="0"/>
    <x v="3"/>
    <s v="Fellowes PB200 Plastic Comb Binding Machine"/>
    <n v="679.96"/>
    <n v="5"/>
    <x v="3909"/>
    <x v="11"/>
    <x v="2"/>
  </r>
  <r>
    <n v="45270"/>
    <x v="620"/>
    <x v="20"/>
    <x v="0"/>
    <x v="0"/>
    <s v="Adams Phone Message Book, Professional, 400 Message Capacity, 5 3/6Â” x 11Â”"/>
    <n v="62.82"/>
    <n v="9"/>
    <x v="3910"/>
    <x v="11"/>
    <x v="2"/>
  </r>
  <r>
    <n v="45270"/>
    <x v="421"/>
    <x v="20"/>
    <x v="0"/>
    <x v="0"/>
    <s v="Xerox 221"/>
    <n v="6.48"/>
    <n v="1"/>
    <x v="1006"/>
    <x v="11"/>
    <x v="2"/>
  </r>
  <r>
    <n v="45271"/>
    <x v="362"/>
    <x v="20"/>
    <x v="0"/>
    <x v="7"/>
    <s v="Advantus Push Pins"/>
    <n v="15.26"/>
    <n v="7"/>
    <x v="963"/>
    <x v="11"/>
    <x v="2"/>
  </r>
  <r>
    <n v="45271"/>
    <x v="362"/>
    <x v="20"/>
    <x v="2"/>
    <x v="6"/>
    <s v="AT&amp;T CL83451 4-Handset Telephone"/>
    <n v="1029.95"/>
    <n v="5"/>
    <x v="3911"/>
    <x v="11"/>
    <x v="2"/>
  </r>
  <r>
    <n v="45271"/>
    <x v="667"/>
    <x v="26"/>
    <x v="0"/>
    <x v="2"/>
    <s v="Tennsco Regal Shelving Units"/>
    <n v="243.38"/>
    <n v="3"/>
    <x v="3912"/>
    <x v="11"/>
    <x v="2"/>
  </r>
  <r>
    <n v="45271"/>
    <x v="667"/>
    <x v="26"/>
    <x v="2"/>
    <x v="9"/>
    <s v="ImationÂ 32GB Pocket Pro USB 3.0Â Flash DriveÂ - 32 GB - Black - 1 P ..."/>
    <n v="119.8"/>
    <n v="5"/>
    <x v="1424"/>
    <x v="11"/>
    <x v="2"/>
  </r>
  <r>
    <n v="45271"/>
    <x v="667"/>
    <x v="26"/>
    <x v="2"/>
    <x v="6"/>
    <s v="Jabra SPEAK 410"/>
    <n v="300.77"/>
    <n v="4"/>
    <x v="3913"/>
    <x v="11"/>
    <x v="2"/>
  </r>
  <r>
    <n v="45271"/>
    <x v="278"/>
    <x v="22"/>
    <x v="1"/>
    <x v="8"/>
    <s v="3M Hangers With Command Adhesive"/>
    <n v="14.8"/>
    <n v="4"/>
    <x v="102"/>
    <x v="11"/>
    <x v="2"/>
  </r>
  <r>
    <n v="45271"/>
    <x v="278"/>
    <x v="22"/>
    <x v="2"/>
    <x v="6"/>
    <s v="AT&amp;T TR1909W"/>
    <n v="302.38"/>
    <n v="3"/>
    <x v="248"/>
    <x v="11"/>
    <x v="2"/>
  </r>
  <r>
    <n v="45271"/>
    <x v="278"/>
    <x v="22"/>
    <x v="2"/>
    <x v="9"/>
    <s v="First Data FD10 PIN Pad"/>
    <n v="316"/>
    <n v="4"/>
    <x v="2883"/>
    <x v="11"/>
    <x v="2"/>
  </r>
  <r>
    <n v="45271"/>
    <x v="336"/>
    <x v="16"/>
    <x v="0"/>
    <x v="2"/>
    <s v="Steel Personal Filing/Posting Tote"/>
    <n v="85.22"/>
    <n v="3"/>
    <x v="3914"/>
    <x v="11"/>
    <x v="2"/>
  </r>
  <r>
    <n v="45271"/>
    <x v="273"/>
    <x v="15"/>
    <x v="0"/>
    <x v="4"/>
    <s v="Prang Drawing Pencil Set"/>
    <n v="6.67"/>
    <n v="3"/>
    <x v="688"/>
    <x v="11"/>
    <x v="2"/>
  </r>
  <r>
    <n v="45271"/>
    <x v="270"/>
    <x v="10"/>
    <x v="0"/>
    <x v="2"/>
    <s v="Acco Perma 4000 Stacking Storage Drawers"/>
    <n v="64.959999999999994"/>
    <n v="5"/>
    <x v="3915"/>
    <x v="11"/>
    <x v="2"/>
  </r>
  <r>
    <n v="45271"/>
    <x v="270"/>
    <x v="10"/>
    <x v="0"/>
    <x v="14"/>
    <s v="Elite 5&quot; Scissors"/>
    <n v="13.52"/>
    <n v="2"/>
    <x v="566"/>
    <x v="11"/>
    <x v="2"/>
  </r>
  <r>
    <n v="45271"/>
    <x v="270"/>
    <x v="10"/>
    <x v="1"/>
    <x v="5"/>
    <s v="Office Star - Contemporary Task Swivel chair with Loop Arms, Charcoal"/>
    <n v="458.43"/>
    <n v="5"/>
    <x v="3916"/>
    <x v="11"/>
    <x v="2"/>
  </r>
  <r>
    <n v="45271"/>
    <x v="270"/>
    <x v="10"/>
    <x v="0"/>
    <x v="12"/>
    <s v="Belkin 325VA UPS Surge Protector, 6'"/>
    <n v="387.14"/>
    <n v="4"/>
    <x v="2534"/>
    <x v="11"/>
    <x v="2"/>
  </r>
  <r>
    <n v="45271"/>
    <x v="270"/>
    <x v="10"/>
    <x v="1"/>
    <x v="13"/>
    <s v="Lesro Round Back Collection Coffee Table, End Table"/>
    <n v="328.59"/>
    <n v="3"/>
    <x v="1145"/>
    <x v="11"/>
    <x v="2"/>
  </r>
  <r>
    <n v="45271"/>
    <x v="35"/>
    <x v="11"/>
    <x v="1"/>
    <x v="5"/>
    <s v="Global Fabric Manager's Chair, Dark Gray"/>
    <n v="403.92"/>
    <n v="5"/>
    <x v="3917"/>
    <x v="11"/>
    <x v="2"/>
  </r>
  <r>
    <n v="45271"/>
    <x v="494"/>
    <x v="3"/>
    <x v="0"/>
    <x v="3"/>
    <s v="Ibico Laser Imprintable Binding System Covers"/>
    <n v="209.6"/>
    <n v="5"/>
    <x v="3918"/>
    <x v="11"/>
    <x v="2"/>
  </r>
  <r>
    <n v="45271"/>
    <x v="494"/>
    <x v="3"/>
    <x v="0"/>
    <x v="4"/>
    <s v="Boston 16765 Mini Stand Up Battery Pencil Sharpener"/>
    <n v="23.32"/>
    <n v="2"/>
    <x v="3919"/>
    <x v="11"/>
    <x v="2"/>
  </r>
  <r>
    <n v="45271"/>
    <x v="494"/>
    <x v="3"/>
    <x v="0"/>
    <x v="0"/>
    <s v="IBM Multi-Purpose Copy Paper, 8 1/2 x 11&quot;, Case"/>
    <n v="30.98"/>
    <n v="1"/>
    <x v="1641"/>
    <x v="11"/>
    <x v="2"/>
  </r>
  <r>
    <n v="45271"/>
    <x v="494"/>
    <x v="3"/>
    <x v="2"/>
    <x v="9"/>
    <s v="Microsoft Natural Ergonomic Keyboard 4000"/>
    <n v="119.96"/>
    <n v="4"/>
    <x v="3781"/>
    <x v="11"/>
    <x v="2"/>
  </r>
  <r>
    <n v="45271"/>
    <x v="494"/>
    <x v="3"/>
    <x v="1"/>
    <x v="5"/>
    <s v="Global Wood Trimmed Manager's Task Chair, Khaki"/>
    <n v="363.92"/>
    <n v="5"/>
    <x v="3920"/>
    <x v="11"/>
    <x v="2"/>
  </r>
  <r>
    <n v="45271"/>
    <x v="494"/>
    <x v="3"/>
    <x v="0"/>
    <x v="3"/>
    <s v="Recycled Easel Ring Binders"/>
    <n v="35.81"/>
    <n v="3"/>
    <x v="3225"/>
    <x v="11"/>
    <x v="2"/>
  </r>
  <r>
    <n v="45271"/>
    <x v="494"/>
    <x v="3"/>
    <x v="0"/>
    <x v="3"/>
    <s v="GBC Recycled VeloBinder Covers"/>
    <n v="122.69"/>
    <n v="9"/>
    <x v="3921"/>
    <x v="11"/>
    <x v="2"/>
  </r>
  <r>
    <n v="45271"/>
    <x v="494"/>
    <x v="3"/>
    <x v="1"/>
    <x v="13"/>
    <s v="Hon Non-Folding Utility Tables"/>
    <n v="892.14"/>
    <n v="7"/>
    <x v="3922"/>
    <x v="11"/>
    <x v="2"/>
  </r>
  <r>
    <n v="45271"/>
    <x v="494"/>
    <x v="3"/>
    <x v="0"/>
    <x v="2"/>
    <s v="Rogers Profile Extra Capacity Storage Tub"/>
    <n v="50.22"/>
    <n v="3"/>
    <x v="751"/>
    <x v="11"/>
    <x v="2"/>
  </r>
  <r>
    <n v="45271"/>
    <x v="494"/>
    <x v="3"/>
    <x v="0"/>
    <x v="12"/>
    <s v="Fellowes 8 Outlet Superior Workstation Surge Protector"/>
    <n v="83.42"/>
    <n v="2"/>
    <x v="3923"/>
    <x v="11"/>
    <x v="2"/>
  </r>
  <r>
    <n v="45271"/>
    <x v="494"/>
    <x v="3"/>
    <x v="0"/>
    <x v="3"/>
    <s v="Black Avery Memo-Size 3-Ring Binder, 5 1/2&quot; x 8 1/2&quot;"/>
    <n v="5.87"/>
    <n v="2"/>
    <x v="1642"/>
    <x v="11"/>
    <x v="2"/>
  </r>
  <r>
    <n v="45271"/>
    <x v="571"/>
    <x v="10"/>
    <x v="0"/>
    <x v="12"/>
    <s v="Belkin F5C206VTEL 6 Outlet Surge"/>
    <n v="73.540000000000006"/>
    <n v="4"/>
    <x v="3138"/>
    <x v="11"/>
    <x v="2"/>
  </r>
  <r>
    <n v="45272"/>
    <x v="140"/>
    <x v="10"/>
    <x v="0"/>
    <x v="3"/>
    <s v="Wilson Jones Century Plastic Molded Ring Binders"/>
    <n v="18.690000000000001"/>
    <n v="3"/>
    <x v="3924"/>
    <x v="11"/>
    <x v="2"/>
  </r>
  <r>
    <n v="45272"/>
    <x v="140"/>
    <x v="10"/>
    <x v="2"/>
    <x v="9"/>
    <s v="Logitech G602 Wireless Gaming Mouse"/>
    <n v="383.95"/>
    <n v="6"/>
    <x v="3925"/>
    <x v="11"/>
    <x v="2"/>
  </r>
  <r>
    <n v="45272"/>
    <x v="342"/>
    <x v="14"/>
    <x v="2"/>
    <x v="6"/>
    <s v="Jabra SPEAK 410"/>
    <n v="657.93"/>
    <n v="7"/>
    <x v="3926"/>
    <x v="11"/>
    <x v="2"/>
  </r>
  <r>
    <n v="45272"/>
    <x v="342"/>
    <x v="14"/>
    <x v="1"/>
    <x v="8"/>
    <s v="Westinghouse Clip-On Gooseneck Lamps"/>
    <n v="33.479999999999997"/>
    <n v="4"/>
    <x v="3031"/>
    <x v="11"/>
    <x v="2"/>
  </r>
  <r>
    <n v="45272"/>
    <x v="342"/>
    <x v="14"/>
    <x v="0"/>
    <x v="4"/>
    <s v="Newell 333"/>
    <n v="13.9"/>
    <n v="5"/>
    <x v="3927"/>
    <x v="11"/>
    <x v="2"/>
  </r>
  <r>
    <n v="45272"/>
    <x v="342"/>
    <x v="14"/>
    <x v="0"/>
    <x v="2"/>
    <s v="Fellowes Desktop Hanging File Manager"/>
    <n v="26.86"/>
    <n v="2"/>
    <x v="1690"/>
    <x v="11"/>
    <x v="2"/>
  </r>
  <r>
    <n v="45272"/>
    <x v="574"/>
    <x v="4"/>
    <x v="2"/>
    <x v="9"/>
    <s v="Case Logic 2.4GHz Wireless Keyboard"/>
    <n v="249.95"/>
    <n v="5"/>
    <x v="3604"/>
    <x v="11"/>
    <x v="2"/>
  </r>
  <r>
    <n v="45272"/>
    <x v="574"/>
    <x v="4"/>
    <x v="0"/>
    <x v="0"/>
    <s v="Xerox 1907"/>
    <n v="49.12"/>
    <n v="4"/>
    <x v="641"/>
    <x v="11"/>
    <x v="2"/>
  </r>
  <r>
    <n v="45272"/>
    <x v="503"/>
    <x v="3"/>
    <x v="1"/>
    <x v="8"/>
    <s v="Howard Miller 14-1/2&quot; Diameter Chrome Round Wall Clock"/>
    <n v="383.64"/>
    <n v="6"/>
    <x v="3928"/>
    <x v="11"/>
    <x v="2"/>
  </r>
  <r>
    <n v="45272"/>
    <x v="503"/>
    <x v="3"/>
    <x v="0"/>
    <x v="12"/>
    <s v="Belkin F9H710-06 7 Outlet SurgeMaster Surge Protector"/>
    <n v="56.52"/>
    <n v="3"/>
    <x v="1533"/>
    <x v="11"/>
    <x v="2"/>
  </r>
  <r>
    <n v="45272"/>
    <x v="270"/>
    <x v="20"/>
    <x v="1"/>
    <x v="8"/>
    <s v="Eldon 500 Class Desk Accessories"/>
    <n v="60.35"/>
    <n v="5"/>
    <x v="3929"/>
    <x v="11"/>
    <x v="2"/>
  </r>
  <r>
    <n v="45272"/>
    <x v="270"/>
    <x v="20"/>
    <x v="0"/>
    <x v="14"/>
    <s v="Fiskars Home &amp; Office Scissors"/>
    <n v="35.520000000000003"/>
    <n v="4"/>
    <x v="512"/>
    <x v="11"/>
    <x v="2"/>
  </r>
  <r>
    <n v="45272"/>
    <x v="270"/>
    <x v="20"/>
    <x v="0"/>
    <x v="4"/>
    <s v="Sanford Pocket Accent Highlighters"/>
    <n v="11.2"/>
    <n v="7"/>
    <x v="3545"/>
    <x v="11"/>
    <x v="2"/>
  </r>
  <r>
    <n v="45273"/>
    <x v="484"/>
    <x v="39"/>
    <x v="2"/>
    <x v="9"/>
    <s v="Memorex Mini Travel Drive 16 GB USB 2.0 Flash Drive"/>
    <n v="63.88"/>
    <n v="4"/>
    <x v="3930"/>
    <x v="11"/>
    <x v="2"/>
  </r>
  <r>
    <n v="45273"/>
    <x v="274"/>
    <x v="3"/>
    <x v="0"/>
    <x v="3"/>
    <s v="Acco Pressboard Covers with Storage Hooks, 14 7/8&quot; x 11&quot;, Dark Blue"/>
    <n v="6.1"/>
    <n v="2"/>
    <x v="481"/>
    <x v="11"/>
    <x v="2"/>
  </r>
  <r>
    <n v="45273"/>
    <x v="274"/>
    <x v="3"/>
    <x v="1"/>
    <x v="13"/>
    <s v="Bretford CR4500 Series Slim Rectangular Table"/>
    <n v="1114.27"/>
    <n v="4"/>
    <x v="3931"/>
    <x v="11"/>
    <x v="2"/>
  </r>
  <r>
    <n v="45273"/>
    <x v="29"/>
    <x v="3"/>
    <x v="0"/>
    <x v="4"/>
    <s v="Crayola Colored Pencils"/>
    <n v="9.84"/>
    <n v="3"/>
    <x v="3090"/>
    <x v="11"/>
    <x v="2"/>
  </r>
  <r>
    <n v="45274"/>
    <x v="283"/>
    <x v="29"/>
    <x v="1"/>
    <x v="8"/>
    <s v="Executive Impressions 14&quot;"/>
    <n v="133.38"/>
    <n v="6"/>
    <x v="3932"/>
    <x v="11"/>
    <x v="2"/>
  </r>
  <r>
    <n v="45274"/>
    <x v="500"/>
    <x v="20"/>
    <x v="0"/>
    <x v="0"/>
    <s v="Strathmore Photo Frame Cards"/>
    <n v="14.62"/>
    <n v="2"/>
    <x v="466"/>
    <x v="11"/>
    <x v="2"/>
  </r>
  <r>
    <n v="45274"/>
    <x v="500"/>
    <x v="20"/>
    <x v="0"/>
    <x v="1"/>
    <s v="Avery 474"/>
    <n v="5.76"/>
    <n v="2"/>
    <x v="1218"/>
    <x v="11"/>
    <x v="2"/>
  </r>
  <r>
    <n v="45274"/>
    <x v="500"/>
    <x v="20"/>
    <x v="0"/>
    <x v="7"/>
    <s v="OIC Colored Binder Clips, Assorted Sizes"/>
    <n v="21.48"/>
    <n v="6"/>
    <x v="3933"/>
    <x v="11"/>
    <x v="2"/>
  </r>
  <r>
    <n v="45274"/>
    <x v="500"/>
    <x v="20"/>
    <x v="1"/>
    <x v="8"/>
    <s v="GE 48&quot; Fluorescent Tube, Cool White Energy Saver, 34 Watts, 30/Box"/>
    <n v="396.92"/>
    <n v="4"/>
    <x v="3934"/>
    <x v="11"/>
    <x v="2"/>
  </r>
  <r>
    <n v="45274"/>
    <x v="500"/>
    <x v="20"/>
    <x v="0"/>
    <x v="2"/>
    <s v="Advantus Rolling Storage Box"/>
    <n v="17.149999999999999"/>
    <n v="1"/>
    <x v="1070"/>
    <x v="11"/>
    <x v="2"/>
  </r>
  <r>
    <n v="45274"/>
    <x v="500"/>
    <x v="20"/>
    <x v="0"/>
    <x v="3"/>
    <s v="Acco Recycled 2&quot; Capacity Laser Printer Hanging Data Binders"/>
    <n v="23.12"/>
    <n v="2"/>
    <x v="3935"/>
    <x v="11"/>
    <x v="2"/>
  </r>
  <r>
    <n v="45274"/>
    <x v="171"/>
    <x v="3"/>
    <x v="1"/>
    <x v="5"/>
    <s v="Global Task Chair, Black"/>
    <n v="81.42"/>
    <n v="2"/>
    <x v="1990"/>
    <x v="11"/>
    <x v="2"/>
  </r>
  <r>
    <n v="45274"/>
    <x v="171"/>
    <x v="3"/>
    <x v="0"/>
    <x v="2"/>
    <s v="Tenex Personal Project File with Scoop Front Design, Black"/>
    <n v="134.80000000000001"/>
    <n v="10"/>
    <x v="3936"/>
    <x v="11"/>
    <x v="2"/>
  </r>
  <r>
    <n v="45275"/>
    <x v="634"/>
    <x v="14"/>
    <x v="1"/>
    <x v="13"/>
    <s v="Chromcraft Bull-Nose Wood Oval Conference Tables &amp; Bases"/>
    <n v="1652.94"/>
    <n v="3"/>
    <x v="3937"/>
    <x v="11"/>
    <x v="2"/>
  </r>
  <r>
    <n v="45275"/>
    <x v="634"/>
    <x v="14"/>
    <x v="0"/>
    <x v="2"/>
    <s v="Recycled Data-Pak for Archival Bound Computer Printouts, 12-1/2 x 12-1/2 x 16"/>
    <n v="296.37"/>
    <n v="3"/>
    <x v="1223"/>
    <x v="11"/>
    <x v="2"/>
  </r>
  <r>
    <n v="45275"/>
    <x v="157"/>
    <x v="3"/>
    <x v="1"/>
    <x v="8"/>
    <s v="Eldon Expressions Wood Desk Accessories, Oak"/>
    <n v="14.76"/>
    <n v="2"/>
    <x v="1180"/>
    <x v="11"/>
    <x v="2"/>
  </r>
  <r>
    <n v="45275"/>
    <x v="109"/>
    <x v="11"/>
    <x v="1"/>
    <x v="13"/>
    <s v="Bretford Rectangular Conference Table Tops"/>
    <n v="564.20000000000005"/>
    <n v="3"/>
    <x v="3938"/>
    <x v="11"/>
    <x v="2"/>
  </r>
  <r>
    <n v="45275"/>
    <x v="109"/>
    <x v="11"/>
    <x v="0"/>
    <x v="12"/>
    <s v="Belkin 5 Outlet SurgeMaster Power Centers"/>
    <n v="87.17"/>
    <n v="2"/>
    <x v="3492"/>
    <x v="11"/>
    <x v="2"/>
  </r>
  <r>
    <n v="45275"/>
    <x v="489"/>
    <x v="10"/>
    <x v="0"/>
    <x v="3"/>
    <s v="Avery Triangle Shaped Sheet Lifters, Black, 2/Pack"/>
    <n v="2.21"/>
    <n v="3"/>
    <x v="2047"/>
    <x v="11"/>
    <x v="2"/>
  </r>
  <r>
    <n v="45275"/>
    <x v="529"/>
    <x v="13"/>
    <x v="0"/>
    <x v="0"/>
    <s v="Xerox 1958"/>
    <n v="19.440000000000001"/>
    <n v="3"/>
    <x v="5"/>
    <x v="11"/>
    <x v="2"/>
  </r>
  <r>
    <n v="45276"/>
    <x v="583"/>
    <x v="1"/>
    <x v="0"/>
    <x v="3"/>
    <s v="Cardinal Hold-It CD Pocket"/>
    <n v="4.79"/>
    <n v="3"/>
    <x v="3939"/>
    <x v="11"/>
    <x v="2"/>
  </r>
  <r>
    <n v="45276"/>
    <x v="435"/>
    <x v="20"/>
    <x v="0"/>
    <x v="7"/>
    <s v="Stockwell Gold Paper Clips"/>
    <n v="3.68"/>
    <n v="2"/>
    <x v="1666"/>
    <x v="11"/>
    <x v="2"/>
  </r>
  <r>
    <n v="45276"/>
    <x v="500"/>
    <x v="3"/>
    <x v="1"/>
    <x v="5"/>
    <s v="Office Star - Contemporary Swivel Chair with Padded Adjustable Arms and Flex Back"/>
    <n v="563.91999999999996"/>
    <n v="5"/>
    <x v="634"/>
    <x v="11"/>
    <x v="2"/>
  </r>
  <r>
    <n v="45276"/>
    <x v="394"/>
    <x v="25"/>
    <x v="0"/>
    <x v="12"/>
    <s v="Acco 6 Outlet Guardian Premium Surge Suppressor"/>
    <n v="34.94"/>
    <n v="3"/>
    <x v="269"/>
    <x v="11"/>
    <x v="2"/>
  </r>
  <r>
    <n v="45276"/>
    <x v="451"/>
    <x v="3"/>
    <x v="2"/>
    <x v="9"/>
    <s v="ImationÂ USB 2.0 SwivelÂ Flash DriveÂ USBÂ flash driveÂ - 4 GB - Pink"/>
    <n v="21.21"/>
    <n v="7"/>
    <x v="3940"/>
    <x v="11"/>
    <x v="2"/>
  </r>
  <r>
    <n v="45277"/>
    <x v="773"/>
    <x v="3"/>
    <x v="1"/>
    <x v="13"/>
    <s v="Bretford Â“Just In TimeÂ” Height-Adjustable Multi-Task Work Tables"/>
    <n v="2003.52"/>
    <n v="6"/>
    <x v="3941"/>
    <x v="11"/>
    <x v="2"/>
  </r>
  <r>
    <n v="45277"/>
    <x v="528"/>
    <x v="22"/>
    <x v="0"/>
    <x v="2"/>
    <s v="Personal Filing Tote with Lid, Black/Gray"/>
    <n v="46.53"/>
    <n v="3"/>
    <x v="3942"/>
    <x v="11"/>
    <x v="2"/>
  </r>
  <r>
    <n v="45277"/>
    <x v="512"/>
    <x v="0"/>
    <x v="0"/>
    <x v="0"/>
    <s v="Xerox 214"/>
    <n v="51.84"/>
    <n v="10"/>
    <x v="3943"/>
    <x v="11"/>
    <x v="2"/>
  </r>
  <r>
    <n v="45277"/>
    <x v="512"/>
    <x v="0"/>
    <x v="2"/>
    <x v="9"/>
    <s v="WD My Passport Ultra 1TB Portable External Hard Drive"/>
    <n v="165.6"/>
    <n v="3"/>
    <x v="2859"/>
    <x v="11"/>
    <x v="2"/>
  </r>
  <r>
    <n v="45277"/>
    <x v="270"/>
    <x v="31"/>
    <x v="0"/>
    <x v="3"/>
    <s v="Ibico Plastic and Wire Spiral Binding Combs"/>
    <n v="13.49"/>
    <n v="2"/>
    <x v="3944"/>
    <x v="11"/>
    <x v="2"/>
  </r>
  <r>
    <n v="45277"/>
    <x v="270"/>
    <x v="31"/>
    <x v="0"/>
    <x v="3"/>
    <s v="GBC Laser Imprintable Binding System Covers, Desert Sand"/>
    <n v="11.42"/>
    <n v="1"/>
    <x v="995"/>
    <x v="11"/>
    <x v="2"/>
  </r>
  <r>
    <n v="45277"/>
    <x v="579"/>
    <x v="14"/>
    <x v="0"/>
    <x v="3"/>
    <s v="GBC Ibimaster 500 Manual ProClick Binding System"/>
    <n v="9892.74"/>
    <n v="13"/>
    <x v="3945"/>
    <x v="11"/>
    <x v="2"/>
  </r>
  <r>
    <n v="45278"/>
    <x v="611"/>
    <x v="16"/>
    <x v="0"/>
    <x v="3"/>
    <s v="GBC VeloBinder Electric Binding Machine"/>
    <n v="254.06"/>
    <n v="7"/>
    <x v="3946"/>
    <x v="11"/>
    <x v="2"/>
  </r>
  <r>
    <n v="45278"/>
    <x v="611"/>
    <x v="16"/>
    <x v="0"/>
    <x v="12"/>
    <s v="Acco 7-Outlet Masterpiece Power Center, Wihtout Fax/Phone Line Protection"/>
    <n v="194.53"/>
    <n v="2"/>
    <x v="3947"/>
    <x v="11"/>
    <x v="2"/>
  </r>
  <r>
    <n v="45278"/>
    <x v="611"/>
    <x v="16"/>
    <x v="0"/>
    <x v="14"/>
    <s v="Premier Automatic Letter Opener"/>
    <n v="961.48"/>
    <n v="5"/>
    <x v="3948"/>
    <x v="11"/>
    <x v="2"/>
  </r>
  <r>
    <n v="45278"/>
    <x v="514"/>
    <x v="28"/>
    <x v="1"/>
    <x v="8"/>
    <s v="Eldon 200 Class Desk Accessories"/>
    <n v="18.84"/>
    <n v="3"/>
    <x v="1175"/>
    <x v="11"/>
    <x v="2"/>
  </r>
  <r>
    <n v="45278"/>
    <x v="418"/>
    <x v="3"/>
    <x v="0"/>
    <x v="0"/>
    <s v="Eureka Recycled Copy Paper 8 1/2&quot; x 11&quot;, Ream"/>
    <n v="38.880000000000003"/>
    <n v="6"/>
    <x v="2107"/>
    <x v="11"/>
    <x v="2"/>
  </r>
  <r>
    <n v="45278"/>
    <x v="418"/>
    <x v="3"/>
    <x v="1"/>
    <x v="8"/>
    <s v="Seth Thomas 12&quot; Clock w/ Goldtone Case"/>
    <n v="183.84"/>
    <n v="8"/>
    <x v="3949"/>
    <x v="11"/>
    <x v="2"/>
  </r>
  <r>
    <n v="45278"/>
    <x v="418"/>
    <x v="3"/>
    <x v="0"/>
    <x v="14"/>
    <s v="Premier Electric Letter Opener"/>
    <n v="579.29999999999995"/>
    <n v="5"/>
    <x v="3950"/>
    <x v="11"/>
    <x v="2"/>
  </r>
  <r>
    <n v="45278"/>
    <x v="488"/>
    <x v="20"/>
    <x v="0"/>
    <x v="2"/>
    <s v="Tennsco Double-Tier Lockers"/>
    <n v="900.08"/>
    <n v="4"/>
    <x v="3567"/>
    <x v="11"/>
    <x v="2"/>
  </r>
  <r>
    <n v="45278"/>
    <x v="271"/>
    <x v="23"/>
    <x v="0"/>
    <x v="3"/>
    <s v="GBC DocuBind TL300 Electric Binding System"/>
    <n v="1793.98"/>
    <n v="2"/>
    <x v="862"/>
    <x v="11"/>
    <x v="2"/>
  </r>
  <r>
    <n v="45278"/>
    <x v="617"/>
    <x v="3"/>
    <x v="2"/>
    <x v="9"/>
    <s v="SanDisk Cruzer 64 GB USB Flash Drive"/>
    <n v="72.64"/>
    <n v="2"/>
    <x v="3951"/>
    <x v="11"/>
    <x v="2"/>
  </r>
  <r>
    <n v="45278"/>
    <x v="617"/>
    <x v="3"/>
    <x v="2"/>
    <x v="9"/>
    <s v="LogitechÂ P710e Mobile Speakerphone"/>
    <n v="772.47"/>
    <n v="3"/>
    <x v="1298"/>
    <x v="11"/>
    <x v="2"/>
  </r>
  <r>
    <n v="45278"/>
    <x v="617"/>
    <x v="3"/>
    <x v="1"/>
    <x v="8"/>
    <s v="Eldon Expressions Wood and Plastic Desk Accessories, Oak"/>
    <n v="39.92"/>
    <n v="4"/>
    <x v="3032"/>
    <x v="11"/>
    <x v="2"/>
  </r>
  <r>
    <n v="45278"/>
    <x v="303"/>
    <x v="11"/>
    <x v="0"/>
    <x v="3"/>
    <s v="Vinyl Sectional Post Binders"/>
    <n v="45.24"/>
    <n v="4"/>
    <x v="3952"/>
    <x v="11"/>
    <x v="2"/>
  </r>
  <r>
    <n v="45278"/>
    <x v="303"/>
    <x v="11"/>
    <x v="0"/>
    <x v="4"/>
    <s v="Newell 312"/>
    <n v="18.690000000000001"/>
    <n v="4"/>
    <x v="115"/>
    <x v="11"/>
    <x v="2"/>
  </r>
  <r>
    <n v="45278"/>
    <x v="303"/>
    <x v="11"/>
    <x v="0"/>
    <x v="0"/>
    <s v="Black Print Carbonless 8 1/2&quot; x 8 1/4&quot; Rapid Memo Book"/>
    <n v="11.65"/>
    <n v="2"/>
    <x v="1158"/>
    <x v="11"/>
    <x v="2"/>
  </r>
  <r>
    <n v="45278"/>
    <x v="303"/>
    <x v="11"/>
    <x v="2"/>
    <x v="9"/>
    <s v="Sony Micro Vault Click 8 GB USB 2.0 Flash Drive"/>
    <n v="112.78"/>
    <n v="3"/>
    <x v="3953"/>
    <x v="11"/>
    <x v="2"/>
  </r>
  <r>
    <n v="45278"/>
    <x v="303"/>
    <x v="11"/>
    <x v="1"/>
    <x v="13"/>
    <s v="Iceberg OfficeWorks 42&quot; Round Tables"/>
    <n v="377.45"/>
    <n v="5"/>
    <x v="3954"/>
    <x v="11"/>
    <x v="2"/>
  </r>
  <r>
    <n v="45278"/>
    <x v="303"/>
    <x v="11"/>
    <x v="0"/>
    <x v="1"/>
    <s v="Avery White Multi-Purpose Labels"/>
    <n v="15.94"/>
    <n v="4"/>
    <x v="510"/>
    <x v="11"/>
    <x v="2"/>
  </r>
  <r>
    <n v="45278"/>
    <x v="303"/>
    <x v="11"/>
    <x v="2"/>
    <x v="6"/>
    <s v="Macally Suction Cup Mount"/>
    <n v="28.68"/>
    <n v="3"/>
    <x v="3955"/>
    <x v="11"/>
    <x v="2"/>
  </r>
  <r>
    <n v="45278"/>
    <x v="672"/>
    <x v="40"/>
    <x v="1"/>
    <x v="5"/>
    <s v="Hon Every-Day Series Multi-Task Chairs"/>
    <n v="563.94000000000005"/>
    <n v="3"/>
    <x v="1258"/>
    <x v="11"/>
    <x v="2"/>
  </r>
  <r>
    <n v="45278"/>
    <x v="135"/>
    <x v="3"/>
    <x v="2"/>
    <x v="6"/>
    <s v="I Need's 3d Hello Kitty Hybrid Silicone Case Cover for HTC One X 4g with 3d Hello Kitty Stylus Pen Green/pink"/>
    <n v="66.98"/>
    <n v="7"/>
    <x v="516"/>
    <x v="11"/>
    <x v="2"/>
  </r>
  <r>
    <n v="45279"/>
    <x v="442"/>
    <x v="12"/>
    <x v="1"/>
    <x v="13"/>
    <s v="SAFCO PlanMaster Boards, 60w x 37-1/2d, White Melamine"/>
    <n v="455.97"/>
    <n v="6"/>
    <x v="3956"/>
    <x v="11"/>
    <x v="2"/>
  </r>
  <r>
    <n v="45279"/>
    <x v="442"/>
    <x v="12"/>
    <x v="0"/>
    <x v="3"/>
    <s v="Wilson Jones Clip &amp; Carry Folder Binder Tool for Ring Binders, Clear"/>
    <n v="10.44"/>
    <n v="6"/>
    <x v="3957"/>
    <x v="11"/>
    <x v="2"/>
  </r>
  <r>
    <n v="45279"/>
    <x v="442"/>
    <x v="12"/>
    <x v="0"/>
    <x v="3"/>
    <s v="Cardinal Slant-D Ring Binder, Heavy Gauge Vinyl"/>
    <n v="5.21"/>
    <n v="2"/>
    <x v="1478"/>
    <x v="11"/>
    <x v="2"/>
  </r>
  <r>
    <n v="45279"/>
    <x v="36"/>
    <x v="20"/>
    <x v="0"/>
    <x v="3"/>
    <s v="GBC Laser Imprintable Binding System Covers, Desert Sand"/>
    <n v="34.25"/>
    <n v="3"/>
    <x v="1920"/>
    <x v="11"/>
    <x v="2"/>
  </r>
  <r>
    <n v="45279"/>
    <x v="36"/>
    <x v="20"/>
    <x v="0"/>
    <x v="4"/>
    <s v="Newell 326"/>
    <n v="3.52"/>
    <n v="2"/>
    <x v="2708"/>
    <x v="11"/>
    <x v="2"/>
  </r>
  <r>
    <n v="45279"/>
    <x v="455"/>
    <x v="1"/>
    <x v="0"/>
    <x v="3"/>
    <s v="Wilson Jones Easy Flow II Sheet Lifters"/>
    <n v="1.8"/>
    <n v="5"/>
    <x v="3958"/>
    <x v="11"/>
    <x v="2"/>
  </r>
  <r>
    <n v="45279"/>
    <x v="68"/>
    <x v="2"/>
    <x v="1"/>
    <x v="8"/>
    <s v="Eldon &quot;L&quot; Workstation Diamond Chairmat"/>
    <n v="303.92"/>
    <n v="5"/>
    <x v="3959"/>
    <x v="11"/>
    <x v="2"/>
  </r>
  <r>
    <n v="45280"/>
    <x v="723"/>
    <x v="29"/>
    <x v="2"/>
    <x v="9"/>
    <s v="SanDisk Ultra 32 GB MicroSDHC Class 10 Memory Card"/>
    <n v="66.3"/>
    <n v="3"/>
    <x v="242"/>
    <x v="11"/>
    <x v="2"/>
  </r>
  <r>
    <n v="45280"/>
    <x v="314"/>
    <x v="29"/>
    <x v="1"/>
    <x v="8"/>
    <s v="C-Line Cubicle Keepers Polyproplyene Holder With Velcro Backings"/>
    <n v="18.920000000000002"/>
    <n v="4"/>
    <x v="842"/>
    <x v="11"/>
    <x v="2"/>
  </r>
  <r>
    <n v="45280"/>
    <x v="314"/>
    <x v="29"/>
    <x v="0"/>
    <x v="3"/>
    <s v="DXL Angle-View Binders with Locking Rings by Samsill"/>
    <n v="15.42"/>
    <n v="2"/>
    <x v="1126"/>
    <x v="11"/>
    <x v="2"/>
  </r>
  <r>
    <n v="45280"/>
    <x v="550"/>
    <x v="40"/>
    <x v="0"/>
    <x v="0"/>
    <s v="Strathmore Photo Mount Cards"/>
    <n v="33.9"/>
    <n v="5"/>
    <x v="1419"/>
    <x v="11"/>
    <x v="2"/>
  </r>
  <r>
    <n v="45282"/>
    <x v="52"/>
    <x v="11"/>
    <x v="0"/>
    <x v="3"/>
    <s v="Avery 3 1/2&quot; Diskette Storage Pages, 10/Pack"/>
    <n v="31.32"/>
    <n v="10"/>
    <x v="3960"/>
    <x v="11"/>
    <x v="2"/>
  </r>
  <r>
    <n v="45282"/>
    <x v="52"/>
    <x v="11"/>
    <x v="1"/>
    <x v="8"/>
    <s v="3M Hangers With Command Adhesive"/>
    <n v="11.84"/>
    <n v="4"/>
    <x v="1006"/>
    <x v="11"/>
    <x v="2"/>
  </r>
  <r>
    <n v="45282"/>
    <x v="52"/>
    <x v="11"/>
    <x v="1"/>
    <x v="8"/>
    <s v="Seth Thomas 14&quot; Day/Date Wall Clock"/>
    <n v="22.78"/>
    <n v="1"/>
    <x v="3667"/>
    <x v="11"/>
    <x v="2"/>
  </r>
  <r>
    <n v="45282"/>
    <x v="164"/>
    <x v="20"/>
    <x v="0"/>
    <x v="3"/>
    <s v="GBC Pre-Punched Binding Paper, Plastic, White, 8-1/2&quot; x 11&quot;"/>
    <n v="25.58"/>
    <n v="2"/>
    <x v="53"/>
    <x v="11"/>
    <x v="2"/>
  </r>
  <r>
    <n v="45282"/>
    <x v="341"/>
    <x v="22"/>
    <x v="0"/>
    <x v="3"/>
    <s v="Wilson Jones International Size A4 Ring Binders"/>
    <n v="55.36"/>
    <n v="4"/>
    <x v="3961"/>
    <x v="11"/>
    <x v="2"/>
  </r>
  <r>
    <n v="45282"/>
    <x v="341"/>
    <x v="22"/>
    <x v="2"/>
    <x v="15"/>
    <s v="Texas Instrument TI-15 Fraction Calculator"/>
    <n v="11.56"/>
    <n v="1"/>
    <x v="3504"/>
    <x v="11"/>
    <x v="2"/>
  </r>
  <r>
    <n v="45282"/>
    <x v="416"/>
    <x v="3"/>
    <x v="1"/>
    <x v="8"/>
    <s v="Deflect-o DuraMat Antistatic Studded Beveled Mat for Medium Pile Carpeting"/>
    <n v="842.72"/>
    <n v="8"/>
    <x v="3962"/>
    <x v="11"/>
    <x v="2"/>
  </r>
  <r>
    <n v="45282"/>
    <x v="416"/>
    <x v="3"/>
    <x v="1"/>
    <x v="8"/>
    <s v="Magnifier Swing Arm Lamp"/>
    <n v="41.96"/>
    <n v="2"/>
    <x v="929"/>
    <x v="11"/>
    <x v="2"/>
  </r>
  <r>
    <n v="45283"/>
    <x v="391"/>
    <x v="6"/>
    <x v="1"/>
    <x v="8"/>
    <s v="Electrix Architect's Clamp-On Swing Arm Lamp, Black"/>
    <n v="572.76"/>
    <n v="6"/>
    <x v="3963"/>
    <x v="11"/>
    <x v="2"/>
  </r>
  <r>
    <n v="45283"/>
    <x v="391"/>
    <x v="6"/>
    <x v="1"/>
    <x v="8"/>
    <s v="Electrix Architect's Clamp-On Swing Arm Lamp, Black"/>
    <n v="286.38"/>
    <n v="3"/>
    <x v="3964"/>
    <x v="11"/>
    <x v="2"/>
  </r>
  <r>
    <n v="45283"/>
    <x v="624"/>
    <x v="1"/>
    <x v="1"/>
    <x v="11"/>
    <s v="Bush Westfield Collection Bookcases, Fully Assembled"/>
    <n v="141.37"/>
    <n v="2"/>
    <x v="3965"/>
    <x v="11"/>
    <x v="2"/>
  </r>
  <r>
    <n v="45283"/>
    <x v="212"/>
    <x v="14"/>
    <x v="0"/>
    <x v="7"/>
    <s v="Acco Clips to Go Binder Clips, 24 Clips in Two Sizes"/>
    <n v="24.85"/>
    <n v="7"/>
    <x v="2901"/>
    <x v="11"/>
    <x v="2"/>
  </r>
  <r>
    <n v="45283"/>
    <x v="685"/>
    <x v="10"/>
    <x v="0"/>
    <x v="3"/>
    <s v="Universal Recycled Hanging Pressboard Report Binders, Letter Size"/>
    <n v="5.55"/>
    <n v="3"/>
    <x v="3966"/>
    <x v="11"/>
    <x v="2"/>
  </r>
  <r>
    <n v="45283"/>
    <x v="150"/>
    <x v="22"/>
    <x v="0"/>
    <x v="4"/>
    <s v="Newell 317"/>
    <n v="8.82"/>
    <n v="3"/>
    <x v="1393"/>
    <x v="11"/>
    <x v="2"/>
  </r>
  <r>
    <n v="45283"/>
    <x v="150"/>
    <x v="22"/>
    <x v="0"/>
    <x v="0"/>
    <s v="Computer Printout Paper with Letter-Trim Perforations"/>
    <n v="37.94"/>
    <n v="2"/>
    <x v="1912"/>
    <x v="11"/>
    <x v="2"/>
  </r>
  <r>
    <n v="45283"/>
    <x v="150"/>
    <x v="22"/>
    <x v="0"/>
    <x v="4"/>
    <s v="Sanford EarthWrite Recycled Pencils, Medium Soft, #2"/>
    <n v="4.2"/>
    <n v="2"/>
    <x v="1212"/>
    <x v="11"/>
    <x v="2"/>
  </r>
  <r>
    <n v="45283"/>
    <x v="150"/>
    <x v="22"/>
    <x v="0"/>
    <x v="2"/>
    <s v="SAFCO Boltless Steel Shelving"/>
    <n v="227.28"/>
    <n v="2"/>
    <x v="2477"/>
    <x v="11"/>
    <x v="2"/>
  </r>
  <r>
    <n v="45283"/>
    <x v="150"/>
    <x v="22"/>
    <x v="0"/>
    <x v="0"/>
    <s v="Xerox 1911"/>
    <n v="47.9"/>
    <n v="1"/>
    <x v="356"/>
    <x v="11"/>
    <x v="2"/>
  </r>
  <r>
    <n v="45283"/>
    <x v="150"/>
    <x v="22"/>
    <x v="0"/>
    <x v="10"/>
    <s v="Staple envelope"/>
    <n v="61.96"/>
    <n v="2"/>
    <x v="3967"/>
    <x v="11"/>
    <x v="2"/>
  </r>
  <r>
    <n v="45283"/>
    <x v="150"/>
    <x v="22"/>
    <x v="0"/>
    <x v="2"/>
    <s v="Tennsco Snap-Together Open Shelving Units, Starter Sets and Add-On Units"/>
    <n v="1117.92"/>
    <n v="4"/>
    <x v="1382"/>
    <x v="11"/>
    <x v="2"/>
  </r>
  <r>
    <n v="45283"/>
    <x v="27"/>
    <x v="43"/>
    <x v="2"/>
    <x v="16"/>
    <s v="Hewlett Packard 610 Color Digital Copier / Printer"/>
    <n v="1999.96"/>
    <n v="4"/>
    <x v="3968"/>
    <x v="11"/>
    <x v="2"/>
  </r>
  <r>
    <n v="45283"/>
    <x v="174"/>
    <x v="0"/>
    <x v="2"/>
    <x v="6"/>
    <s v="Wireless Extenders zBoost YX545 SOHO Signal Booster"/>
    <n v="453.58"/>
    <n v="3"/>
    <x v="1740"/>
    <x v="11"/>
    <x v="2"/>
  </r>
  <r>
    <n v="45283"/>
    <x v="174"/>
    <x v="0"/>
    <x v="0"/>
    <x v="1"/>
    <s v="Permanent Self-Adhesive File Folder Labels for Typewriters, 1 1/8 x 3 1/2, White"/>
    <n v="45.36"/>
    <n v="9"/>
    <x v="3969"/>
    <x v="11"/>
    <x v="2"/>
  </r>
  <r>
    <n v="45283"/>
    <x v="174"/>
    <x v="0"/>
    <x v="2"/>
    <x v="6"/>
    <s v="Cisco SPA 502G IP Phone"/>
    <n v="287.88"/>
    <n v="3"/>
    <x v="1992"/>
    <x v="11"/>
    <x v="2"/>
  </r>
  <r>
    <n v="45283"/>
    <x v="174"/>
    <x v="0"/>
    <x v="2"/>
    <x v="6"/>
    <s v="Cisco SPA112 2 Port Phone Adapter"/>
    <n v="131.88"/>
    <n v="3"/>
    <x v="3970"/>
    <x v="11"/>
    <x v="2"/>
  </r>
  <r>
    <n v="45283"/>
    <x v="174"/>
    <x v="0"/>
    <x v="1"/>
    <x v="8"/>
    <s v="GE General Purpose, Extra Long Life, Showcase &amp; Floodlight Incandescent Bulbs"/>
    <n v="2.33"/>
    <n v="2"/>
    <x v="3795"/>
    <x v="11"/>
    <x v="2"/>
  </r>
  <r>
    <n v="45283"/>
    <x v="365"/>
    <x v="2"/>
    <x v="0"/>
    <x v="0"/>
    <s v="Xerox 1952"/>
    <n v="7.97"/>
    <n v="2"/>
    <x v="773"/>
    <x v="11"/>
    <x v="2"/>
  </r>
  <r>
    <n v="45283"/>
    <x v="365"/>
    <x v="2"/>
    <x v="2"/>
    <x v="6"/>
    <s v="LG G2"/>
    <n v="1499.97"/>
    <n v="5"/>
    <x v="3971"/>
    <x v="11"/>
    <x v="2"/>
  </r>
  <r>
    <n v="45284"/>
    <x v="237"/>
    <x v="25"/>
    <x v="0"/>
    <x v="3"/>
    <s v="GBC Linen Binding Covers"/>
    <n v="27.88"/>
    <n v="3"/>
    <x v="3972"/>
    <x v="11"/>
    <x v="2"/>
  </r>
  <r>
    <n v="45284"/>
    <x v="237"/>
    <x v="25"/>
    <x v="0"/>
    <x v="2"/>
    <s v="Tennsco Double-Tier Lockers"/>
    <n v="540.04999999999995"/>
    <n v="3"/>
    <x v="3973"/>
    <x v="11"/>
    <x v="2"/>
  </r>
  <r>
    <n v="45284"/>
    <x v="237"/>
    <x v="25"/>
    <x v="2"/>
    <x v="9"/>
    <s v="Microsoft Sculpt Comfort Mouse"/>
    <n v="255.68"/>
    <n v="8"/>
    <x v="3974"/>
    <x v="11"/>
    <x v="2"/>
  </r>
  <r>
    <n v="45284"/>
    <x v="625"/>
    <x v="22"/>
    <x v="0"/>
    <x v="0"/>
    <s v="Xerox 1898"/>
    <n v="33.4"/>
    <n v="5"/>
    <x v="1770"/>
    <x v="11"/>
    <x v="2"/>
  </r>
  <r>
    <n v="45284"/>
    <x v="401"/>
    <x v="20"/>
    <x v="1"/>
    <x v="8"/>
    <s v="Luxo Adjustable Task Clamp Lamp"/>
    <n v="799.56"/>
    <n v="9"/>
    <x v="3975"/>
    <x v="11"/>
    <x v="2"/>
  </r>
  <r>
    <n v="45284"/>
    <x v="203"/>
    <x v="20"/>
    <x v="2"/>
    <x v="6"/>
    <s v="Samsung Rugby III"/>
    <n v="197.97"/>
    <n v="3"/>
    <x v="3976"/>
    <x v="11"/>
    <x v="2"/>
  </r>
  <r>
    <n v="45284"/>
    <x v="573"/>
    <x v="3"/>
    <x v="1"/>
    <x v="8"/>
    <s v="Eldon 200 Class Desk Accessories, Smoke"/>
    <n v="43.96"/>
    <n v="7"/>
    <x v="3977"/>
    <x v="11"/>
    <x v="2"/>
  </r>
  <r>
    <n v="45284"/>
    <x v="573"/>
    <x v="3"/>
    <x v="0"/>
    <x v="10"/>
    <s v="Staple envelope"/>
    <n v="39.76"/>
    <n v="7"/>
    <x v="3978"/>
    <x v="11"/>
    <x v="2"/>
  </r>
  <r>
    <n v="45285"/>
    <x v="271"/>
    <x v="3"/>
    <x v="2"/>
    <x v="6"/>
    <s v="Samsung Galaxy Note 2"/>
    <n v="2575.94"/>
    <n v="7"/>
    <x v="3979"/>
    <x v="11"/>
    <x v="2"/>
  </r>
  <r>
    <n v="45285"/>
    <x v="271"/>
    <x v="3"/>
    <x v="0"/>
    <x v="0"/>
    <s v="Xerox 225"/>
    <n v="45.36"/>
    <n v="7"/>
    <x v="407"/>
    <x v="11"/>
    <x v="2"/>
  </r>
  <r>
    <n v="45285"/>
    <x v="271"/>
    <x v="3"/>
    <x v="2"/>
    <x v="9"/>
    <s v="SanDisk Cruzer 64 GB USB Flash Drive"/>
    <n v="254.24"/>
    <n v="7"/>
    <x v="1867"/>
    <x v="11"/>
    <x v="2"/>
  </r>
  <r>
    <n v="45285"/>
    <x v="280"/>
    <x v="20"/>
    <x v="0"/>
    <x v="3"/>
    <s v="GBC Premium Transparent Covers with Diagonal Lined Pattern"/>
    <n v="33.57"/>
    <n v="2"/>
    <x v="3217"/>
    <x v="11"/>
    <x v="2"/>
  </r>
  <r>
    <n v="45285"/>
    <x v="531"/>
    <x v="38"/>
    <x v="1"/>
    <x v="8"/>
    <s v="Master Big Foot Doorstop, Beige"/>
    <n v="21.12"/>
    <n v="4"/>
    <x v="945"/>
    <x v="11"/>
    <x v="2"/>
  </r>
  <r>
    <n v="45285"/>
    <x v="364"/>
    <x v="22"/>
    <x v="1"/>
    <x v="5"/>
    <s v="Global Executive Mid-Back Manager's Chair"/>
    <n v="698.35"/>
    <n v="3"/>
    <x v="2855"/>
    <x v="11"/>
    <x v="2"/>
  </r>
  <r>
    <n v="45285"/>
    <x v="364"/>
    <x v="22"/>
    <x v="1"/>
    <x v="13"/>
    <s v="SAFCO PlanMaster Heigh-Adjustable Drafting Table Base, 43w x 30d x 30-37h, Black"/>
    <n v="1747.25"/>
    <n v="5"/>
    <x v="3980"/>
    <x v="11"/>
    <x v="2"/>
  </r>
  <r>
    <n v="45285"/>
    <x v="230"/>
    <x v="12"/>
    <x v="1"/>
    <x v="13"/>
    <s v="KI Conference Tables"/>
    <n v="35.450000000000003"/>
    <n v="1"/>
    <x v="3981"/>
    <x v="11"/>
    <x v="2"/>
  </r>
  <r>
    <n v="45285"/>
    <x v="230"/>
    <x v="12"/>
    <x v="2"/>
    <x v="15"/>
    <s v="Panasonic KX MC6040 Color Laser Multifunction Printer"/>
    <n v="269.97000000000003"/>
    <n v="2"/>
    <x v="3982"/>
    <x v="11"/>
    <x v="2"/>
  </r>
  <r>
    <n v="45285"/>
    <x v="230"/>
    <x v="12"/>
    <x v="2"/>
    <x v="9"/>
    <s v="ImationÂ Clip USBÂ flash driveÂ - 8 GB"/>
    <n v="45.12"/>
    <n v="3"/>
    <x v="3939"/>
    <x v="11"/>
    <x v="2"/>
  </r>
  <r>
    <n v="45285"/>
    <x v="230"/>
    <x v="12"/>
    <x v="2"/>
    <x v="9"/>
    <s v="Hypercom P1300 Pinpad"/>
    <n v="100.8"/>
    <n v="2"/>
    <x v="2806"/>
    <x v="11"/>
    <x v="2"/>
  </r>
  <r>
    <n v="45285"/>
    <x v="230"/>
    <x v="12"/>
    <x v="1"/>
    <x v="5"/>
    <s v="Global Stack Chair with Arms, Black"/>
    <n v="47.97"/>
    <n v="2"/>
    <x v="783"/>
    <x v="11"/>
    <x v="2"/>
  </r>
  <r>
    <n v="45285"/>
    <x v="504"/>
    <x v="20"/>
    <x v="1"/>
    <x v="13"/>
    <s v="Bevis Oval Conference Table, Walnut"/>
    <n v="313.18"/>
    <n v="2"/>
    <x v="3832"/>
    <x v="11"/>
    <x v="2"/>
  </r>
  <r>
    <n v="45285"/>
    <x v="504"/>
    <x v="20"/>
    <x v="1"/>
    <x v="5"/>
    <s v="Hon 4070 Series Pagoda Round Back Stacking Chairs"/>
    <n v="866.65"/>
    <n v="3"/>
    <x v="3983"/>
    <x v="11"/>
    <x v="2"/>
  </r>
  <r>
    <n v="45285"/>
    <x v="603"/>
    <x v="13"/>
    <x v="0"/>
    <x v="4"/>
    <s v="Newell 327"/>
    <n v="19.89"/>
    <n v="9"/>
    <x v="193"/>
    <x v="11"/>
    <x v="2"/>
  </r>
  <r>
    <n v="45285"/>
    <x v="603"/>
    <x v="13"/>
    <x v="2"/>
    <x v="9"/>
    <s v="Razer Tiamat Over Ear 7.1 Surround Sound PC Gaming Headset"/>
    <n v="399.98"/>
    <n v="2"/>
    <x v="3984"/>
    <x v="11"/>
    <x v="2"/>
  </r>
  <r>
    <n v="45285"/>
    <x v="603"/>
    <x v="13"/>
    <x v="1"/>
    <x v="8"/>
    <s v="Howard Miller 13-1/2&quot; Diameter Rosebrook Wall Clock"/>
    <n v="343.85"/>
    <n v="5"/>
    <x v="3985"/>
    <x v="11"/>
    <x v="2"/>
  </r>
  <r>
    <n v="45285"/>
    <x v="603"/>
    <x v="13"/>
    <x v="0"/>
    <x v="0"/>
    <s v="Xerox 1906"/>
    <n v="106.32"/>
    <n v="3"/>
    <x v="1624"/>
    <x v="11"/>
    <x v="2"/>
  </r>
  <r>
    <n v="45285"/>
    <x v="364"/>
    <x v="20"/>
    <x v="1"/>
    <x v="5"/>
    <s v="Hon 4700 Series Mobuis Mid-Back Task Chairs with Adjustable Arms"/>
    <n v="2563.06"/>
    <n v="8"/>
    <x v="3986"/>
    <x v="11"/>
    <x v="2"/>
  </r>
  <r>
    <n v="45286"/>
    <x v="558"/>
    <x v="22"/>
    <x v="0"/>
    <x v="0"/>
    <s v="Strathmore Photo Mount Cards"/>
    <n v="33.9"/>
    <n v="5"/>
    <x v="1419"/>
    <x v="11"/>
    <x v="2"/>
  </r>
  <r>
    <n v="45286"/>
    <x v="177"/>
    <x v="20"/>
    <x v="2"/>
    <x v="9"/>
    <s v="Belkin F8E887 USB Wired Ergonomic Keyboard"/>
    <n v="89.97"/>
    <n v="3"/>
    <x v="1219"/>
    <x v="11"/>
    <x v="2"/>
  </r>
  <r>
    <n v="45286"/>
    <x v="562"/>
    <x v="26"/>
    <x v="0"/>
    <x v="12"/>
    <s v="Harmony HEPA Quiet Air Purifiers"/>
    <n v="18.72"/>
    <n v="2"/>
    <x v="3424"/>
    <x v="11"/>
    <x v="2"/>
  </r>
  <r>
    <n v="45286"/>
    <x v="554"/>
    <x v="26"/>
    <x v="0"/>
    <x v="4"/>
    <s v="SANFORD Major Accent Highlighters"/>
    <n v="11.33"/>
    <n v="2"/>
    <x v="2309"/>
    <x v="11"/>
    <x v="2"/>
  </r>
  <r>
    <n v="45286"/>
    <x v="411"/>
    <x v="3"/>
    <x v="0"/>
    <x v="14"/>
    <s v="Fiskars Home &amp; Office Scissors"/>
    <n v="17.760000000000002"/>
    <n v="2"/>
    <x v="2066"/>
    <x v="11"/>
    <x v="2"/>
  </r>
  <r>
    <n v="45286"/>
    <x v="411"/>
    <x v="3"/>
    <x v="2"/>
    <x v="6"/>
    <s v="Mitel 5320 IP Phone VoIP phone"/>
    <n v="302.38"/>
    <n v="2"/>
    <x v="3392"/>
    <x v="11"/>
    <x v="2"/>
  </r>
  <r>
    <n v="45286"/>
    <x v="411"/>
    <x v="3"/>
    <x v="1"/>
    <x v="5"/>
    <s v="Global Armless Task Chair, Royal Blue"/>
    <n v="146.35"/>
    <n v="3"/>
    <x v="3"/>
    <x v="11"/>
    <x v="2"/>
  </r>
  <r>
    <n v="45286"/>
    <x v="411"/>
    <x v="3"/>
    <x v="0"/>
    <x v="12"/>
    <s v="Hoover Replacement Belts For Soft Guard &amp; Commercial Ltweight Upright Vacs, 2/Pk"/>
    <n v="7.9"/>
    <n v="2"/>
    <x v="1899"/>
    <x v="11"/>
    <x v="2"/>
  </r>
  <r>
    <n v="45286"/>
    <x v="411"/>
    <x v="3"/>
    <x v="1"/>
    <x v="13"/>
    <s v="Bretford Rectangular Conference Table Tops"/>
    <n v="902.71"/>
    <n v="3"/>
    <x v="3248"/>
    <x v="11"/>
    <x v="2"/>
  </r>
  <r>
    <n v="45286"/>
    <x v="411"/>
    <x v="3"/>
    <x v="0"/>
    <x v="4"/>
    <s v="Model L Table or Wall-Mount Pencil Sharpener"/>
    <n v="53.97"/>
    <n v="3"/>
    <x v="2235"/>
    <x v="11"/>
    <x v="2"/>
  </r>
  <r>
    <n v="45286"/>
    <x v="653"/>
    <x v="23"/>
    <x v="1"/>
    <x v="5"/>
    <s v="Novimex Turbo Task Chair"/>
    <n v="212.94"/>
    <n v="3"/>
    <x v="3987"/>
    <x v="11"/>
    <x v="2"/>
  </r>
  <r>
    <n v="45286"/>
    <x v="653"/>
    <x v="23"/>
    <x v="0"/>
    <x v="12"/>
    <s v="Fellowes Advanced Computer Series Surge Protectors"/>
    <n v="26.49"/>
    <n v="1"/>
    <x v="3988"/>
    <x v="11"/>
    <x v="2"/>
  </r>
  <r>
    <n v="45286"/>
    <x v="202"/>
    <x v="20"/>
    <x v="0"/>
    <x v="3"/>
    <s v="Round Ring Binders"/>
    <n v="4.99"/>
    <n v="3"/>
    <x v="967"/>
    <x v="11"/>
    <x v="2"/>
  </r>
  <r>
    <n v="45287"/>
    <x v="196"/>
    <x v="1"/>
    <x v="1"/>
    <x v="5"/>
    <s v="Global Manager's Adjustable Task Chair, Storm"/>
    <n v="845.49"/>
    <n v="8"/>
    <x v="1804"/>
    <x v="11"/>
    <x v="2"/>
  </r>
  <r>
    <n v="45287"/>
    <x v="711"/>
    <x v="0"/>
    <x v="0"/>
    <x v="0"/>
    <s v="Xerox 214"/>
    <n v="10.37"/>
    <n v="2"/>
    <x v="316"/>
    <x v="11"/>
    <x v="2"/>
  </r>
  <r>
    <n v="45287"/>
    <x v="711"/>
    <x v="0"/>
    <x v="0"/>
    <x v="0"/>
    <s v="It's Hot Message Books with Stickers, 2 3/4&quot; x 5&quot;"/>
    <n v="23.68"/>
    <n v="4"/>
    <x v="3989"/>
    <x v="11"/>
    <x v="2"/>
  </r>
  <r>
    <n v="45287"/>
    <x v="363"/>
    <x v="10"/>
    <x v="2"/>
    <x v="9"/>
    <s v="Micro Innovations USB RF Wireless Keyboard with Mouse"/>
    <n v="40"/>
    <n v="2"/>
    <x v="1538"/>
    <x v="11"/>
    <x v="2"/>
  </r>
  <r>
    <n v="45287"/>
    <x v="306"/>
    <x v="3"/>
    <x v="0"/>
    <x v="1"/>
    <s v="Avery File Folder Labels"/>
    <n v="20.16"/>
    <n v="7"/>
    <x v="3654"/>
    <x v="11"/>
    <x v="2"/>
  </r>
  <r>
    <n v="45287"/>
    <x v="476"/>
    <x v="10"/>
    <x v="0"/>
    <x v="7"/>
    <s v="OIC Colored Binder Clips, Assorted Sizes"/>
    <n v="17.18"/>
    <n v="6"/>
    <x v="3990"/>
    <x v="11"/>
    <x v="2"/>
  </r>
  <r>
    <n v="45287"/>
    <x v="677"/>
    <x v="5"/>
    <x v="0"/>
    <x v="1"/>
    <s v="Avery 479"/>
    <n v="2.61"/>
    <n v="1"/>
    <x v="217"/>
    <x v="11"/>
    <x v="2"/>
  </r>
  <r>
    <n v="45289"/>
    <x v="47"/>
    <x v="21"/>
    <x v="1"/>
    <x v="5"/>
    <s v="Global Leather &amp; Oak Executive Chair, Burgundy"/>
    <n v="754.45"/>
    <n v="5"/>
    <x v="3991"/>
    <x v="11"/>
    <x v="2"/>
  </r>
  <r>
    <n v="45289"/>
    <x v="75"/>
    <x v="1"/>
    <x v="0"/>
    <x v="0"/>
    <s v="White Computer Printout Paper by Universal"/>
    <n v="186.05"/>
    <n v="6"/>
    <x v="3992"/>
    <x v="11"/>
    <x v="2"/>
  </r>
  <r>
    <n v="45289"/>
    <x v="634"/>
    <x v="15"/>
    <x v="0"/>
    <x v="3"/>
    <s v="GBC Wire Binding Strips"/>
    <n v="38.090000000000003"/>
    <n v="4"/>
    <x v="3289"/>
    <x v="11"/>
    <x v="2"/>
  </r>
  <r>
    <n v="45289"/>
    <x v="634"/>
    <x v="15"/>
    <x v="0"/>
    <x v="3"/>
    <s v="Zipper Ring Binder Pockets"/>
    <n v="2.81"/>
    <n v="3"/>
    <x v="1265"/>
    <x v="11"/>
    <x v="2"/>
  </r>
  <r>
    <n v="45289"/>
    <x v="101"/>
    <x v="42"/>
    <x v="1"/>
    <x v="8"/>
    <s v="Executive Impressions 10&quot; Spectator Wall Clock"/>
    <n v="70.56"/>
    <n v="6"/>
    <x v="1580"/>
    <x v="11"/>
    <x v="2"/>
  </r>
  <r>
    <n v="45289"/>
    <x v="101"/>
    <x v="42"/>
    <x v="0"/>
    <x v="12"/>
    <s v="Belkin 8 Outlet Surge Protector"/>
    <n v="81.96"/>
    <n v="2"/>
    <x v="104"/>
    <x v="11"/>
    <x v="2"/>
  </r>
  <r>
    <n v="45289"/>
    <x v="766"/>
    <x v="3"/>
    <x v="0"/>
    <x v="3"/>
    <s v="Acco Translucent Poly Ring Binders"/>
    <n v="11.23"/>
    <n v="3"/>
    <x v="28"/>
    <x v="11"/>
    <x v="2"/>
  </r>
  <r>
    <n v="45289"/>
    <x v="318"/>
    <x v="11"/>
    <x v="0"/>
    <x v="10"/>
    <s v="Peel &amp; Seel Recycled Catalog Envelopes, Brown"/>
    <n v="27.79"/>
    <n v="3"/>
    <x v="3993"/>
    <x v="11"/>
    <x v="2"/>
  </r>
  <r>
    <n v="45289"/>
    <x v="167"/>
    <x v="16"/>
    <x v="0"/>
    <x v="0"/>
    <s v="Xerox 1898"/>
    <n v="37.409999999999997"/>
    <n v="7"/>
    <x v="30"/>
    <x v="11"/>
    <x v="2"/>
  </r>
  <r>
    <n v="45289"/>
    <x v="167"/>
    <x v="16"/>
    <x v="0"/>
    <x v="0"/>
    <s v="Astroparche Fine Business Paper"/>
    <n v="25.34"/>
    <n v="6"/>
    <x v="1877"/>
    <x v="11"/>
    <x v="2"/>
  </r>
  <r>
    <n v="45289"/>
    <x v="251"/>
    <x v="3"/>
    <x v="0"/>
    <x v="2"/>
    <s v="Project Tote Personal File"/>
    <n v="14.03"/>
    <n v="1"/>
    <x v="403"/>
    <x v="11"/>
    <x v="2"/>
  </r>
  <r>
    <n v="45289"/>
    <x v="251"/>
    <x v="3"/>
    <x v="0"/>
    <x v="14"/>
    <s v="Fiskars Spring-Action Scissors"/>
    <n v="27.96"/>
    <n v="2"/>
    <x v="3994"/>
    <x v="11"/>
    <x v="2"/>
  </r>
  <r>
    <n v="45290"/>
    <x v="435"/>
    <x v="0"/>
    <x v="0"/>
    <x v="3"/>
    <s v="Avery Binding System Hidden Tab Executive Style Index Sets"/>
    <n v="6.92"/>
    <n v="6"/>
    <x v="1934"/>
    <x v="11"/>
    <x v="2"/>
  </r>
  <r>
    <n v="45290"/>
    <x v="240"/>
    <x v="10"/>
    <x v="0"/>
    <x v="1"/>
    <s v="Avery 487"/>
    <n v="5.9"/>
    <n v="2"/>
    <x v="1380"/>
    <x v="11"/>
    <x v="2"/>
  </r>
  <r>
    <n v="45290"/>
    <x v="240"/>
    <x v="10"/>
    <x v="0"/>
    <x v="14"/>
    <s v="Acme Office Executive Series Stainless Steel Trimmers"/>
    <n v="13.71"/>
    <n v="2"/>
    <x v="812"/>
    <x v="11"/>
    <x v="2"/>
  </r>
  <r>
    <n v="45290"/>
    <x v="425"/>
    <x v="3"/>
    <x v="0"/>
    <x v="2"/>
    <s v="Iceberg Mobile Mega Data/Printer Cart"/>
    <n v="481.32"/>
    <n v="4"/>
    <x v="2984"/>
    <x v="11"/>
    <x v="2"/>
  </r>
  <r>
    <n v="45290"/>
    <x v="425"/>
    <x v="3"/>
    <x v="0"/>
    <x v="3"/>
    <s v="Cardinal Hold-It CD Pocket"/>
    <n v="6.38"/>
    <n v="1"/>
    <x v="2147"/>
    <x v="11"/>
    <x v="2"/>
  </r>
  <r>
    <n v="45290"/>
    <x v="12"/>
    <x v="2"/>
    <x v="1"/>
    <x v="5"/>
    <s v="Hon Deluxe Fabric Upholstered Stacking Chairs, Rounded Back"/>
    <n v="170.79"/>
    <n v="1"/>
    <x v="62"/>
    <x v="11"/>
    <x v="2"/>
  </r>
  <r>
    <n v="45290"/>
    <x v="781"/>
    <x v="2"/>
    <x v="0"/>
    <x v="4"/>
    <s v="Newell 31"/>
    <n v="16.52"/>
    <n v="5"/>
    <x v="826"/>
    <x v="11"/>
    <x v="2"/>
  </r>
  <r>
    <n v="45290"/>
    <x v="216"/>
    <x v="16"/>
    <x v="0"/>
    <x v="0"/>
    <s v="Embossed Ink Jet Note Cards"/>
    <n v="72.22"/>
    <n v="4"/>
    <x v="3995"/>
    <x v="11"/>
    <x v="2"/>
  </r>
  <r>
    <n v="45291"/>
    <x v="254"/>
    <x v="17"/>
    <x v="0"/>
    <x v="4"/>
    <s v="Crayola Anti Dust Chalk, 12/Pack"/>
    <n v="3.64"/>
    <n v="2"/>
    <x v="606"/>
    <x v="11"/>
    <x v="2"/>
  </r>
  <r>
    <n v="45291"/>
    <x v="254"/>
    <x v="17"/>
    <x v="0"/>
    <x v="3"/>
    <s v="Lock-Up Easel 'Spel-Binder'"/>
    <n v="159.77000000000001"/>
    <n v="7"/>
    <x v="3996"/>
    <x v="11"/>
    <x v="2"/>
  </r>
  <r>
    <n v="45291"/>
    <x v="280"/>
    <x v="3"/>
    <x v="2"/>
    <x v="6"/>
    <s v="Adtran 1202752G1"/>
    <n v="302.38"/>
    <n v="3"/>
    <x v="248"/>
    <x v="11"/>
    <x v="2"/>
  </r>
  <r>
    <n v="45291"/>
    <x v="287"/>
    <x v="16"/>
    <x v="0"/>
    <x v="4"/>
    <s v="Newell 345"/>
    <n v="47.62"/>
    <n v="3"/>
    <x v="3294"/>
    <x v="11"/>
    <x v="2"/>
  </r>
  <r>
    <n v="45291"/>
    <x v="287"/>
    <x v="16"/>
    <x v="0"/>
    <x v="0"/>
    <s v="Things To Do Today Pad"/>
    <n v="23.48"/>
    <n v="5"/>
    <x v="1576"/>
    <x v="11"/>
    <x v="2"/>
  </r>
  <r>
    <n v="45291"/>
    <x v="652"/>
    <x v="3"/>
    <x v="0"/>
    <x v="3"/>
    <s v="GBC Pre-Punched Binding Paper, Plastic, White, 8-1/2&quot; x 11&quot;"/>
    <n v="38.380000000000003"/>
    <n v="3"/>
    <x v="970"/>
    <x v="11"/>
    <x v="2"/>
  </r>
  <r>
    <n v="45291"/>
    <x v="257"/>
    <x v="10"/>
    <x v="0"/>
    <x v="2"/>
    <s v="Tennsco Industrial Shelving"/>
    <n v="156.51"/>
    <n v="4"/>
    <x v="3997"/>
    <x v="11"/>
    <x v="2"/>
  </r>
  <r>
    <n v="45292"/>
    <x v="41"/>
    <x v="10"/>
    <x v="1"/>
    <x v="8"/>
    <s v="Linden 10&quot; Round Wall Clock, Black"/>
    <n v="48.9"/>
    <n v="4"/>
    <x v="3998"/>
    <x v="0"/>
    <x v="3"/>
  </r>
  <r>
    <n v="45292"/>
    <x v="236"/>
    <x v="3"/>
    <x v="1"/>
    <x v="8"/>
    <s v="Howard Miller 11-1/2&quot; Diameter Brentwood Wall Clock"/>
    <n v="474.43"/>
    <n v="11"/>
    <x v="3999"/>
    <x v="0"/>
    <x v="3"/>
  </r>
  <r>
    <n v="45292"/>
    <x v="285"/>
    <x v="21"/>
    <x v="0"/>
    <x v="3"/>
    <s v="Wilson Jones Easy Flow II Sheet Lifters"/>
    <n v="3.6"/>
    <n v="2"/>
    <x v="1515"/>
    <x v="0"/>
    <x v="3"/>
  </r>
  <r>
    <n v="45292"/>
    <x v="744"/>
    <x v="0"/>
    <x v="0"/>
    <x v="2"/>
    <s v="SAFCO Boltless Steel Shelving"/>
    <n v="454.56"/>
    <n v="5"/>
    <x v="4000"/>
    <x v="0"/>
    <x v="3"/>
  </r>
  <r>
    <n v="45292"/>
    <x v="744"/>
    <x v="0"/>
    <x v="1"/>
    <x v="8"/>
    <s v="Tenex Carpeted, Granite-Look or Clear Contemporary Contour Shape Chair Mats"/>
    <n v="141.41999999999999"/>
    <n v="5"/>
    <x v="4001"/>
    <x v="0"/>
    <x v="3"/>
  </r>
  <r>
    <n v="45292"/>
    <x v="744"/>
    <x v="0"/>
    <x v="1"/>
    <x v="5"/>
    <s v="Office Star - Contemporary Task Swivel Chair"/>
    <n v="310.74"/>
    <n v="4"/>
    <x v="3588"/>
    <x v="0"/>
    <x v="3"/>
  </r>
  <r>
    <n v="45292"/>
    <x v="744"/>
    <x v="0"/>
    <x v="0"/>
    <x v="4"/>
    <s v="Fluorescent Highlighters by Dixon"/>
    <n v="12.74"/>
    <n v="4"/>
    <x v="2160"/>
    <x v="0"/>
    <x v="3"/>
  </r>
  <r>
    <n v="45292"/>
    <x v="744"/>
    <x v="0"/>
    <x v="0"/>
    <x v="3"/>
    <s v="GBC Instant Report Kit"/>
    <n v="6.47"/>
    <n v="5"/>
    <x v="4002"/>
    <x v="0"/>
    <x v="3"/>
  </r>
  <r>
    <n v="45292"/>
    <x v="744"/>
    <x v="0"/>
    <x v="0"/>
    <x v="3"/>
    <s v="Pressboard Covers with Storage Hooks, 9 1/2&quot; x 11&quot;, Light Blue"/>
    <n v="13.75"/>
    <n v="14"/>
    <x v="4003"/>
    <x v="0"/>
    <x v="3"/>
  </r>
  <r>
    <n v="45292"/>
    <x v="744"/>
    <x v="0"/>
    <x v="0"/>
    <x v="12"/>
    <s v="Fellowes Superior 10 Outlet Split Surge Protector"/>
    <n v="15.22"/>
    <n v="2"/>
    <x v="4004"/>
    <x v="0"/>
    <x v="3"/>
  </r>
  <r>
    <n v="45293"/>
    <x v="322"/>
    <x v="25"/>
    <x v="2"/>
    <x v="15"/>
    <s v="Cisco CP-7937G Unified IP Conference Station Phone"/>
    <n v="695.7"/>
    <n v="2"/>
    <x v="3242"/>
    <x v="0"/>
    <x v="3"/>
  </r>
  <r>
    <n v="45293"/>
    <x v="322"/>
    <x v="25"/>
    <x v="0"/>
    <x v="3"/>
    <s v="Avery 3 1/2&quot; Diskette Storage Pages, 10/Pack"/>
    <n v="15.66"/>
    <n v="5"/>
    <x v="4005"/>
    <x v="0"/>
    <x v="3"/>
  </r>
  <r>
    <n v="45293"/>
    <x v="322"/>
    <x v="25"/>
    <x v="0"/>
    <x v="3"/>
    <s v="Avery Recycled Flexi-View Covers for Binding Systems"/>
    <n v="28.85"/>
    <n v="6"/>
    <x v="4006"/>
    <x v="0"/>
    <x v="3"/>
  </r>
  <r>
    <n v="45293"/>
    <x v="603"/>
    <x v="0"/>
    <x v="0"/>
    <x v="4"/>
    <s v="Newell 319"/>
    <n v="31.74"/>
    <n v="2"/>
    <x v="3215"/>
    <x v="0"/>
    <x v="3"/>
  </r>
  <r>
    <n v="45293"/>
    <x v="603"/>
    <x v="0"/>
    <x v="0"/>
    <x v="12"/>
    <s v="Hoover Commercial SteamVac"/>
    <n v="5.43"/>
    <n v="2"/>
    <x v="4007"/>
    <x v="0"/>
    <x v="3"/>
  </r>
  <r>
    <n v="45293"/>
    <x v="603"/>
    <x v="0"/>
    <x v="1"/>
    <x v="13"/>
    <s v="Bevis Oval Conference Table, Walnut"/>
    <n v="913.43"/>
    <n v="5"/>
    <x v="4008"/>
    <x v="0"/>
    <x v="3"/>
  </r>
  <r>
    <n v="45293"/>
    <x v="603"/>
    <x v="0"/>
    <x v="0"/>
    <x v="2"/>
    <s v="Dual Level, Single-Width Filing Carts"/>
    <n v="372.14"/>
    <n v="3"/>
    <x v="4009"/>
    <x v="0"/>
    <x v="3"/>
  </r>
  <r>
    <n v="45293"/>
    <x v="623"/>
    <x v="3"/>
    <x v="2"/>
    <x v="9"/>
    <s v="Kensington K72356US Mouse-in-a-Box USB Desktop Mouse"/>
    <n v="16.59"/>
    <n v="1"/>
    <x v="4010"/>
    <x v="0"/>
    <x v="3"/>
  </r>
  <r>
    <n v="45294"/>
    <x v="16"/>
    <x v="3"/>
    <x v="0"/>
    <x v="0"/>
    <s v="Xerox 1905"/>
    <n v="38.880000000000003"/>
    <n v="6"/>
    <x v="2107"/>
    <x v="0"/>
    <x v="3"/>
  </r>
  <r>
    <n v="45294"/>
    <x v="616"/>
    <x v="3"/>
    <x v="0"/>
    <x v="3"/>
    <s v="GBC ProClick 150 Presentation Binding System"/>
    <n v="2022.27"/>
    <n v="8"/>
    <x v="4011"/>
    <x v="0"/>
    <x v="3"/>
  </r>
  <r>
    <n v="45294"/>
    <x v="616"/>
    <x v="3"/>
    <x v="0"/>
    <x v="4"/>
    <s v="Manco Dry-Lighter Erasable Highlighter"/>
    <n v="9.1199999999999992"/>
    <n v="3"/>
    <x v="1040"/>
    <x v="0"/>
    <x v="3"/>
  </r>
  <r>
    <n v="45297"/>
    <x v="285"/>
    <x v="33"/>
    <x v="0"/>
    <x v="3"/>
    <s v="Wilson Jones Turn Tabs Binder Tool for Ring Binders"/>
    <n v="33.74"/>
    <n v="7"/>
    <x v="1617"/>
    <x v="0"/>
    <x v="3"/>
  </r>
  <r>
    <n v="45298"/>
    <x v="620"/>
    <x v="14"/>
    <x v="2"/>
    <x v="15"/>
    <s v="Lexmark MX611dhe Monochrome Laser Printer"/>
    <n v="3059.98"/>
    <n v="2"/>
    <x v="4012"/>
    <x v="0"/>
    <x v="3"/>
  </r>
  <r>
    <n v="45298"/>
    <x v="669"/>
    <x v="16"/>
    <x v="0"/>
    <x v="3"/>
    <s v="Zipper Ring Binder Pockets"/>
    <n v="2.81"/>
    <n v="3"/>
    <x v="1265"/>
    <x v="0"/>
    <x v="3"/>
  </r>
  <r>
    <n v="45298"/>
    <x v="509"/>
    <x v="3"/>
    <x v="0"/>
    <x v="2"/>
    <s v="Eldon Fold 'N Roll Cart System"/>
    <n v="153.78"/>
    <n v="11"/>
    <x v="4013"/>
    <x v="0"/>
    <x v="3"/>
  </r>
  <r>
    <n v="45298"/>
    <x v="509"/>
    <x v="3"/>
    <x v="0"/>
    <x v="2"/>
    <s v="Tennsco Commercial Shelving"/>
    <n v="61.02"/>
    <n v="3"/>
    <x v="4014"/>
    <x v="0"/>
    <x v="3"/>
  </r>
  <r>
    <n v="45298"/>
    <x v="509"/>
    <x v="3"/>
    <x v="0"/>
    <x v="14"/>
    <s v="Acme Galleria Hot Forged Steel Scissors with Colored Handles"/>
    <n v="110.11"/>
    <n v="7"/>
    <x v="4015"/>
    <x v="0"/>
    <x v="3"/>
  </r>
  <r>
    <n v="45298"/>
    <x v="509"/>
    <x v="3"/>
    <x v="0"/>
    <x v="7"/>
    <s v="Staples"/>
    <n v="7.89"/>
    <n v="1"/>
    <x v="339"/>
    <x v="0"/>
    <x v="3"/>
  </r>
  <r>
    <n v="45299"/>
    <x v="332"/>
    <x v="22"/>
    <x v="1"/>
    <x v="13"/>
    <s v="Balt Solid Wood Round Tables"/>
    <n v="892.98"/>
    <n v="2"/>
    <x v="4016"/>
    <x v="0"/>
    <x v="3"/>
  </r>
  <r>
    <n v="45300"/>
    <x v="443"/>
    <x v="2"/>
    <x v="0"/>
    <x v="3"/>
    <s v="Ibico Hi-Tech Manual Binding System"/>
    <n v="274.49"/>
    <n v="3"/>
    <x v="4017"/>
    <x v="0"/>
    <x v="3"/>
  </r>
  <r>
    <n v="45303"/>
    <x v="163"/>
    <x v="44"/>
    <x v="0"/>
    <x v="0"/>
    <s v="Xerox 195"/>
    <n v="40.08"/>
    <n v="6"/>
    <x v="61"/>
    <x v="0"/>
    <x v="3"/>
  </r>
  <r>
    <n v="45303"/>
    <x v="163"/>
    <x v="44"/>
    <x v="1"/>
    <x v="8"/>
    <s v="Flat Face Poster Frame"/>
    <n v="37.68"/>
    <n v="2"/>
    <x v="1533"/>
    <x v="0"/>
    <x v="3"/>
  </r>
  <r>
    <n v="45303"/>
    <x v="637"/>
    <x v="3"/>
    <x v="0"/>
    <x v="10"/>
    <s v="Staple envelope"/>
    <n v="9.7799999999999994"/>
    <n v="1"/>
    <x v="1077"/>
    <x v="0"/>
    <x v="3"/>
  </r>
  <r>
    <n v="45303"/>
    <x v="639"/>
    <x v="0"/>
    <x v="0"/>
    <x v="3"/>
    <s v="GBC Ibimaster 500 Manual ProClick Binding System"/>
    <n v="760.98"/>
    <n v="5"/>
    <x v="4018"/>
    <x v="0"/>
    <x v="3"/>
  </r>
  <r>
    <n v="45304"/>
    <x v="552"/>
    <x v="24"/>
    <x v="0"/>
    <x v="0"/>
    <s v="Xerox 23"/>
    <n v="32.4"/>
    <n v="5"/>
    <x v="327"/>
    <x v="0"/>
    <x v="3"/>
  </r>
  <r>
    <n v="45304"/>
    <x v="552"/>
    <x v="24"/>
    <x v="0"/>
    <x v="4"/>
    <s v="Hunt Boston Vacuum Mount KS Pencil Sharpener"/>
    <n v="209.94"/>
    <n v="6"/>
    <x v="2664"/>
    <x v="0"/>
    <x v="3"/>
  </r>
  <r>
    <n v="45304"/>
    <x v="552"/>
    <x v="24"/>
    <x v="0"/>
    <x v="14"/>
    <s v="Martin Yale Chadless Opener Electric Letter Opener"/>
    <n v="4164.05"/>
    <n v="5"/>
    <x v="287"/>
    <x v="0"/>
    <x v="3"/>
  </r>
  <r>
    <n v="45304"/>
    <x v="552"/>
    <x v="24"/>
    <x v="1"/>
    <x v="11"/>
    <s v="Hon Metal Bookcases, Black"/>
    <n v="212.94"/>
    <n v="3"/>
    <x v="4019"/>
    <x v="0"/>
    <x v="3"/>
  </r>
  <r>
    <n v="45305"/>
    <x v="751"/>
    <x v="25"/>
    <x v="0"/>
    <x v="10"/>
    <s v="Tyvek  Top-Opening Peel &amp; Seel Envelopes, Plain White"/>
    <n v="21.74"/>
    <n v="1"/>
    <x v="4020"/>
    <x v="0"/>
    <x v="3"/>
  </r>
  <r>
    <n v="45305"/>
    <x v="751"/>
    <x v="25"/>
    <x v="2"/>
    <x v="6"/>
    <s v="Sannysis Cute Owl Design Soft Skin Case Cover for Samsung Galaxy S4"/>
    <n v="7.92"/>
    <n v="5"/>
    <x v="2101"/>
    <x v="0"/>
    <x v="3"/>
  </r>
  <r>
    <n v="45305"/>
    <x v="609"/>
    <x v="26"/>
    <x v="2"/>
    <x v="9"/>
    <s v="ImationÂ 8GB Mini TravelDrive USB 2.0Â Flash Drive"/>
    <n v="169.06"/>
    <n v="7"/>
    <x v="4021"/>
    <x v="0"/>
    <x v="3"/>
  </r>
  <r>
    <n v="45305"/>
    <x v="609"/>
    <x v="26"/>
    <x v="0"/>
    <x v="2"/>
    <s v="Mobile Personal File Cube"/>
    <n v="168.62"/>
    <n v="9"/>
    <x v="4022"/>
    <x v="0"/>
    <x v="3"/>
  </r>
  <r>
    <n v="45305"/>
    <x v="248"/>
    <x v="15"/>
    <x v="0"/>
    <x v="10"/>
    <s v="#10- 4 1/8&quot; x 9 1/2&quot; Security-Tint Envelopes"/>
    <n v="18.34"/>
    <n v="3"/>
    <x v="4023"/>
    <x v="0"/>
    <x v="3"/>
  </r>
  <r>
    <n v="45305"/>
    <x v="248"/>
    <x v="15"/>
    <x v="0"/>
    <x v="0"/>
    <s v="Xerox 1931"/>
    <n v="36.29"/>
    <n v="7"/>
    <x v="1285"/>
    <x v="0"/>
    <x v="3"/>
  </r>
  <r>
    <n v="45305"/>
    <x v="248"/>
    <x v="15"/>
    <x v="2"/>
    <x v="6"/>
    <s v="iHome FM Clock Radio with Lightning Dock"/>
    <n v="111.98"/>
    <n v="2"/>
    <x v="3233"/>
    <x v="0"/>
    <x v="3"/>
  </r>
  <r>
    <n v="45305"/>
    <x v="248"/>
    <x v="15"/>
    <x v="0"/>
    <x v="3"/>
    <s v="Ibico Presentation Index for Binding Systems"/>
    <n v="5.97"/>
    <n v="5"/>
    <x v="1039"/>
    <x v="0"/>
    <x v="3"/>
  </r>
  <r>
    <n v="45305"/>
    <x v="248"/>
    <x v="15"/>
    <x v="0"/>
    <x v="3"/>
    <s v="Avery Durable Slant Ring Binders With Label Holder"/>
    <n v="2.5099999999999998"/>
    <n v="2"/>
    <x v="4024"/>
    <x v="0"/>
    <x v="3"/>
  </r>
  <r>
    <n v="45305"/>
    <x v="703"/>
    <x v="3"/>
    <x v="0"/>
    <x v="0"/>
    <s v="Xerox 19"/>
    <n v="154.9"/>
    <n v="5"/>
    <x v="820"/>
    <x v="0"/>
    <x v="3"/>
  </r>
  <r>
    <n v="45305"/>
    <x v="57"/>
    <x v="18"/>
    <x v="0"/>
    <x v="2"/>
    <s v="Tenex Personal Project File with Scoop Front Design, Black"/>
    <n v="67.400000000000006"/>
    <n v="5"/>
    <x v="2943"/>
    <x v="0"/>
    <x v="3"/>
  </r>
  <r>
    <n v="45305"/>
    <x v="57"/>
    <x v="18"/>
    <x v="0"/>
    <x v="7"/>
    <s v="Bagged Rubber Bands"/>
    <n v="2.52"/>
    <n v="2"/>
    <x v="4025"/>
    <x v="0"/>
    <x v="3"/>
  </r>
  <r>
    <n v="45305"/>
    <x v="57"/>
    <x v="18"/>
    <x v="2"/>
    <x v="6"/>
    <s v="ARKON Windshield Dashboard Air Vent Car Mount Holder"/>
    <n v="67.8"/>
    <n v="4"/>
    <x v="18"/>
    <x v="0"/>
    <x v="3"/>
  </r>
  <r>
    <n v="45305"/>
    <x v="57"/>
    <x v="18"/>
    <x v="0"/>
    <x v="2"/>
    <s v="Staple magnet"/>
    <n v="18.760000000000002"/>
    <n v="2"/>
    <x v="4026"/>
    <x v="0"/>
    <x v="3"/>
  </r>
  <r>
    <n v="45305"/>
    <x v="57"/>
    <x v="18"/>
    <x v="2"/>
    <x v="9"/>
    <s v="ImationÂ USB 2.0 SwivelÂ Flash DriveÂ USBÂ flash driveÂ - 4 GB - Pink"/>
    <n v="12.12"/>
    <n v="4"/>
    <x v="2309"/>
    <x v="0"/>
    <x v="3"/>
  </r>
  <r>
    <n v="45305"/>
    <x v="57"/>
    <x v="18"/>
    <x v="0"/>
    <x v="0"/>
    <s v="Xerox 188"/>
    <n v="11.34"/>
    <n v="1"/>
    <x v="2703"/>
    <x v="0"/>
    <x v="3"/>
  </r>
  <r>
    <n v="45305"/>
    <x v="57"/>
    <x v="18"/>
    <x v="2"/>
    <x v="9"/>
    <s v="Microsoft Sculpt Comfort Mouse"/>
    <n v="159.80000000000001"/>
    <n v="4"/>
    <x v="4027"/>
    <x v="0"/>
    <x v="3"/>
  </r>
  <r>
    <n v="45305"/>
    <x v="57"/>
    <x v="18"/>
    <x v="1"/>
    <x v="8"/>
    <s v="DAX Charcoal/Nickel-Tone Document Frame, 5 x 7"/>
    <n v="18.96"/>
    <n v="2"/>
    <x v="1779"/>
    <x v="0"/>
    <x v="3"/>
  </r>
  <r>
    <n v="45306"/>
    <x v="758"/>
    <x v="2"/>
    <x v="0"/>
    <x v="12"/>
    <s v="Belkin F9M820V08 8 Outlet Surge"/>
    <n v="34.380000000000003"/>
    <n v="1"/>
    <x v="1977"/>
    <x v="0"/>
    <x v="3"/>
  </r>
  <r>
    <n v="45306"/>
    <x v="758"/>
    <x v="2"/>
    <x v="0"/>
    <x v="12"/>
    <s v="Honeywell Enviracaire Portable HEPA Air Cleaner for 17' x 22' Room"/>
    <n v="1924.16"/>
    <n v="8"/>
    <x v="4028"/>
    <x v="0"/>
    <x v="3"/>
  </r>
  <r>
    <n v="45306"/>
    <x v="42"/>
    <x v="32"/>
    <x v="0"/>
    <x v="0"/>
    <s v="Telephone Message Books with Fax/Mobile Section, 5 1/2&quot; x 3 3/16&quot;"/>
    <n v="12.7"/>
    <n v="2"/>
    <x v="460"/>
    <x v="0"/>
    <x v="3"/>
  </r>
  <r>
    <n v="45306"/>
    <x v="722"/>
    <x v="3"/>
    <x v="0"/>
    <x v="4"/>
    <s v="Newell 347"/>
    <n v="21.4"/>
    <n v="5"/>
    <x v="363"/>
    <x v="0"/>
    <x v="3"/>
  </r>
  <r>
    <n v="45306"/>
    <x v="560"/>
    <x v="0"/>
    <x v="0"/>
    <x v="3"/>
    <s v="Wilson Jones Ledger-Size, Piano-Hinge Binder, 2&quot;, Blue"/>
    <n v="32.78"/>
    <n v="4"/>
    <x v="4029"/>
    <x v="0"/>
    <x v="3"/>
  </r>
  <r>
    <n v="45306"/>
    <x v="560"/>
    <x v="0"/>
    <x v="2"/>
    <x v="9"/>
    <s v="Logitech 910-002974 M325 Wireless Mouse for Web Scrolling"/>
    <n v="47.98"/>
    <n v="2"/>
    <x v="1038"/>
    <x v="0"/>
    <x v="3"/>
  </r>
  <r>
    <n v="45306"/>
    <x v="560"/>
    <x v="0"/>
    <x v="2"/>
    <x v="9"/>
    <s v="Maxell 74 Minute CDR, 10/Pack"/>
    <n v="62.59"/>
    <n v="8"/>
    <x v="1574"/>
    <x v="0"/>
    <x v="3"/>
  </r>
  <r>
    <n v="45306"/>
    <x v="560"/>
    <x v="0"/>
    <x v="0"/>
    <x v="3"/>
    <s v="Acco D-Ring Binder w/DublLock"/>
    <n v="4.28"/>
    <n v="1"/>
    <x v="4030"/>
    <x v="0"/>
    <x v="3"/>
  </r>
  <r>
    <n v="45307"/>
    <x v="4"/>
    <x v="3"/>
    <x v="1"/>
    <x v="8"/>
    <s v="Eldon Expressions Wood and Plastic Desk Accessories, Cherry Wood"/>
    <n v="27.92"/>
    <n v="4"/>
    <x v="2718"/>
    <x v="0"/>
    <x v="3"/>
  </r>
  <r>
    <n v="45307"/>
    <x v="4"/>
    <x v="3"/>
    <x v="1"/>
    <x v="13"/>
    <s v="Lesro Sheffield Collection Coffee Table, End Table, Center Table, Corner Table"/>
    <n v="399.67"/>
    <n v="7"/>
    <x v="4031"/>
    <x v="0"/>
    <x v="3"/>
  </r>
  <r>
    <n v="45307"/>
    <x v="539"/>
    <x v="14"/>
    <x v="0"/>
    <x v="3"/>
    <s v="GBC DocuBind P400 Electric Binding System"/>
    <n v="5443.96"/>
    <n v="4"/>
    <x v="4032"/>
    <x v="0"/>
    <x v="3"/>
  </r>
  <r>
    <n v="45307"/>
    <x v="539"/>
    <x v="14"/>
    <x v="1"/>
    <x v="5"/>
    <s v="Office Star Flex Back Scooter Chair with Aluminum Finish Frame"/>
    <n v="302.67"/>
    <n v="3"/>
    <x v="4033"/>
    <x v="0"/>
    <x v="3"/>
  </r>
  <r>
    <n v="45307"/>
    <x v="539"/>
    <x v="14"/>
    <x v="0"/>
    <x v="0"/>
    <s v="TOPS Money Receipt Book, Consecutively Numbered in Red,"/>
    <n v="56.07"/>
    <n v="7"/>
    <x v="4034"/>
    <x v="0"/>
    <x v="3"/>
  </r>
  <r>
    <n v="45310"/>
    <x v="275"/>
    <x v="0"/>
    <x v="0"/>
    <x v="1"/>
    <s v="Avery 510"/>
    <n v="6"/>
    <n v="2"/>
    <x v="2266"/>
    <x v="0"/>
    <x v="3"/>
  </r>
  <r>
    <n v="45310"/>
    <x v="777"/>
    <x v="2"/>
    <x v="2"/>
    <x v="6"/>
    <s v="Wilson Electronics DB Pro Signal Booster"/>
    <n v="429.6"/>
    <n v="2"/>
    <x v="4035"/>
    <x v="0"/>
    <x v="3"/>
  </r>
  <r>
    <n v="45310"/>
    <x v="777"/>
    <x v="2"/>
    <x v="1"/>
    <x v="8"/>
    <s v="12-1/2 Diameter Round Wall Clock"/>
    <n v="31.97"/>
    <n v="2"/>
    <x v="1873"/>
    <x v="0"/>
    <x v="3"/>
  </r>
  <r>
    <n v="45310"/>
    <x v="777"/>
    <x v="2"/>
    <x v="1"/>
    <x v="5"/>
    <s v="Global Comet Stacking Arm Chair"/>
    <n v="887.27"/>
    <n v="3"/>
    <x v="3514"/>
    <x v="0"/>
    <x v="3"/>
  </r>
  <r>
    <n v="45310"/>
    <x v="777"/>
    <x v="2"/>
    <x v="0"/>
    <x v="0"/>
    <s v="Strathmore Photo Mount Cards"/>
    <n v="21.7"/>
    <n v="4"/>
    <x v="634"/>
    <x v="0"/>
    <x v="3"/>
  </r>
  <r>
    <n v="45310"/>
    <x v="195"/>
    <x v="45"/>
    <x v="0"/>
    <x v="0"/>
    <s v="Xerox 191"/>
    <n v="79.92"/>
    <n v="4"/>
    <x v="4036"/>
    <x v="0"/>
    <x v="3"/>
  </r>
  <r>
    <n v="45310"/>
    <x v="195"/>
    <x v="45"/>
    <x v="0"/>
    <x v="0"/>
    <s v="Xerox 1881"/>
    <n v="12.28"/>
    <n v="1"/>
    <x v="169"/>
    <x v="0"/>
    <x v="3"/>
  </r>
  <r>
    <n v="45310"/>
    <x v="195"/>
    <x v="45"/>
    <x v="0"/>
    <x v="12"/>
    <s v="Avanti 4.4 Cu. Ft. Refrigerator"/>
    <n v="542.94000000000005"/>
    <n v="3"/>
    <x v="2213"/>
    <x v="0"/>
    <x v="3"/>
  </r>
  <r>
    <n v="45310"/>
    <x v="195"/>
    <x v="45"/>
    <x v="0"/>
    <x v="10"/>
    <s v="Poly String Tie Envelopes"/>
    <n v="2.04"/>
    <n v="1"/>
    <x v="591"/>
    <x v="0"/>
    <x v="3"/>
  </r>
  <r>
    <n v="45311"/>
    <x v="755"/>
    <x v="20"/>
    <x v="1"/>
    <x v="5"/>
    <s v="Global Deluxe Steno Chair"/>
    <n v="207.85"/>
    <n v="3"/>
    <x v="3264"/>
    <x v="0"/>
    <x v="3"/>
  </r>
  <r>
    <n v="45311"/>
    <x v="433"/>
    <x v="3"/>
    <x v="2"/>
    <x v="6"/>
    <s v="RCA Visys Integrated PBX 8-Line Router"/>
    <n v="160.78"/>
    <n v="3"/>
    <x v="3678"/>
    <x v="0"/>
    <x v="3"/>
  </r>
  <r>
    <n v="45311"/>
    <x v="51"/>
    <x v="3"/>
    <x v="0"/>
    <x v="4"/>
    <s v="Staples in misc. colors"/>
    <n v="24.2"/>
    <n v="5"/>
    <x v="1582"/>
    <x v="0"/>
    <x v="3"/>
  </r>
  <r>
    <n v="45311"/>
    <x v="51"/>
    <x v="3"/>
    <x v="2"/>
    <x v="6"/>
    <s v="Panasonic KX-TG9541B DECT 6.0 Digital 2-Line Expandable Cordless Phone With Digital Answering System"/>
    <n v="359.98"/>
    <n v="3"/>
    <x v="4037"/>
    <x v="0"/>
    <x v="3"/>
  </r>
  <r>
    <n v="45311"/>
    <x v="467"/>
    <x v="37"/>
    <x v="0"/>
    <x v="4"/>
    <s v="Newell 326"/>
    <n v="3.52"/>
    <n v="2"/>
    <x v="2708"/>
    <x v="0"/>
    <x v="3"/>
  </r>
  <r>
    <n v="45311"/>
    <x v="505"/>
    <x v="1"/>
    <x v="0"/>
    <x v="1"/>
    <s v="Avery File Folder Labels"/>
    <n v="11.52"/>
    <n v="5"/>
    <x v="1682"/>
    <x v="0"/>
    <x v="3"/>
  </r>
  <r>
    <n v="45312"/>
    <x v="293"/>
    <x v="22"/>
    <x v="0"/>
    <x v="2"/>
    <s v="Carina Double Wide Media Storage Towers in Natural &amp; Black"/>
    <n v="242.94"/>
    <n v="3"/>
    <x v="584"/>
    <x v="0"/>
    <x v="3"/>
  </r>
  <r>
    <n v="45312"/>
    <x v="293"/>
    <x v="22"/>
    <x v="2"/>
    <x v="9"/>
    <s v="LogitechÂ Illuminated - Keyboard"/>
    <n v="179.97"/>
    <n v="3"/>
    <x v="103"/>
    <x v="0"/>
    <x v="3"/>
  </r>
  <r>
    <n v="45312"/>
    <x v="293"/>
    <x v="22"/>
    <x v="0"/>
    <x v="3"/>
    <s v="Wilson Jones Century Plastic Molded Ring Binders"/>
    <n v="99.7"/>
    <n v="6"/>
    <x v="4038"/>
    <x v="0"/>
    <x v="3"/>
  </r>
  <r>
    <n v="45312"/>
    <x v="293"/>
    <x v="22"/>
    <x v="0"/>
    <x v="3"/>
    <s v="Wilson Jones Leather-Like Binders with DublLock Round Rings"/>
    <n v="27.94"/>
    <n v="4"/>
    <x v="244"/>
    <x v="0"/>
    <x v="3"/>
  </r>
  <r>
    <n v="45312"/>
    <x v="293"/>
    <x v="22"/>
    <x v="1"/>
    <x v="11"/>
    <s v="O'Sullivan Cherrywood Estates Traditional Bookcase"/>
    <n v="84.98"/>
    <n v="1"/>
    <x v="4039"/>
    <x v="0"/>
    <x v="3"/>
  </r>
  <r>
    <n v="45312"/>
    <x v="293"/>
    <x v="22"/>
    <x v="0"/>
    <x v="3"/>
    <s v="Acco Translucent Poly Ring Binders"/>
    <n v="18.72"/>
    <n v="5"/>
    <x v="945"/>
    <x v="0"/>
    <x v="3"/>
  </r>
  <r>
    <n v="45312"/>
    <x v="577"/>
    <x v="25"/>
    <x v="0"/>
    <x v="2"/>
    <s v="Fellowes Mobile File Cart, Black"/>
    <n v="348.21"/>
    <n v="7"/>
    <x v="4040"/>
    <x v="0"/>
    <x v="3"/>
  </r>
  <r>
    <n v="45312"/>
    <x v="577"/>
    <x v="25"/>
    <x v="0"/>
    <x v="3"/>
    <s v="GBC Recycled VeloBinder Covers"/>
    <n v="35.78"/>
    <n v="7"/>
    <x v="4041"/>
    <x v="0"/>
    <x v="3"/>
  </r>
  <r>
    <n v="45312"/>
    <x v="772"/>
    <x v="14"/>
    <x v="0"/>
    <x v="3"/>
    <s v="Avery Durable Binders"/>
    <n v="14.4"/>
    <n v="5"/>
    <x v="639"/>
    <x v="0"/>
    <x v="3"/>
  </r>
  <r>
    <n v="45312"/>
    <x v="772"/>
    <x v="14"/>
    <x v="2"/>
    <x v="9"/>
    <s v="Logitech G19 Programmable Gaming Keyboard"/>
    <n v="619.95000000000005"/>
    <n v="5"/>
    <x v="2257"/>
    <x v="0"/>
    <x v="3"/>
  </r>
  <r>
    <n v="45312"/>
    <x v="772"/>
    <x v="14"/>
    <x v="0"/>
    <x v="3"/>
    <s v="Avery Flip-Chart Easel Binder, Black"/>
    <n v="89.52"/>
    <n v="4"/>
    <x v="3741"/>
    <x v="0"/>
    <x v="3"/>
  </r>
  <r>
    <n v="45312"/>
    <x v="772"/>
    <x v="14"/>
    <x v="2"/>
    <x v="15"/>
    <s v="I.R.I.S IRISCard Anywhere 5 Card Scanner"/>
    <n v="350.97"/>
    <n v="3"/>
    <x v="4042"/>
    <x v="0"/>
    <x v="3"/>
  </r>
  <r>
    <n v="45312"/>
    <x v="772"/>
    <x v="14"/>
    <x v="2"/>
    <x v="6"/>
    <s v="Ativa D5772 2-Line 5.8GHz Digital Expandable Corded/Cordless Phone System with Answering &amp; Caller ID/Call Waiting, Black/Silver"/>
    <n v="164.99"/>
    <n v="1"/>
    <x v="4043"/>
    <x v="0"/>
    <x v="3"/>
  </r>
  <r>
    <n v="45312"/>
    <x v="737"/>
    <x v="1"/>
    <x v="0"/>
    <x v="10"/>
    <s v="Airmail Envelopes"/>
    <n v="268.58"/>
    <n v="4"/>
    <x v="4044"/>
    <x v="0"/>
    <x v="3"/>
  </r>
  <r>
    <n v="45313"/>
    <x v="525"/>
    <x v="35"/>
    <x v="2"/>
    <x v="16"/>
    <s v="Canon Image Class D660 Copier"/>
    <n v="2999.95"/>
    <n v="5"/>
    <x v="4045"/>
    <x v="0"/>
    <x v="3"/>
  </r>
  <r>
    <n v="45313"/>
    <x v="525"/>
    <x v="35"/>
    <x v="0"/>
    <x v="2"/>
    <s v="Advantus Rolling Storage Box"/>
    <n v="51.45"/>
    <n v="3"/>
    <x v="1562"/>
    <x v="0"/>
    <x v="3"/>
  </r>
  <r>
    <n v="45313"/>
    <x v="525"/>
    <x v="35"/>
    <x v="0"/>
    <x v="0"/>
    <s v="Great White Multi-Use Recycled Paper (20Lb. and 84 Bright)"/>
    <n v="11.96"/>
    <n v="2"/>
    <x v="1907"/>
    <x v="0"/>
    <x v="3"/>
  </r>
  <r>
    <n v="45313"/>
    <x v="525"/>
    <x v="35"/>
    <x v="0"/>
    <x v="2"/>
    <s v="Tennsco Single-Tier Lockers"/>
    <n v="1126.02"/>
    <n v="3"/>
    <x v="3847"/>
    <x v="0"/>
    <x v="3"/>
  </r>
  <r>
    <n v="45313"/>
    <x v="150"/>
    <x v="1"/>
    <x v="0"/>
    <x v="7"/>
    <s v="Staples"/>
    <n v="15.12"/>
    <n v="5"/>
    <x v="135"/>
    <x v="0"/>
    <x v="3"/>
  </r>
  <r>
    <n v="45313"/>
    <x v="150"/>
    <x v="1"/>
    <x v="0"/>
    <x v="4"/>
    <s v="Newell 348"/>
    <n v="7.87"/>
    <n v="3"/>
    <x v="1170"/>
    <x v="0"/>
    <x v="3"/>
  </r>
  <r>
    <n v="45314"/>
    <x v="91"/>
    <x v="14"/>
    <x v="1"/>
    <x v="13"/>
    <s v="Balt Solid Wood Rectangular Table"/>
    <n v="210.98"/>
    <n v="2"/>
    <x v="4046"/>
    <x v="0"/>
    <x v="3"/>
  </r>
  <r>
    <n v="45314"/>
    <x v="10"/>
    <x v="22"/>
    <x v="0"/>
    <x v="3"/>
    <s v="Pressboard Hanging Data Binders for Unburst Sheets"/>
    <n v="19.68"/>
    <n v="5"/>
    <x v="309"/>
    <x v="0"/>
    <x v="3"/>
  </r>
  <r>
    <n v="45314"/>
    <x v="10"/>
    <x v="22"/>
    <x v="0"/>
    <x v="0"/>
    <s v="Xerox 212"/>
    <n v="25.92"/>
    <n v="4"/>
    <x v="496"/>
    <x v="0"/>
    <x v="3"/>
  </r>
  <r>
    <n v="45314"/>
    <x v="10"/>
    <x v="22"/>
    <x v="0"/>
    <x v="0"/>
    <s v="Xerox 192"/>
    <n v="6.48"/>
    <n v="1"/>
    <x v="1006"/>
    <x v="0"/>
    <x v="3"/>
  </r>
  <r>
    <n v="45314"/>
    <x v="10"/>
    <x v="22"/>
    <x v="2"/>
    <x v="6"/>
    <s v="Griffin GC17055 Auxiliary Audio Cable"/>
    <n v="86.35"/>
    <n v="6"/>
    <x v="3030"/>
    <x v="0"/>
    <x v="3"/>
  </r>
  <r>
    <n v="45314"/>
    <x v="187"/>
    <x v="12"/>
    <x v="2"/>
    <x v="9"/>
    <s v="Logitech Wireless Anywhere Mouse MX for PC and Mac"/>
    <n v="95.98"/>
    <n v="2"/>
    <x v="1471"/>
    <x v="0"/>
    <x v="3"/>
  </r>
  <r>
    <n v="45314"/>
    <x v="187"/>
    <x v="12"/>
    <x v="0"/>
    <x v="3"/>
    <s v="Wilson Jones data.warehouse D-Ring Binders with DublLock"/>
    <n v="4.9400000000000004"/>
    <n v="2"/>
    <x v="4047"/>
    <x v="0"/>
    <x v="3"/>
  </r>
  <r>
    <n v="45315"/>
    <x v="633"/>
    <x v="4"/>
    <x v="0"/>
    <x v="7"/>
    <s v="Revere Boxed Rubber Bands by Revere"/>
    <n v="5.67"/>
    <n v="3"/>
    <x v="984"/>
    <x v="0"/>
    <x v="3"/>
  </r>
  <r>
    <n v="45315"/>
    <x v="435"/>
    <x v="3"/>
    <x v="0"/>
    <x v="12"/>
    <s v="Acco Six-Outlet Power Strip, 4' Cord Length"/>
    <n v="25.86"/>
    <n v="3"/>
    <x v="1690"/>
    <x v="0"/>
    <x v="3"/>
  </r>
  <r>
    <n v="45315"/>
    <x v="435"/>
    <x v="3"/>
    <x v="0"/>
    <x v="3"/>
    <s v="Ibico EB-19 Dual Function Manual Binding System"/>
    <n v="276.77999999999997"/>
    <n v="2"/>
    <x v="3423"/>
    <x v="0"/>
    <x v="3"/>
  </r>
  <r>
    <n v="45315"/>
    <x v="435"/>
    <x v="3"/>
    <x v="2"/>
    <x v="6"/>
    <s v="Jensen SMPS-640 -Â speaker phone"/>
    <n v="110.35"/>
    <n v="3"/>
    <x v="1187"/>
    <x v="0"/>
    <x v="3"/>
  </r>
  <r>
    <n v="45317"/>
    <x v="27"/>
    <x v="33"/>
    <x v="0"/>
    <x v="4"/>
    <s v="Newell 311"/>
    <n v="15.47"/>
    <n v="7"/>
    <x v="1682"/>
    <x v="0"/>
    <x v="3"/>
  </r>
  <r>
    <n v="45317"/>
    <x v="27"/>
    <x v="33"/>
    <x v="0"/>
    <x v="3"/>
    <s v="Avery Poly Binder Pockets"/>
    <n v="7.16"/>
    <n v="2"/>
    <x v="951"/>
    <x v="0"/>
    <x v="3"/>
  </r>
  <r>
    <n v="45317"/>
    <x v="704"/>
    <x v="0"/>
    <x v="0"/>
    <x v="2"/>
    <s v="SimpliFile Personal File, Black Granite, 15w x 6-15/16d x 11-1/4h"/>
    <n v="18.16"/>
    <n v="2"/>
    <x v="4048"/>
    <x v="0"/>
    <x v="3"/>
  </r>
  <r>
    <n v="45317"/>
    <x v="740"/>
    <x v="3"/>
    <x v="0"/>
    <x v="7"/>
    <s v="Binder Clips by OIC"/>
    <n v="11.84"/>
    <n v="8"/>
    <x v="123"/>
    <x v="0"/>
    <x v="3"/>
  </r>
  <r>
    <n v="45317"/>
    <x v="32"/>
    <x v="4"/>
    <x v="1"/>
    <x v="8"/>
    <s v="Artistic Insta-Plaque"/>
    <n v="62.72"/>
    <n v="4"/>
    <x v="4049"/>
    <x v="0"/>
    <x v="3"/>
  </r>
  <r>
    <n v="45317"/>
    <x v="32"/>
    <x v="4"/>
    <x v="2"/>
    <x v="6"/>
    <s v="Samsung Galaxy Mega 6.3"/>
    <n v="2939.93"/>
    <n v="7"/>
    <x v="4050"/>
    <x v="0"/>
    <x v="3"/>
  </r>
  <r>
    <n v="45318"/>
    <x v="209"/>
    <x v="10"/>
    <x v="0"/>
    <x v="4"/>
    <s v="Newell 312"/>
    <n v="14.02"/>
    <n v="3"/>
    <x v="589"/>
    <x v="0"/>
    <x v="3"/>
  </r>
  <r>
    <n v="45318"/>
    <x v="209"/>
    <x v="10"/>
    <x v="2"/>
    <x v="9"/>
    <s v="Anker Ultrathin Bluetooth Wireless Keyboard Aluminum Cover with Stand"/>
    <n v="71.98"/>
    <n v="3"/>
    <x v="4051"/>
    <x v="0"/>
    <x v="3"/>
  </r>
  <r>
    <n v="45318"/>
    <x v="209"/>
    <x v="10"/>
    <x v="2"/>
    <x v="6"/>
    <s v="JBL Micro Wireless Portable Bluetooth Speaker"/>
    <n v="107.98"/>
    <n v="3"/>
    <x v="1665"/>
    <x v="0"/>
    <x v="3"/>
  </r>
  <r>
    <n v="45318"/>
    <x v="614"/>
    <x v="20"/>
    <x v="2"/>
    <x v="6"/>
    <s v="Jensen SMPS-640 -Â speaker phone"/>
    <n v="137.94"/>
    <n v="3"/>
    <x v="3859"/>
    <x v="0"/>
    <x v="3"/>
  </r>
  <r>
    <n v="45319"/>
    <x v="165"/>
    <x v="3"/>
    <x v="2"/>
    <x v="9"/>
    <s v="Logitech G13 Programmable Gameboard with LCD Display"/>
    <n v="239.97"/>
    <n v="3"/>
    <x v="4052"/>
    <x v="0"/>
    <x v="3"/>
  </r>
  <r>
    <n v="45319"/>
    <x v="165"/>
    <x v="3"/>
    <x v="1"/>
    <x v="8"/>
    <s v="DAX Executive Solid Wood Document Frame, Desktop or Hang, Mahogany, 5 x 7"/>
    <n v="37.74"/>
    <n v="3"/>
    <x v="3299"/>
    <x v="0"/>
    <x v="3"/>
  </r>
  <r>
    <n v="45319"/>
    <x v="656"/>
    <x v="42"/>
    <x v="0"/>
    <x v="0"/>
    <s v="Xerox 1934"/>
    <n v="279.89999999999998"/>
    <n v="5"/>
    <x v="2256"/>
    <x v="0"/>
    <x v="3"/>
  </r>
  <r>
    <n v="45319"/>
    <x v="750"/>
    <x v="20"/>
    <x v="2"/>
    <x v="9"/>
    <s v="Plantronics Audio 478 Stereo USB Headset"/>
    <n v="449.91"/>
    <n v="9"/>
    <x v="4053"/>
    <x v="0"/>
    <x v="3"/>
  </r>
  <r>
    <n v="45320"/>
    <x v="584"/>
    <x v="1"/>
    <x v="0"/>
    <x v="3"/>
    <s v="GBC Clear Cover, 8-1/2 x 11, unpunched, 25 covers per pack"/>
    <n v="12.13"/>
    <n v="4"/>
    <x v="4054"/>
    <x v="0"/>
    <x v="3"/>
  </r>
  <r>
    <n v="45320"/>
    <x v="339"/>
    <x v="3"/>
    <x v="0"/>
    <x v="4"/>
    <s v="Newell 339"/>
    <n v="8.34"/>
    <n v="3"/>
    <x v="1733"/>
    <x v="0"/>
    <x v="3"/>
  </r>
  <r>
    <n v="45320"/>
    <x v="339"/>
    <x v="3"/>
    <x v="0"/>
    <x v="14"/>
    <s v="Acme Office Executive Series Stainless Steel Trimmers"/>
    <n v="8.57"/>
    <n v="1"/>
    <x v="2160"/>
    <x v="0"/>
    <x v="3"/>
  </r>
  <r>
    <n v="45320"/>
    <x v="339"/>
    <x v="3"/>
    <x v="0"/>
    <x v="3"/>
    <s v="Clear Mylar Reinforcing Strips"/>
    <n v="119.62"/>
    <n v="8"/>
    <x v="3365"/>
    <x v="0"/>
    <x v="3"/>
  </r>
  <r>
    <n v="45320"/>
    <x v="122"/>
    <x v="20"/>
    <x v="0"/>
    <x v="1"/>
    <s v="Permanent Self-Adhesive File Folder Labels for Typewriters by Universal"/>
    <n v="5.22"/>
    <n v="2"/>
    <x v="426"/>
    <x v="0"/>
    <x v="3"/>
  </r>
  <r>
    <n v="45320"/>
    <x v="741"/>
    <x v="2"/>
    <x v="0"/>
    <x v="4"/>
    <s v="Premium Writing Pencils, Soft, #2 by Central Association for the Blind"/>
    <n v="4.7699999999999996"/>
    <n v="2"/>
    <x v="1294"/>
    <x v="0"/>
    <x v="3"/>
  </r>
  <r>
    <n v="45320"/>
    <x v="51"/>
    <x v="30"/>
    <x v="0"/>
    <x v="0"/>
    <s v="Xerox 1997"/>
    <n v="12.96"/>
    <n v="2"/>
    <x v="113"/>
    <x v="0"/>
    <x v="3"/>
  </r>
  <r>
    <n v="45320"/>
    <x v="51"/>
    <x v="30"/>
    <x v="0"/>
    <x v="0"/>
    <s v="Xerox 1887"/>
    <n v="94.85"/>
    <n v="5"/>
    <x v="1251"/>
    <x v="0"/>
    <x v="3"/>
  </r>
  <r>
    <n v="45320"/>
    <x v="51"/>
    <x v="30"/>
    <x v="0"/>
    <x v="2"/>
    <s v="Tenex Personal Project File with Scoop Front Design, Black"/>
    <n v="13.48"/>
    <n v="1"/>
    <x v="3137"/>
    <x v="0"/>
    <x v="3"/>
  </r>
  <r>
    <n v="45320"/>
    <x v="51"/>
    <x v="30"/>
    <x v="1"/>
    <x v="8"/>
    <s v="DAX Value U-Channel Document Frames, Easel Back"/>
    <n v="14.91"/>
    <n v="3"/>
    <x v="1076"/>
    <x v="0"/>
    <x v="3"/>
  </r>
  <r>
    <n v="45321"/>
    <x v="625"/>
    <x v="30"/>
    <x v="0"/>
    <x v="3"/>
    <s v="Cardinal EasyOpen D-Ring Binders"/>
    <n v="18.28"/>
    <n v="2"/>
    <x v="4055"/>
    <x v="0"/>
    <x v="3"/>
  </r>
  <r>
    <n v="45321"/>
    <x v="625"/>
    <x v="30"/>
    <x v="2"/>
    <x v="6"/>
    <s v="AT&amp;T 841000 Phone"/>
    <n v="207"/>
    <n v="3"/>
    <x v="3854"/>
    <x v="0"/>
    <x v="3"/>
  </r>
  <r>
    <n v="45321"/>
    <x v="625"/>
    <x v="30"/>
    <x v="0"/>
    <x v="3"/>
    <s v="GBC Instant Report Kit"/>
    <n v="32.35"/>
    <n v="5"/>
    <x v="1806"/>
    <x v="0"/>
    <x v="3"/>
  </r>
  <r>
    <n v="45321"/>
    <x v="625"/>
    <x v="30"/>
    <x v="0"/>
    <x v="3"/>
    <s v="DXL Angle-View Binders with Locking Rings by Samsill"/>
    <n v="7.71"/>
    <n v="1"/>
    <x v="1540"/>
    <x v="0"/>
    <x v="3"/>
  </r>
  <r>
    <n v="45321"/>
    <x v="625"/>
    <x v="30"/>
    <x v="0"/>
    <x v="4"/>
    <s v="Boston 19500 Mighty Mite Electric Pencil Sharpener"/>
    <n v="40.299999999999997"/>
    <n v="2"/>
    <x v="1005"/>
    <x v="0"/>
    <x v="3"/>
  </r>
  <r>
    <n v="45321"/>
    <x v="625"/>
    <x v="30"/>
    <x v="1"/>
    <x v="8"/>
    <s v="C-Line Magnetic Cubicle Keepers, Clear Polypropylene"/>
    <n v="34.58"/>
    <n v="7"/>
    <x v="598"/>
    <x v="0"/>
    <x v="3"/>
  </r>
  <r>
    <n v="45321"/>
    <x v="13"/>
    <x v="3"/>
    <x v="0"/>
    <x v="2"/>
    <s v="Space Solutions Commercial Steel Shelving"/>
    <n v="129.30000000000001"/>
    <n v="2"/>
    <x v="257"/>
    <x v="0"/>
    <x v="3"/>
  </r>
  <r>
    <n v="45321"/>
    <x v="469"/>
    <x v="3"/>
    <x v="0"/>
    <x v="4"/>
    <s v="Crayola Anti Dust Chalk, 12/Pack"/>
    <n v="12.74"/>
    <n v="7"/>
    <x v="4056"/>
    <x v="0"/>
    <x v="3"/>
  </r>
  <r>
    <n v="45321"/>
    <x v="469"/>
    <x v="3"/>
    <x v="0"/>
    <x v="4"/>
    <s v="Newell 338"/>
    <n v="8.82"/>
    <n v="3"/>
    <x v="459"/>
    <x v="0"/>
    <x v="3"/>
  </r>
  <r>
    <n v="45321"/>
    <x v="469"/>
    <x v="3"/>
    <x v="1"/>
    <x v="5"/>
    <s v="Novimex Swivel Fabric Task Chair"/>
    <n v="120.78"/>
    <n v="1"/>
    <x v="4057"/>
    <x v="0"/>
    <x v="3"/>
  </r>
  <r>
    <n v="45321"/>
    <x v="185"/>
    <x v="16"/>
    <x v="1"/>
    <x v="5"/>
    <s v="Office Star - Contemporary Task Swivel chair with 2-way adjustable arms, Plum"/>
    <n v="419.14"/>
    <n v="4"/>
    <x v="4058"/>
    <x v="0"/>
    <x v="3"/>
  </r>
  <r>
    <n v="45321"/>
    <x v="760"/>
    <x v="1"/>
    <x v="1"/>
    <x v="13"/>
    <s v="Balt Split Level Computer Training Table"/>
    <n v="69.38"/>
    <n v="1"/>
    <x v="2931"/>
    <x v="0"/>
    <x v="3"/>
  </r>
  <r>
    <n v="45321"/>
    <x v="760"/>
    <x v="1"/>
    <x v="0"/>
    <x v="14"/>
    <s v="Acme Tagit Stainless Steel Antibacterial Scissors"/>
    <n v="31.68"/>
    <n v="4"/>
    <x v="2210"/>
    <x v="0"/>
    <x v="3"/>
  </r>
  <r>
    <n v="45321"/>
    <x v="760"/>
    <x v="1"/>
    <x v="2"/>
    <x v="6"/>
    <s v="Samsung Galaxy S4"/>
    <n v="2003.17"/>
    <n v="4"/>
    <x v="4059"/>
    <x v="0"/>
    <x v="3"/>
  </r>
  <r>
    <n v="45321"/>
    <x v="760"/>
    <x v="1"/>
    <x v="0"/>
    <x v="4"/>
    <s v="Quartet Omega Colored Chalk, 12/Pack"/>
    <n v="9.34"/>
    <n v="2"/>
    <x v="1999"/>
    <x v="0"/>
    <x v="3"/>
  </r>
  <r>
    <n v="45321"/>
    <x v="381"/>
    <x v="22"/>
    <x v="2"/>
    <x v="6"/>
    <s v="Mitel 5320 IP Phone VoIP phone"/>
    <n v="604.77"/>
    <n v="4"/>
    <x v="698"/>
    <x v="0"/>
    <x v="3"/>
  </r>
  <r>
    <n v="45324"/>
    <x v="360"/>
    <x v="10"/>
    <x v="2"/>
    <x v="6"/>
    <s v="Anker 36W 4-Port USB Wall Charger Travel Power Adapter for iPhone 5s 5c 5"/>
    <n v="59.97"/>
    <n v="5"/>
    <x v="4060"/>
    <x v="1"/>
    <x v="3"/>
  </r>
  <r>
    <n v="45324"/>
    <x v="360"/>
    <x v="10"/>
    <x v="0"/>
    <x v="0"/>
    <s v="Xerox 1916"/>
    <n v="78.3"/>
    <n v="2"/>
    <x v="726"/>
    <x v="1"/>
    <x v="3"/>
  </r>
  <r>
    <n v="45324"/>
    <x v="360"/>
    <x v="10"/>
    <x v="0"/>
    <x v="7"/>
    <s v="Staples"/>
    <n v="21.46"/>
    <n v="9"/>
    <x v="610"/>
    <x v="1"/>
    <x v="3"/>
  </r>
  <r>
    <n v="45324"/>
    <x v="154"/>
    <x v="3"/>
    <x v="1"/>
    <x v="8"/>
    <s v="Howard Miller 11-1/2&quot; Diameter Grantwood Wall Clock"/>
    <n v="86.26"/>
    <n v="2"/>
    <x v="4061"/>
    <x v="1"/>
    <x v="3"/>
  </r>
  <r>
    <n v="45324"/>
    <x v="154"/>
    <x v="3"/>
    <x v="0"/>
    <x v="2"/>
    <s v="Multi-Use Personal File Cart and Caster Set, Three Stacking Bins"/>
    <n v="139.04"/>
    <n v="4"/>
    <x v="4062"/>
    <x v="1"/>
    <x v="3"/>
  </r>
  <r>
    <n v="45324"/>
    <x v="154"/>
    <x v="3"/>
    <x v="0"/>
    <x v="12"/>
    <s v="Harmony HEPA Quiet Air Purifiers"/>
    <n v="46.8"/>
    <n v="4"/>
    <x v="188"/>
    <x v="1"/>
    <x v="3"/>
  </r>
  <r>
    <n v="45324"/>
    <x v="731"/>
    <x v="3"/>
    <x v="1"/>
    <x v="8"/>
    <s v="Eldon Antistatic Chair Mats for Low to Medium Pile Carpets"/>
    <n v="210.58"/>
    <n v="2"/>
    <x v="4063"/>
    <x v="1"/>
    <x v="3"/>
  </r>
  <r>
    <n v="45324"/>
    <x v="731"/>
    <x v="3"/>
    <x v="0"/>
    <x v="3"/>
    <s v="GBC Durable Plastic Covers"/>
    <n v="30.96"/>
    <n v="2"/>
    <x v="3554"/>
    <x v="1"/>
    <x v="3"/>
  </r>
  <r>
    <n v="45324"/>
    <x v="731"/>
    <x v="3"/>
    <x v="2"/>
    <x v="15"/>
    <s v="HP Officejet Pro 8600 e-All-In-One Printer, Copier, Scanner, Fax"/>
    <n v="239.98"/>
    <n v="2"/>
    <x v="1874"/>
    <x v="1"/>
    <x v="3"/>
  </r>
  <r>
    <n v="45325"/>
    <x v="550"/>
    <x v="10"/>
    <x v="0"/>
    <x v="3"/>
    <s v="Fellowes Black Plastic Comb Bindings"/>
    <n v="5.23"/>
    <n v="3"/>
    <x v="3716"/>
    <x v="1"/>
    <x v="3"/>
  </r>
  <r>
    <n v="45325"/>
    <x v="550"/>
    <x v="10"/>
    <x v="0"/>
    <x v="2"/>
    <s v="Hot File 7-Pocket, Floor Stand"/>
    <n v="285.55"/>
    <n v="2"/>
    <x v="4064"/>
    <x v="1"/>
    <x v="3"/>
  </r>
  <r>
    <n v="45325"/>
    <x v="59"/>
    <x v="16"/>
    <x v="0"/>
    <x v="3"/>
    <s v="GBC Instant Report Kit"/>
    <n v="3.88"/>
    <n v="2"/>
    <x v="1497"/>
    <x v="1"/>
    <x v="3"/>
  </r>
  <r>
    <n v="45325"/>
    <x v="59"/>
    <x v="16"/>
    <x v="0"/>
    <x v="0"/>
    <s v="14-7/8 x 11 Blue Bar Computer Printout Paper"/>
    <n v="115.3"/>
    <n v="3"/>
    <x v="2586"/>
    <x v="1"/>
    <x v="3"/>
  </r>
  <r>
    <n v="45325"/>
    <x v="476"/>
    <x v="1"/>
    <x v="0"/>
    <x v="0"/>
    <s v="Xerox 2"/>
    <n v="5.18"/>
    <n v="1"/>
    <x v="1534"/>
    <x v="1"/>
    <x v="3"/>
  </r>
  <r>
    <n v="45325"/>
    <x v="476"/>
    <x v="1"/>
    <x v="0"/>
    <x v="0"/>
    <s v="Xerox 1893"/>
    <n v="65.58"/>
    <n v="2"/>
    <x v="302"/>
    <x v="1"/>
    <x v="3"/>
  </r>
  <r>
    <n v="45325"/>
    <x v="476"/>
    <x v="1"/>
    <x v="1"/>
    <x v="8"/>
    <s v="Eldon Cleatmat Chair Mats for Medium Pile Carpets"/>
    <n v="22.2"/>
    <n v="1"/>
    <x v="4065"/>
    <x v="1"/>
    <x v="3"/>
  </r>
  <r>
    <n v="45325"/>
    <x v="476"/>
    <x v="1"/>
    <x v="0"/>
    <x v="0"/>
    <s v="Xerox 189"/>
    <n v="419.4"/>
    <n v="5"/>
    <x v="3087"/>
    <x v="1"/>
    <x v="3"/>
  </r>
  <r>
    <n v="45326"/>
    <x v="705"/>
    <x v="20"/>
    <x v="0"/>
    <x v="12"/>
    <s v="Belkin 6 Outlet Metallic Surge Strip"/>
    <n v="32.67"/>
    <n v="3"/>
    <x v="197"/>
    <x v="1"/>
    <x v="3"/>
  </r>
  <r>
    <n v="45327"/>
    <x v="92"/>
    <x v="0"/>
    <x v="0"/>
    <x v="3"/>
    <s v="Ibico Hi-Tech Manual Binding System"/>
    <n v="243.99"/>
    <n v="4"/>
    <x v="4066"/>
    <x v="1"/>
    <x v="3"/>
  </r>
  <r>
    <n v="45327"/>
    <x v="92"/>
    <x v="0"/>
    <x v="0"/>
    <x v="4"/>
    <s v="Staples in misc. colors"/>
    <n v="7.12"/>
    <n v="5"/>
    <x v="2841"/>
    <x v="1"/>
    <x v="3"/>
  </r>
  <r>
    <n v="45327"/>
    <x v="452"/>
    <x v="3"/>
    <x v="0"/>
    <x v="12"/>
    <s v="Sanyo Counter Height Refrigerator with Crisper, 3.6 Cubic Foot, Stainless Steel/Black"/>
    <n v="1640.7"/>
    <n v="5"/>
    <x v="2468"/>
    <x v="1"/>
    <x v="3"/>
  </r>
  <r>
    <n v="45327"/>
    <x v="452"/>
    <x v="3"/>
    <x v="2"/>
    <x v="6"/>
    <s v="Geemarc AmpliPOWER60"/>
    <n v="371.2"/>
    <n v="5"/>
    <x v="2835"/>
    <x v="1"/>
    <x v="3"/>
  </r>
  <r>
    <n v="45328"/>
    <x v="20"/>
    <x v="6"/>
    <x v="1"/>
    <x v="11"/>
    <s v="Bush Andora Bookcase, Maple/Graphite Gray Finish"/>
    <n v="359.97"/>
    <n v="3"/>
    <x v="4067"/>
    <x v="1"/>
    <x v="3"/>
  </r>
  <r>
    <n v="45328"/>
    <x v="741"/>
    <x v="20"/>
    <x v="1"/>
    <x v="11"/>
    <s v="Atlantic Metals Mobile 5-Shelf Bookcases, Custom Colors"/>
    <n v="240.78"/>
    <n v="1"/>
    <x v="924"/>
    <x v="1"/>
    <x v="3"/>
  </r>
  <r>
    <n v="45328"/>
    <x v="457"/>
    <x v="20"/>
    <x v="2"/>
    <x v="6"/>
    <s v="Grandstream GXP1160 VoIP phone"/>
    <n v="227.46"/>
    <n v="6"/>
    <x v="4068"/>
    <x v="1"/>
    <x v="3"/>
  </r>
  <r>
    <n v="45328"/>
    <x v="457"/>
    <x v="20"/>
    <x v="0"/>
    <x v="3"/>
    <s v="Acco Recycled 2&quot; Capacity Laser Printer Hanging Data Binders"/>
    <n v="46.24"/>
    <n v="4"/>
    <x v="2054"/>
    <x v="1"/>
    <x v="3"/>
  </r>
  <r>
    <n v="45328"/>
    <x v="659"/>
    <x v="3"/>
    <x v="0"/>
    <x v="0"/>
    <s v="Xerox 1947"/>
    <n v="29.9"/>
    <n v="5"/>
    <x v="1663"/>
    <x v="1"/>
    <x v="3"/>
  </r>
  <r>
    <n v="45331"/>
    <x v="717"/>
    <x v="0"/>
    <x v="0"/>
    <x v="3"/>
    <s v="GBC ProClick 150 Presentation Binding System"/>
    <n v="252.78"/>
    <n v="4"/>
    <x v="4069"/>
    <x v="1"/>
    <x v="3"/>
  </r>
  <r>
    <n v="45331"/>
    <x v="717"/>
    <x v="0"/>
    <x v="2"/>
    <x v="9"/>
    <s v="Razer Kraken PRO Over Ear PC and Music Headset"/>
    <n v="127.98"/>
    <n v="2"/>
    <x v="2297"/>
    <x v="1"/>
    <x v="3"/>
  </r>
  <r>
    <n v="45331"/>
    <x v="717"/>
    <x v="0"/>
    <x v="1"/>
    <x v="8"/>
    <s v="Stacking Trays by OIC"/>
    <n v="3.98"/>
    <n v="2"/>
    <x v="4070"/>
    <x v="1"/>
    <x v="3"/>
  </r>
  <r>
    <n v="45331"/>
    <x v="717"/>
    <x v="0"/>
    <x v="0"/>
    <x v="12"/>
    <s v="Belkin F9S820V06 8 Outlet Surge"/>
    <n v="12.99"/>
    <n v="2"/>
    <x v="4071"/>
    <x v="1"/>
    <x v="3"/>
  </r>
  <r>
    <n v="45331"/>
    <x v="44"/>
    <x v="3"/>
    <x v="1"/>
    <x v="8"/>
    <s v="Master Big Foot Doorstop, Beige"/>
    <n v="21.12"/>
    <n v="4"/>
    <x v="945"/>
    <x v="1"/>
    <x v="3"/>
  </r>
  <r>
    <n v="45331"/>
    <x v="242"/>
    <x v="3"/>
    <x v="0"/>
    <x v="2"/>
    <s v="Sensible Storage WireTech Storage Systems"/>
    <n v="354.9"/>
    <n v="5"/>
    <x v="140"/>
    <x v="1"/>
    <x v="3"/>
  </r>
  <r>
    <n v="45332"/>
    <x v="109"/>
    <x v="3"/>
    <x v="1"/>
    <x v="11"/>
    <s v="Bush Andora Bookcase, Maple/Graphite Gray Finish"/>
    <n v="203.98"/>
    <n v="2"/>
    <x v="1919"/>
    <x v="1"/>
    <x v="3"/>
  </r>
  <r>
    <n v="45332"/>
    <x v="46"/>
    <x v="36"/>
    <x v="0"/>
    <x v="0"/>
    <s v="HP Office Recycled Paper (20Lb. and 87 Bright)"/>
    <n v="23.12"/>
    <n v="4"/>
    <x v="3099"/>
    <x v="1"/>
    <x v="3"/>
  </r>
  <r>
    <n v="45333"/>
    <x v="197"/>
    <x v="3"/>
    <x v="0"/>
    <x v="3"/>
    <s v="Acco Pressboard Covers with Storage Hooks, 14 7/8&quot; x 11&quot;, Dark Blue"/>
    <n v="21.34"/>
    <n v="7"/>
    <x v="4072"/>
    <x v="1"/>
    <x v="3"/>
  </r>
  <r>
    <n v="45333"/>
    <x v="568"/>
    <x v="22"/>
    <x v="1"/>
    <x v="5"/>
    <s v="Global Leather and Oak Executive Chair, Black"/>
    <n v="963.14"/>
    <n v="4"/>
    <x v="4073"/>
    <x v="1"/>
    <x v="3"/>
  </r>
  <r>
    <n v="45333"/>
    <x v="568"/>
    <x v="22"/>
    <x v="2"/>
    <x v="6"/>
    <s v="Logitech B530 USBÂ HeadsetÂ -Â headsetÂ - Full size, Binaural"/>
    <n v="88.78"/>
    <n v="3"/>
    <x v="1182"/>
    <x v="1"/>
    <x v="3"/>
  </r>
  <r>
    <n v="45333"/>
    <x v="351"/>
    <x v="20"/>
    <x v="0"/>
    <x v="1"/>
    <s v="Avery 473"/>
    <n v="20.7"/>
    <n v="2"/>
    <x v="2293"/>
    <x v="1"/>
    <x v="3"/>
  </r>
  <r>
    <n v="45333"/>
    <x v="226"/>
    <x v="10"/>
    <x v="1"/>
    <x v="8"/>
    <s v="Deflect-o RollaMat Studded, Beveled Mat for Medium Pile Carpeting"/>
    <n v="147.57"/>
    <n v="2"/>
    <x v="1500"/>
    <x v="1"/>
    <x v="3"/>
  </r>
  <r>
    <n v="45335"/>
    <x v="681"/>
    <x v="22"/>
    <x v="0"/>
    <x v="4"/>
    <s v="Newell 311"/>
    <n v="6.63"/>
    <n v="3"/>
    <x v="46"/>
    <x v="1"/>
    <x v="3"/>
  </r>
  <r>
    <n v="45335"/>
    <x v="681"/>
    <x v="22"/>
    <x v="2"/>
    <x v="9"/>
    <s v="Razer Tiamat Over Ear 7.1 Surround Sound PC Gaming Headset"/>
    <n v="799.96"/>
    <n v="4"/>
    <x v="4074"/>
    <x v="1"/>
    <x v="3"/>
  </r>
  <r>
    <n v="45335"/>
    <x v="681"/>
    <x v="22"/>
    <x v="1"/>
    <x v="8"/>
    <s v="Tenex Contemporary Contur Chairmats for Low and Medium Pile Carpet, Computer, 39&quot; x 49&quot;"/>
    <n v="107.53"/>
    <n v="1"/>
    <x v="4075"/>
    <x v="1"/>
    <x v="3"/>
  </r>
  <r>
    <n v="45335"/>
    <x v="149"/>
    <x v="36"/>
    <x v="0"/>
    <x v="14"/>
    <s v="Acme Elite Stainless Steel Scissors"/>
    <n v="25.02"/>
    <n v="3"/>
    <x v="231"/>
    <x v="1"/>
    <x v="3"/>
  </r>
  <r>
    <n v="45335"/>
    <x v="149"/>
    <x v="36"/>
    <x v="0"/>
    <x v="4"/>
    <s v="Barrel Sharpener"/>
    <n v="10.71"/>
    <n v="3"/>
    <x v="304"/>
    <x v="1"/>
    <x v="3"/>
  </r>
  <r>
    <n v="45335"/>
    <x v="359"/>
    <x v="20"/>
    <x v="0"/>
    <x v="0"/>
    <s v="Xerox 1903"/>
    <n v="17.940000000000001"/>
    <n v="3"/>
    <x v="450"/>
    <x v="1"/>
    <x v="3"/>
  </r>
  <r>
    <n v="45335"/>
    <x v="294"/>
    <x v="28"/>
    <x v="0"/>
    <x v="12"/>
    <s v="Holmes Replacement Filter for HEPA Air Cleaner, Medium Room"/>
    <n v="90.64"/>
    <n v="8"/>
    <x v="3751"/>
    <x v="1"/>
    <x v="3"/>
  </r>
  <r>
    <n v="45338"/>
    <x v="321"/>
    <x v="20"/>
    <x v="0"/>
    <x v="0"/>
    <s v="Xerox 1912"/>
    <n v="37.94"/>
    <n v="2"/>
    <x v="1912"/>
    <x v="1"/>
    <x v="3"/>
  </r>
  <r>
    <n v="45338"/>
    <x v="537"/>
    <x v="37"/>
    <x v="0"/>
    <x v="2"/>
    <s v="Fellowes Staxonsteel Drawer Files"/>
    <n v="579.51"/>
    <n v="3"/>
    <x v="3064"/>
    <x v="1"/>
    <x v="3"/>
  </r>
  <r>
    <n v="45338"/>
    <x v="537"/>
    <x v="37"/>
    <x v="2"/>
    <x v="6"/>
    <s v="Belkin SportFit Armband For iPhone 5s/5c, Fuchsia"/>
    <n v="14.99"/>
    <n v="1"/>
    <x v="2673"/>
    <x v="1"/>
    <x v="3"/>
  </r>
  <r>
    <n v="45338"/>
    <x v="55"/>
    <x v="1"/>
    <x v="0"/>
    <x v="7"/>
    <s v="Vinyl Coated Wire Paper Clips in Organizer Box, 800/Box"/>
    <n v="18.37"/>
    <n v="2"/>
    <x v="1113"/>
    <x v="1"/>
    <x v="3"/>
  </r>
  <r>
    <n v="45338"/>
    <x v="55"/>
    <x v="1"/>
    <x v="1"/>
    <x v="5"/>
    <s v="Global Deluxe High-Back Manager's Chair"/>
    <n v="600.55999999999995"/>
    <n v="3"/>
    <x v="1548"/>
    <x v="1"/>
    <x v="3"/>
  </r>
  <r>
    <n v="45338"/>
    <x v="55"/>
    <x v="1"/>
    <x v="0"/>
    <x v="2"/>
    <s v="Tennsco Lockers, Gray"/>
    <n v="50.35"/>
    <n v="3"/>
    <x v="1522"/>
    <x v="1"/>
    <x v="3"/>
  </r>
  <r>
    <n v="45338"/>
    <x v="55"/>
    <x v="1"/>
    <x v="0"/>
    <x v="4"/>
    <s v="Newell 312"/>
    <n v="28.03"/>
    <n v="6"/>
    <x v="3137"/>
    <x v="1"/>
    <x v="3"/>
  </r>
  <r>
    <n v="45338"/>
    <x v="55"/>
    <x v="1"/>
    <x v="1"/>
    <x v="8"/>
    <s v="Executive Impressions 13&quot; Clairmont Wall Clock"/>
    <n v="7.69"/>
    <n v="1"/>
    <x v="4076"/>
    <x v="1"/>
    <x v="3"/>
  </r>
  <r>
    <n v="45339"/>
    <x v="488"/>
    <x v="1"/>
    <x v="1"/>
    <x v="13"/>
    <s v="Chromcraft 48&quot; x 96&quot; Racetrack Double Pedestal Table"/>
    <n v="480.96"/>
    <n v="3"/>
    <x v="4077"/>
    <x v="1"/>
    <x v="3"/>
  </r>
  <r>
    <n v="45339"/>
    <x v="488"/>
    <x v="1"/>
    <x v="2"/>
    <x v="6"/>
    <s v="LG Exalt"/>
    <n v="124.79"/>
    <n v="1"/>
    <x v="616"/>
    <x v="1"/>
    <x v="3"/>
  </r>
  <r>
    <n v="45339"/>
    <x v="172"/>
    <x v="8"/>
    <x v="2"/>
    <x v="6"/>
    <s v="KLD Oscar II Style Snap-on Ultra Thin Side Flip Synthetic Leather Cover Case for HTC One HTC M7"/>
    <n v="29.16"/>
    <n v="3"/>
    <x v="2438"/>
    <x v="1"/>
    <x v="3"/>
  </r>
  <r>
    <n v="45339"/>
    <x v="292"/>
    <x v="23"/>
    <x v="0"/>
    <x v="0"/>
    <s v="Adams Telephone Message Book W/Dividers/Space For Phone Numbers, 5 1/4&quot;X8 1/2&quot;, 300/Messages"/>
    <n v="11.76"/>
    <n v="2"/>
    <x v="885"/>
    <x v="1"/>
    <x v="3"/>
  </r>
  <r>
    <n v="45339"/>
    <x v="292"/>
    <x v="23"/>
    <x v="0"/>
    <x v="2"/>
    <s v="Fellowes Bases and Tops For Staxonsteel/High-Stak Systems"/>
    <n v="166.45"/>
    <n v="5"/>
    <x v="4078"/>
    <x v="1"/>
    <x v="3"/>
  </r>
  <r>
    <n v="45339"/>
    <x v="601"/>
    <x v="0"/>
    <x v="1"/>
    <x v="11"/>
    <s v="Sauder Mission Library with Doors, Fruitwood Finish"/>
    <n v="89.07"/>
    <n v="1"/>
    <x v="4079"/>
    <x v="1"/>
    <x v="3"/>
  </r>
  <r>
    <n v="45339"/>
    <x v="601"/>
    <x v="0"/>
    <x v="0"/>
    <x v="4"/>
    <s v="Dixon Ticonderoga Core-Lock Colored Pencils, 48-Color Set"/>
    <n v="175.44"/>
    <n v="6"/>
    <x v="66"/>
    <x v="1"/>
    <x v="3"/>
  </r>
  <r>
    <n v="45339"/>
    <x v="601"/>
    <x v="0"/>
    <x v="2"/>
    <x v="6"/>
    <s v="Jawbone MINI JAMBOX Wireless Bluetooth Speaker"/>
    <n v="438.34"/>
    <n v="4"/>
    <x v="1389"/>
    <x v="1"/>
    <x v="3"/>
  </r>
  <r>
    <n v="45339"/>
    <x v="79"/>
    <x v="10"/>
    <x v="1"/>
    <x v="13"/>
    <s v="SAFCO PlanMaster Boards, 60w x 37-1/2d, White Melamine"/>
    <n v="455.97"/>
    <n v="5"/>
    <x v="4080"/>
    <x v="1"/>
    <x v="3"/>
  </r>
  <r>
    <n v="45339"/>
    <x v="79"/>
    <x v="10"/>
    <x v="0"/>
    <x v="3"/>
    <s v="Acco Pressboard Covers with Storage Hooks, 14 7/8&quot; x 11&quot;, Executive Red"/>
    <n v="5.72"/>
    <n v="5"/>
    <x v="3317"/>
    <x v="1"/>
    <x v="3"/>
  </r>
  <r>
    <n v="45339"/>
    <x v="79"/>
    <x v="10"/>
    <x v="2"/>
    <x v="6"/>
    <s v="Vtech CS6719"/>
    <n v="57.59"/>
    <n v="1"/>
    <x v="864"/>
    <x v="1"/>
    <x v="3"/>
  </r>
  <r>
    <n v="45339"/>
    <x v="79"/>
    <x v="10"/>
    <x v="1"/>
    <x v="8"/>
    <s v="Flat Face Poster Frame"/>
    <n v="30.14"/>
    <n v="2"/>
    <x v="1384"/>
    <x v="1"/>
    <x v="3"/>
  </r>
  <r>
    <n v="45339"/>
    <x v="79"/>
    <x v="10"/>
    <x v="1"/>
    <x v="5"/>
    <s v="Global Commerce Series Low-Back Swivel/Tilt Chairs"/>
    <n v="899.43"/>
    <n v="5"/>
    <x v="4081"/>
    <x v="1"/>
    <x v="3"/>
  </r>
  <r>
    <n v="45340"/>
    <x v="755"/>
    <x v="3"/>
    <x v="2"/>
    <x v="6"/>
    <s v="iHome FM Clock Radio with Lightning Dock"/>
    <n v="167.98"/>
    <n v="3"/>
    <x v="554"/>
    <x v="1"/>
    <x v="3"/>
  </r>
  <r>
    <n v="45340"/>
    <x v="755"/>
    <x v="3"/>
    <x v="2"/>
    <x v="9"/>
    <s v="Memorex Micro Travel Drive 32 GB"/>
    <n v="109.53"/>
    <n v="3"/>
    <x v="4082"/>
    <x v="1"/>
    <x v="3"/>
  </r>
  <r>
    <n v="45340"/>
    <x v="755"/>
    <x v="3"/>
    <x v="0"/>
    <x v="1"/>
    <s v="Avery 493"/>
    <n v="9.82"/>
    <n v="2"/>
    <x v="1636"/>
    <x v="1"/>
    <x v="3"/>
  </r>
  <r>
    <n v="45341"/>
    <x v="62"/>
    <x v="4"/>
    <x v="0"/>
    <x v="12"/>
    <s v="Kensington 7 Outlet MasterPiece Power Center"/>
    <n v="1245.8599999999999"/>
    <n v="7"/>
    <x v="4083"/>
    <x v="1"/>
    <x v="3"/>
  </r>
  <r>
    <n v="45341"/>
    <x v="297"/>
    <x v="22"/>
    <x v="0"/>
    <x v="7"/>
    <s v="Rubber Band Ball"/>
    <n v="11.22"/>
    <n v="3"/>
    <x v="2168"/>
    <x v="1"/>
    <x v="3"/>
  </r>
  <r>
    <n v="45341"/>
    <x v="341"/>
    <x v="3"/>
    <x v="0"/>
    <x v="4"/>
    <s v="Newell 320"/>
    <n v="12.84"/>
    <n v="3"/>
    <x v="1540"/>
    <x v="1"/>
    <x v="3"/>
  </r>
  <r>
    <n v="45341"/>
    <x v="341"/>
    <x v="3"/>
    <x v="1"/>
    <x v="8"/>
    <s v="Tensor Computer Mounted Lamp"/>
    <n v="44.67"/>
    <n v="3"/>
    <x v="2303"/>
    <x v="1"/>
    <x v="3"/>
  </r>
  <r>
    <n v="45342"/>
    <x v="698"/>
    <x v="3"/>
    <x v="1"/>
    <x v="8"/>
    <s v="Executive Impressions 14&quot; Contract Wall Clock"/>
    <n v="22.23"/>
    <n v="1"/>
    <x v="4020"/>
    <x v="1"/>
    <x v="3"/>
  </r>
  <r>
    <n v="45342"/>
    <x v="698"/>
    <x v="3"/>
    <x v="2"/>
    <x v="6"/>
    <s v="Logitech Mobile Speakerphone P710e -Â speaker phone"/>
    <n v="215.97"/>
    <n v="2"/>
    <x v="3156"/>
    <x v="1"/>
    <x v="3"/>
  </r>
  <r>
    <n v="45342"/>
    <x v="425"/>
    <x v="39"/>
    <x v="0"/>
    <x v="4"/>
    <s v="Newell 351"/>
    <n v="6.56"/>
    <n v="2"/>
    <x v="238"/>
    <x v="1"/>
    <x v="3"/>
  </r>
  <r>
    <n v="45342"/>
    <x v="425"/>
    <x v="39"/>
    <x v="0"/>
    <x v="12"/>
    <s v="Disposable Triple-Filter Dust Bags"/>
    <n v="13.11"/>
    <n v="3"/>
    <x v="919"/>
    <x v="1"/>
    <x v="3"/>
  </r>
  <r>
    <n v="45342"/>
    <x v="244"/>
    <x v="26"/>
    <x v="0"/>
    <x v="7"/>
    <s v="Staples"/>
    <n v="9.43"/>
    <n v="3"/>
    <x v="2620"/>
    <x v="1"/>
    <x v="3"/>
  </r>
  <r>
    <n v="45342"/>
    <x v="307"/>
    <x v="12"/>
    <x v="2"/>
    <x v="6"/>
    <s v="Toshiba IPT2010-SD IPÂ Telephone"/>
    <n v="333.58"/>
    <n v="3"/>
    <x v="1247"/>
    <x v="1"/>
    <x v="3"/>
  </r>
  <r>
    <n v="45342"/>
    <x v="307"/>
    <x v="12"/>
    <x v="2"/>
    <x v="9"/>
    <s v="Microsoft Wireless Mobile Mouse 4000"/>
    <n v="31.99"/>
    <n v="1"/>
    <x v="2808"/>
    <x v="1"/>
    <x v="3"/>
  </r>
  <r>
    <n v="45342"/>
    <x v="307"/>
    <x v="12"/>
    <x v="0"/>
    <x v="2"/>
    <s v="Fellowes Bankers Box Stor/Drawer Steel Plus"/>
    <n v="51.17"/>
    <n v="2"/>
    <x v="4084"/>
    <x v="1"/>
    <x v="3"/>
  </r>
  <r>
    <n v="45342"/>
    <x v="307"/>
    <x v="12"/>
    <x v="0"/>
    <x v="10"/>
    <s v="Letter or Legal Size Expandable Poly String Tie Envelopes"/>
    <n v="10.64"/>
    <n v="5"/>
    <x v="1729"/>
    <x v="1"/>
    <x v="3"/>
  </r>
  <r>
    <n v="45342"/>
    <x v="307"/>
    <x v="12"/>
    <x v="1"/>
    <x v="8"/>
    <s v="Howard Miller 13&quot; Diameter Pewter Finish Round Wall Clock"/>
    <n v="68.7"/>
    <n v="2"/>
    <x v="1200"/>
    <x v="1"/>
    <x v="3"/>
  </r>
  <r>
    <n v="45342"/>
    <x v="307"/>
    <x v="12"/>
    <x v="1"/>
    <x v="13"/>
    <s v="KI Adjustable-Height Table"/>
    <n v="386.91"/>
    <n v="9"/>
    <x v="4085"/>
    <x v="1"/>
    <x v="3"/>
  </r>
  <r>
    <n v="45343"/>
    <x v="610"/>
    <x v="0"/>
    <x v="2"/>
    <x v="9"/>
    <s v="Microsoft Natural Keyboard Elite"/>
    <n v="47.9"/>
    <n v="1"/>
    <x v="2100"/>
    <x v="1"/>
    <x v="3"/>
  </r>
  <r>
    <n v="45345"/>
    <x v="584"/>
    <x v="3"/>
    <x v="0"/>
    <x v="0"/>
    <s v="Ampad Phone Message Book, Recycled, 400 Message Capacity, 5 Â¾Â” x 11Â”"/>
    <n v="37.44"/>
    <n v="6"/>
    <x v="1049"/>
    <x v="1"/>
    <x v="3"/>
  </r>
  <r>
    <n v="45345"/>
    <x v="689"/>
    <x v="22"/>
    <x v="0"/>
    <x v="7"/>
    <s v="Alliance Rubber Bands"/>
    <n v="8.4"/>
    <n v="5"/>
    <x v="2809"/>
    <x v="1"/>
    <x v="3"/>
  </r>
  <r>
    <n v="45345"/>
    <x v="689"/>
    <x v="22"/>
    <x v="2"/>
    <x v="6"/>
    <s v="invisibleSHIELD by ZAGG Smudge-Free Screen Protector"/>
    <n v="71.959999999999994"/>
    <n v="5"/>
    <x v="3781"/>
    <x v="1"/>
    <x v="3"/>
  </r>
  <r>
    <n v="45346"/>
    <x v="710"/>
    <x v="2"/>
    <x v="0"/>
    <x v="3"/>
    <s v="ACCOHIDE 3-Ring Binder, Blue, 1&quot;"/>
    <n v="4.96"/>
    <n v="4"/>
    <x v="4086"/>
    <x v="1"/>
    <x v="3"/>
  </r>
  <r>
    <n v="45346"/>
    <x v="442"/>
    <x v="2"/>
    <x v="0"/>
    <x v="0"/>
    <s v="Xerox 1988"/>
    <n v="123.92"/>
    <n v="5"/>
    <x v="3311"/>
    <x v="1"/>
    <x v="3"/>
  </r>
  <r>
    <n v="45346"/>
    <x v="442"/>
    <x v="2"/>
    <x v="2"/>
    <x v="9"/>
    <s v="Plantronics CS510 - Over-the-Head monaural Wireless Headset System"/>
    <n v="1319.8"/>
    <n v="5"/>
    <x v="4087"/>
    <x v="1"/>
    <x v="3"/>
  </r>
  <r>
    <n v="45347"/>
    <x v="289"/>
    <x v="1"/>
    <x v="0"/>
    <x v="3"/>
    <s v="Avery Hidden Tab Dividers for Binding Systems"/>
    <n v="1.79"/>
    <n v="3"/>
    <x v="1082"/>
    <x v="1"/>
    <x v="3"/>
  </r>
  <r>
    <n v="45347"/>
    <x v="308"/>
    <x v="25"/>
    <x v="1"/>
    <x v="5"/>
    <s v="Global High-Back Leather Tilter, Burgundy"/>
    <n v="196.78"/>
    <n v="2"/>
    <x v="3007"/>
    <x v="1"/>
    <x v="3"/>
  </r>
  <r>
    <n v="45347"/>
    <x v="308"/>
    <x v="25"/>
    <x v="1"/>
    <x v="11"/>
    <s v="Bush Westfield Collection Bookcases, Medium Cherry Finish"/>
    <n v="231.92"/>
    <n v="5"/>
    <x v="77"/>
    <x v="1"/>
    <x v="3"/>
  </r>
  <r>
    <n v="45348"/>
    <x v="214"/>
    <x v="3"/>
    <x v="0"/>
    <x v="12"/>
    <s v="Kensington 6 Outlet Guardian Standard Surge Protector"/>
    <n v="81.92"/>
    <n v="4"/>
    <x v="921"/>
    <x v="1"/>
    <x v="3"/>
  </r>
  <r>
    <n v="45348"/>
    <x v="214"/>
    <x v="3"/>
    <x v="2"/>
    <x v="6"/>
    <s v="Toshiba IPT2010-SD IPÂ Telephone"/>
    <n v="889.54"/>
    <n v="8"/>
    <x v="4088"/>
    <x v="1"/>
    <x v="3"/>
  </r>
  <r>
    <n v="45348"/>
    <x v="214"/>
    <x v="3"/>
    <x v="1"/>
    <x v="5"/>
    <s v="GuestStacker Chair with Chrome Finish Legs"/>
    <n v="892.22"/>
    <n v="3"/>
    <x v="1801"/>
    <x v="1"/>
    <x v="3"/>
  </r>
  <r>
    <n v="45348"/>
    <x v="214"/>
    <x v="3"/>
    <x v="0"/>
    <x v="0"/>
    <s v="Xerox 1908"/>
    <n v="223.92"/>
    <n v="4"/>
    <x v="1280"/>
    <x v="1"/>
    <x v="3"/>
  </r>
  <r>
    <n v="45348"/>
    <x v="214"/>
    <x v="3"/>
    <x v="0"/>
    <x v="0"/>
    <s v="Xerox 1924"/>
    <n v="23.12"/>
    <n v="4"/>
    <x v="3099"/>
    <x v="1"/>
    <x v="3"/>
  </r>
  <r>
    <n v="45348"/>
    <x v="383"/>
    <x v="3"/>
    <x v="0"/>
    <x v="12"/>
    <s v="Tripp Lite TLP810NET Broadband Surge for Modem/Fax"/>
    <n v="356.79"/>
    <n v="7"/>
    <x v="4089"/>
    <x v="1"/>
    <x v="3"/>
  </r>
  <r>
    <n v="45348"/>
    <x v="56"/>
    <x v="3"/>
    <x v="1"/>
    <x v="8"/>
    <s v="Tenex B1-RE Series Chair Mats for Low Pile Carpets"/>
    <n v="91.96"/>
    <n v="2"/>
    <x v="299"/>
    <x v="1"/>
    <x v="3"/>
  </r>
  <r>
    <n v="45348"/>
    <x v="56"/>
    <x v="3"/>
    <x v="2"/>
    <x v="6"/>
    <s v="Aastra 57i VoIP phone"/>
    <n v="258.58"/>
    <n v="2"/>
    <x v="1823"/>
    <x v="1"/>
    <x v="3"/>
  </r>
  <r>
    <n v="45348"/>
    <x v="56"/>
    <x v="3"/>
    <x v="0"/>
    <x v="0"/>
    <s v="It's Hot Message Books with Stickers, 2 3/4&quot; x 5&quot;"/>
    <n v="29.6"/>
    <n v="4"/>
    <x v="1260"/>
    <x v="1"/>
    <x v="3"/>
  </r>
  <r>
    <n v="45350"/>
    <x v="257"/>
    <x v="37"/>
    <x v="0"/>
    <x v="3"/>
    <s v="Pressboard Hanging Data Binders for Unburst Sheets"/>
    <n v="9.84"/>
    <n v="2"/>
    <x v="522"/>
    <x v="1"/>
    <x v="3"/>
  </r>
  <r>
    <n v="45350"/>
    <x v="257"/>
    <x v="37"/>
    <x v="0"/>
    <x v="0"/>
    <s v="Southworth 100% RÃ©sumÃ© Paper, 24lb."/>
    <n v="7.78"/>
    <n v="1"/>
    <x v="3137"/>
    <x v="1"/>
    <x v="3"/>
  </r>
  <r>
    <n v="45353"/>
    <x v="660"/>
    <x v="0"/>
    <x v="0"/>
    <x v="14"/>
    <s v="Staple remover"/>
    <n v="6.98"/>
    <n v="4"/>
    <x v="1037"/>
    <x v="2"/>
    <x v="3"/>
  </r>
  <r>
    <n v="45353"/>
    <x v="660"/>
    <x v="0"/>
    <x v="0"/>
    <x v="3"/>
    <s v="Wilson Jones Leather-Like Binders with DublLock Round Rings"/>
    <n v="12.22"/>
    <n v="7"/>
    <x v="4090"/>
    <x v="2"/>
    <x v="3"/>
  </r>
  <r>
    <n v="45353"/>
    <x v="706"/>
    <x v="3"/>
    <x v="2"/>
    <x v="6"/>
    <s v="Panasonic KX TS3282B Corded phone"/>
    <n v="196.78"/>
    <n v="3"/>
    <x v="878"/>
    <x v="2"/>
    <x v="3"/>
  </r>
  <r>
    <n v="45353"/>
    <x v="706"/>
    <x v="3"/>
    <x v="2"/>
    <x v="9"/>
    <s v="Logitech G13 Programmable Gameboard with LCD Display"/>
    <n v="479.94"/>
    <n v="6"/>
    <x v="4091"/>
    <x v="2"/>
    <x v="3"/>
  </r>
  <r>
    <n v="45353"/>
    <x v="159"/>
    <x v="7"/>
    <x v="0"/>
    <x v="4"/>
    <s v="Newell 34"/>
    <n v="59.52"/>
    <n v="3"/>
    <x v="142"/>
    <x v="2"/>
    <x v="3"/>
  </r>
  <r>
    <n v="45353"/>
    <x v="159"/>
    <x v="7"/>
    <x v="0"/>
    <x v="10"/>
    <s v="Staple envelope"/>
    <n v="57.96"/>
    <n v="7"/>
    <x v="2439"/>
    <x v="2"/>
    <x v="3"/>
  </r>
  <r>
    <n v="45353"/>
    <x v="159"/>
    <x v="7"/>
    <x v="1"/>
    <x v="11"/>
    <s v="Bush Cubix Collection Bookcases, Fully Assembled"/>
    <n v="441.96"/>
    <n v="2"/>
    <x v="4092"/>
    <x v="2"/>
    <x v="3"/>
  </r>
  <r>
    <n v="45353"/>
    <x v="159"/>
    <x v="7"/>
    <x v="0"/>
    <x v="0"/>
    <s v="Easy-staple paper"/>
    <n v="68.040000000000006"/>
    <n v="6"/>
    <x v="4093"/>
    <x v="2"/>
    <x v="3"/>
  </r>
  <r>
    <n v="45353"/>
    <x v="409"/>
    <x v="10"/>
    <x v="0"/>
    <x v="3"/>
    <s v="GBC VeloBind Cover Sets"/>
    <n v="18.53"/>
    <n v="4"/>
    <x v="4094"/>
    <x v="2"/>
    <x v="3"/>
  </r>
  <r>
    <n v="45353"/>
    <x v="687"/>
    <x v="3"/>
    <x v="0"/>
    <x v="3"/>
    <s v="Catalog Binders with Expanding Posts"/>
    <n v="107.65"/>
    <n v="2"/>
    <x v="149"/>
    <x v="2"/>
    <x v="3"/>
  </r>
  <r>
    <n v="45353"/>
    <x v="138"/>
    <x v="0"/>
    <x v="0"/>
    <x v="3"/>
    <s v="Acco Suede Grain Vinyl Round Ring Binder"/>
    <n v="0.56000000000000005"/>
    <n v="1"/>
    <x v="774"/>
    <x v="2"/>
    <x v="3"/>
  </r>
  <r>
    <n v="45354"/>
    <x v="760"/>
    <x v="5"/>
    <x v="0"/>
    <x v="12"/>
    <s v="Acco 6 Outlet Guardian Premium Surge Suppressor"/>
    <n v="72.8"/>
    <n v="5"/>
    <x v="4095"/>
    <x v="2"/>
    <x v="3"/>
  </r>
  <r>
    <n v="45354"/>
    <x v="238"/>
    <x v="0"/>
    <x v="0"/>
    <x v="0"/>
    <s v="Important Message Pads, 50 4-1/4 x 5-1/2 Forms per Pad"/>
    <n v="26.88"/>
    <n v="8"/>
    <x v="90"/>
    <x v="2"/>
    <x v="3"/>
  </r>
  <r>
    <n v="45354"/>
    <x v="287"/>
    <x v="14"/>
    <x v="1"/>
    <x v="5"/>
    <s v="Global Ergonomic Managers Chair"/>
    <n v="180.98"/>
    <n v="1"/>
    <x v="4096"/>
    <x v="2"/>
    <x v="3"/>
  </r>
  <r>
    <n v="45354"/>
    <x v="287"/>
    <x v="14"/>
    <x v="2"/>
    <x v="9"/>
    <s v="Logitech Wireless Marathon Mouse M705"/>
    <n v="99.98"/>
    <n v="2"/>
    <x v="283"/>
    <x v="2"/>
    <x v="3"/>
  </r>
  <r>
    <n v="45354"/>
    <x v="28"/>
    <x v="3"/>
    <x v="2"/>
    <x v="9"/>
    <s v="Imation Bio 2GB USBÂ Flash Drive ImationÂ Corp"/>
    <n v="1049.44"/>
    <n v="8"/>
    <x v="4097"/>
    <x v="2"/>
    <x v="3"/>
  </r>
  <r>
    <n v="45354"/>
    <x v="28"/>
    <x v="3"/>
    <x v="1"/>
    <x v="5"/>
    <s v="Novimex Turbo Task Chair"/>
    <n v="170.35"/>
    <n v="3"/>
    <x v="2078"/>
    <x v="2"/>
    <x v="3"/>
  </r>
  <r>
    <n v="45354"/>
    <x v="478"/>
    <x v="3"/>
    <x v="1"/>
    <x v="13"/>
    <s v="Lesro Sheffield Collection Coffee Table, End Table, Center Table, Corner Table"/>
    <n v="399.67"/>
    <n v="7"/>
    <x v="4031"/>
    <x v="2"/>
    <x v="3"/>
  </r>
  <r>
    <n v="45355"/>
    <x v="569"/>
    <x v="3"/>
    <x v="0"/>
    <x v="4"/>
    <s v="American Pencil"/>
    <n v="9.32"/>
    <n v="4"/>
    <x v="222"/>
    <x v="2"/>
    <x v="3"/>
  </r>
  <r>
    <n v="45355"/>
    <x v="569"/>
    <x v="3"/>
    <x v="0"/>
    <x v="10"/>
    <s v="White Envelopes, White Envelopes with Clear Poly Window"/>
    <n v="15.25"/>
    <n v="1"/>
    <x v="162"/>
    <x v="2"/>
    <x v="3"/>
  </r>
  <r>
    <n v="45355"/>
    <x v="0"/>
    <x v="0"/>
    <x v="0"/>
    <x v="0"/>
    <s v="Xerox 1934"/>
    <n v="89.57"/>
    <n v="2"/>
    <x v="2875"/>
    <x v="2"/>
    <x v="3"/>
  </r>
  <r>
    <n v="45355"/>
    <x v="722"/>
    <x v="0"/>
    <x v="1"/>
    <x v="8"/>
    <s v="Howard Miller 13-3/4&quot; Diameter Brushed Chrome Round Wall Clock"/>
    <n v="103.5"/>
    <n v="5"/>
    <x v="4098"/>
    <x v="2"/>
    <x v="3"/>
  </r>
  <r>
    <n v="45355"/>
    <x v="722"/>
    <x v="0"/>
    <x v="0"/>
    <x v="1"/>
    <s v="Avery 497"/>
    <n v="2.46"/>
    <n v="1"/>
    <x v="3077"/>
    <x v="2"/>
    <x v="3"/>
  </r>
  <r>
    <n v="45355"/>
    <x v="722"/>
    <x v="0"/>
    <x v="0"/>
    <x v="2"/>
    <s v="Crate-A-Files"/>
    <n v="8.7200000000000006"/>
    <n v="1"/>
    <x v="574"/>
    <x v="2"/>
    <x v="3"/>
  </r>
  <r>
    <n v="45356"/>
    <x v="500"/>
    <x v="21"/>
    <x v="0"/>
    <x v="1"/>
    <s v="Avery 515"/>
    <n v="25.06"/>
    <n v="2"/>
    <x v="1408"/>
    <x v="2"/>
    <x v="3"/>
  </r>
  <r>
    <n v="45356"/>
    <x v="427"/>
    <x v="28"/>
    <x v="0"/>
    <x v="7"/>
    <s v="Advantus Map Pennant Flags and Round Head Tacks"/>
    <n v="7.9"/>
    <n v="2"/>
    <x v="2350"/>
    <x v="2"/>
    <x v="3"/>
  </r>
  <r>
    <n v="45356"/>
    <x v="427"/>
    <x v="28"/>
    <x v="0"/>
    <x v="2"/>
    <s v="Recycled Steel Personal File for Standard File Folders"/>
    <n v="221.16"/>
    <n v="4"/>
    <x v="1338"/>
    <x v="2"/>
    <x v="3"/>
  </r>
  <r>
    <n v="45356"/>
    <x v="427"/>
    <x v="28"/>
    <x v="0"/>
    <x v="3"/>
    <s v="GBC ProClick Punch Binding System"/>
    <n v="127.96"/>
    <n v="2"/>
    <x v="4099"/>
    <x v="2"/>
    <x v="3"/>
  </r>
  <r>
    <n v="45356"/>
    <x v="427"/>
    <x v="28"/>
    <x v="0"/>
    <x v="3"/>
    <s v="Avery Hole Reinforcements"/>
    <n v="18.690000000000001"/>
    <n v="3"/>
    <x v="2491"/>
    <x v="2"/>
    <x v="3"/>
  </r>
  <r>
    <n v="45356"/>
    <x v="595"/>
    <x v="29"/>
    <x v="0"/>
    <x v="10"/>
    <s v="Laser &amp; Ink Jet Business Envelopes"/>
    <n v="42.68"/>
    <n v="4"/>
    <x v="3737"/>
    <x v="2"/>
    <x v="3"/>
  </r>
  <r>
    <n v="45356"/>
    <x v="595"/>
    <x v="29"/>
    <x v="2"/>
    <x v="9"/>
    <s v="Logitech G700s Rechargeable Gaming Mouse"/>
    <n v="299.97000000000003"/>
    <n v="3"/>
    <x v="2518"/>
    <x v="2"/>
    <x v="3"/>
  </r>
  <r>
    <n v="45356"/>
    <x v="595"/>
    <x v="29"/>
    <x v="0"/>
    <x v="12"/>
    <s v="Kensington 7 Outlet MasterPiece HOMEOFFICE Power Control Center"/>
    <n v="262.24"/>
    <n v="2"/>
    <x v="3201"/>
    <x v="2"/>
    <x v="3"/>
  </r>
  <r>
    <n v="45356"/>
    <x v="595"/>
    <x v="29"/>
    <x v="0"/>
    <x v="3"/>
    <s v="Ibico Recycled Linen-Style Covers"/>
    <n v="234.36"/>
    <n v="6"/>
    <x v="4100"/>
    <x v="2"/>
    <x v="3"/>
  </r>
  <r>
    <n v="45357"/>
    <x v="782"/>
    <x v="20"/>
    <x v="0"/>
    <x v="0"/>
    <s v="Xerox 1883"/>
    <n v="26.38"/>
    <n v="1"/>
    <x v="2949"/>
    <x v="2"/>
    <x v="3"/>
  </r>
  <r>
    <n v="45357"/>
    <x v="782"/>
    <x v="20"/>
    <x v="1"/>
    <x v="8"/>
    <s v="Westinghouse Floor Lamp with Metal Mesh Shade, Black"/>
    <n v="71.97"/>
    <n v="3"/>
    <x v="4101"/>
    <x v="2"/>
    <x v="3"/>
  </r>
  <r>
    <n v="45357"/>
    <x v="151"/>
    <x v="3"/>
    <x v="0"/>
    <x v="3"/>
    <s v="Economy Binders"/>
    <n v="14.98"/>
    <n v="9"/>
    <x v="776"/>
    <x v="2"/>
    <x v="3"/>
  </r>
  <r>
    <n v="45357"/>
    <x v="562"/>
    <x v="3"/>
    <x v="0"/>
    <x v="2"/>
    <s v="File Shuttle II and Handi-File, Black"/>
    <n v="67.78"/>
    <n v="2"/>
    <x v="4102"/>
    <x v="2"/>
    <x v="3"/>
  </r>
  <r>
    <n v="45357"/>
    <x v="658"/>
    <x v="3"/>
    <x v="0"/>
    <x v="4"/>
    <s v="Fluorescent Highlighters by Dixon"/>
    <n v="23.88"/>
    <n v="6"/>
    <x v="2276"/>
    <x v="2"/>
    <x v="3"/>
  </r>
  <r>
    <n v="45357"/>
    <x v="658"/>
    <x v="3"/>
    <x v="0"/>
    <x v="1"/>
    <s v="Avery 49"/>
    <n v="11.52"/>
    <n v="4"/>
    <x v="1291"/>
    <x v="2"/>
    <x v="3"/>
  </r>
  <r>
    <n v="45357"/>
    <x v="658"/>
    <x v="3"/>
    <x v="0"/>
    <x v="0"/>
    <s v="Xerox 1893"/>
    <n v="286.93"/>
    <n v="7"/>
    <x v="4103"/>
    <x v="2"/>
    <x v="3"/>
  </r>
  <r>
    <n v="45357"/>
    <x v="658"/>
    <x v="3"/>
    <x v="2"/>
    <x v="6"/>
    <s v="Digium D40 VoIP phone"/>
    <n v="206.38"/>
    <n v="2"/>
    <x v="4104"/>
    <x v="2"/>
    <x v="3"/>
  </r>
  <r>
    <n v="45357"/>
    <x v="738"/>
    <x v="0"/>
    <x v="0"/>
    <x v="1"/>
    <s v="Avery 511"/>
    <n v="4.93"/>
    <n v="2"/>
    <x v="1081"/>
    <x v="2"/>
    <x v="3"/>
  </r>
  <r>
    <n v="45357"/>
    <x v="738"/>
    <x v="0"/>
    <x v="0"/>
    <x v="4"/>
    <s v="Newell 345"/>
    <n v="63.49"/>
    <n v="4"/>
    <x v="2401"/>
    <x v="2"/>
    <x v="3"/>
  </r>
  <r>
    <n v="45358"/>
    <x v="588"/>
    <x v="36"/>
    <x v="2"/>
    <x v="9"/>
    <s v="Logitech Desktop MK120 Mouse and keyboard Combo"/>
    <n v="49.08"/>
    <n v="3"/>
    <x v="135"/>
    <x v="2"/>
    <x v="3"/>
  </r>
  <r>
    <n v="45358"/>
    <x v="489"/>
    <x v="20"/>
    <x v="0"/>
    <x v="3"/>
    <s v="3M Organizer Strips"/>
    <n v="25.92"/>
    <n v="6"/>
    <x v="278"/>
    <x v="2"/>
    <x v="3"/>
  </r>
  <r>
    <n v="45358"/>
    <x v="489"/>
    <x v="20"/>
    <x v="0"/>
    <x v="1"/>
    <s v="Avery 4027 File Folder Labels for Dot Matrix Printers, 5000 Labels per Box, White"/>
    <n v="91.59"/>
    <n v="3"/>
    <x v="4105"/>
    <x v="2"/>
    <x v="3"/>
  </r>
  <r>
    <n v="45359"/>
    <x v="668"/>
    <x v="4"/>
    <x v="0"/>
    <x v="12"/>
    <s v="Belkin 8 Outlet SurgeMaster II Gold Surge Protector with Phone Protection"/>
    <n v="647.84"/>
    <n v="8"/>
    <x v="4106"/>
    <x v="2"/>
    <x v="3"/>
  </r>
  <r>
    <n v="45359"/>
    <x v="668"/>
    <x v="4"/>
    <x v="0"/>
    <x v="1"/>
    <s v="Avery Address/Shipping Labels for Typewriters, 4&quot; x 2&quot;"/>
    <n v="20.7"/>
    <n v="2"/>
    <x v="2293"/>
    <x v="2"/>
    <x v="3"/>
  </r>
  <r>
    <n v="45359"/>
    <x v="545"/>
    <x v="3"/>
    <x v="0"/>
    <x v="3"/>
    <s v="Green Canvas Binder for 8-1/2&quot; x 14&quot; Sheets"/>
    <n v="171.2"/>
    <n v="5"/>
    <x v="2959"/>
    <x v="2"/>
    <x v="3"/>
  </r>
  <r>
    <n v="45359"/>
    <x v="545"/>
    <x v="3"/>
    <x v="0"/>
    <x v="4"/>
    <s v="Newell 323"/>
    <n v="3.36"/>
    <n v="2"/>
    <x v="1079"/>
    <x v="2"/>
    <x v="3"/>
  </r>
  <r>
    <n v="45360"/>
    <x v="754"/>
    <x v="3"/>
    <x v="2"/>
    <x v="9"/>
    <s v="Logitech Wireless Headset h800"/>
    <n v="199.98"/>
    <n v="2"/>
    <x v="1819"/>
    <x v="2"/>
    <x v="3"/>
  </r>
  <r>
    <n v="45360"/>
    <x v="366"/>
    <x v="3"/>
    <x v="2"/>
    <x v="16"/>
    <s v="Hewlett Packard 310 Color Digital Copier"/>
    <n v="479.98"/>
    <n v="2"/>
    <x v="2291"/>
    <x v="2"/>
    <x v="3"/>
  </r>
  <r>
    <n v="45360"/>
    <x v="366"/>
    <x v="3"/>
    <x v="0"/>
    <x v="3"/>
    <s v="DXL Angle-View Binders with Locking Rings by Samsill"/>
    <n v="30.84"/>
    <n v="5"/>
    <x v="4107"/>
    <x v="2"/>
    <x v="3"/>
  </r>
  <r>
    <n v="45361"/>
    <x v="772"/>
    <x v="2"/>
    <x v="0"/>
    <x v="4"/>
    <s v="Newell 337"/>
    <n v="5.25"/>
    <n v="2"/>
    <x v="1908"/>
    <x v="2"/>
    <x v="3"/>
  </r>
  <r>
    <n v="45361"/>
    <x v="772"/>
    <x v="2"/>
    <x v="2"/>
    <x v="6"/>
    <s v="Cisco SPA525G2 IP Phone - Wireless"/>
    <n v="35.909999999999997"/>
    <n v="3"/>
    <x v="4108"/>
    <x v="2"/>
    <x v="3"/>
  </r>
  <r>
    <n v="45361"/>
    <x v="772"/>
    <x v="2"/>
    <x v="1"/>
    <x v="8"/>
    <s v="Westinghouse Clip-On Gooseneck Lamps"/>
    <n v="6.7"/>
    <n v="1"/>
    <x v="1538"/>
    <x v="2"/>
    <x v="3"/>
  </r>
  <r>
    <n v="45361"/>
    <x v="772"/>
    <x v="2"/>
    <x v="1"/>
    <x v="8"/>
    <s v="Howard Miller Distant Time Traveler Alarm Clock"/>
    <n v="43.87"/>
    <n v="2"/>
    <x v="4109"/>
    <x v="2"/>
    <x v="3"/>
  </r>
  <r>
    <n v="45361"/>
    <x v="185"/>
    <x v="2"/>
    <x v="2"/>
    <x v="6"/>
    <s v="Nokia Lumia 521 (T-Mobile)"/>
    <n v="53.98"/>
    <n v="3"/>
    <x v="762"/>
    <x v="2"/>
    <x v="3"/>
  </r>
  <r>
    <n v="45361"/>
    <x v="600"/>
    <x v="25"/>
    <x v="0"/>
    <x v="12"/>
    <s v="Euro Pro Shark Stick Mini Vacuum"/>
    <n v="48.78"/>
    <n v="1"/>
    <x v="3878"/>
    <x v="2"/>
    <x v="3"/>
  </r>
  <r>
    <n v="45361"/>
    <x v="600"/>
    <x v="25"/>
    <x v="0"/>
    <x v="3"/>
    <s v="Heavy-Duty E-Z-D Binders"/>
    <n v="13.09"/>
    <n v="4"/>
    <x v="2301"/>
    <x v="2"/>
    <x v="3"/>
  </r>
  <r>
    <n v="45361"/>
    <x v="507"/>
    <x v="3"/>
    <x v="2"/>
    <x v="9"/>
    <s v="MaxellÂ LTO Ultrium - 800 GB"/>
    <n v="111.96"/>
    <n v="4"/>
    <x v="4110"/>
    <x v="2"/>
    <x v="3"/>
  </r>
  <r>
    <n v="45361"/>
    <x v="496"/>
    <x v="0"/>
    <x v="1"/>
    <x v="13"/>
    <s v="Bevis Traditional Conference Table Top, Plinth Base"/>
    <n v="933.41"/>
    <n v="4"/>
    <x v="4111"/>
    <x v="2"/>
    <x v="3"/>
  </r>
  <r>
    <n v="45362"/>
    <x v="655"/>
    <x v="14"/>
    <x v="0"/>
    <x v="3"/>
    <s v="GBC DocuBind TL200 Manual Binding Machine"/>
    <n v="895.92"/>
    <n v="4"/>
    <x v="4112"/>
    <x v="2"/>
    <x v="3"/>
  </r>
  <r>
    <n v="45362"/>
    <x v="167"/>
    <x v="2"/>
    <x v="2"/>
    <x v="6"/>
    <s v="Nortel Meridian M5316 Digital phone"/>
    <n v="776.85"/>
    <n v="5"/>
    <x v="4113"/>
    <x v="2"/>
    <x v="3"/>
  </r>
  <r>
    <n v="45362"/>
    <x v="167"/>
    <x v="2"/>
    <x v="0"/>
    <x v="3"/>
    <s v="Avery Trapezoid Ring Binder, 3&quot; Capacity, Black, 1040 sheets"/>
    <n v="12.29"/>
    <n v="1"/>
    <x v="4114"/>
    <x v="2"/>
    <x v="3"/>
  </r>
  <r>
    <n v="45362"/>
    <x v="167"/>
    <x v="2"/>
    <x v="1"/>
    <x v="13"/>
    <s v="KI Adjustable-Height Table"/>
    <n v="154.76"/>
    <n v="3"/>
    <x v="4115"/>
    <x v="2"/>
    <x v="3"/>
  </r>
  <r>
    <n v="45362"/>
    <x v="167"/>
    <x v="2"/>
    <x v="0"/>
    <x v="2"/>
    <s v="Desktop 3-Pocket Hot File"/>
    <n v="43.28"/>
    <n v="1"/>
    <x v="3090"/>
    <x v="2"/>
    <x v="3"/>
  </r>
  <r>
    <n v="45362"/>
    <x v="298"/>
    <x v="32"/>
    <x v="2"/>
    <x v="9"/>
    <s v="Memorex Mini Travel Drive 16 GB USB 2.0 Flash Drive"/>
    <n v="63.88"/>
    <n v="4"/>
    <x v="3930"/>
    <x v="2"/>
    <x v="3"/>
  </r>
  <r>
    <n v="45362"/>
    <x v="298"/>
    <x v="32"/>
    <x v="1"/>
    <x v="8"/>
    <s v="Executive Impressions 16-1/2&quot; Circular Wall Clock"/>
    <n v="26.72"/>
    <n v="1"/>
    <x v="1143"/>
    <x v="2"/>
    <x v="3"/>
  </r>
  <r>
    <n v="45363"/>
    <x v="127"/>
    <x v="32"/>
    <x v="2"/>
    <x v="6"/>
    <s v="PowerGen Dual USB Car Charger"/>
    <n v="69.930000000000007"/>
    <n v="7"/>
    <x v="4116"/>
    <x v="2"/>
    <x v="3"/>
  </r>
  <r>
    <n v="45363"/>
    <x v="544"/>
    <x v="3"/>
    <x v="0"/>
    <x v="2"/>
    <s v="Carina Double Wide Media Storage Towers in Natural &amp; Black"/>
    <n v="242.94"/>
    <n v="3"/>
    <x v="584"/>
    <x v="2"/>
    <x v="3"/>
  </r>
  <r>
    <n v="45363"/>
    <x v="41"/>
    <x v="13"/>
    <x v="0"/>
    <x v="3"/>
    <s v="Avery Non-Stick Binders"/>
    <n v="40.409999999999997"/>
    <n v="9"/>
    <x v="4117"/>
    <x v="2"/>
    <x v="3"/>
  </r>
  <r>
    <n v="45364"/>
    <x v="432"/>
    <x v="3"/>
    <x v="0"/>
    <x v="0"/>
    <s v="Multicolor Computer Printout Paper"/>
    <n v="314.55"/>
    <n v="3"/>
    <x v="3196"/>
    <x v="2"/>
    <x v="3"/>
  </r>
  <r>
    <n v="45364"/>
    <x v="499"/>
    <x v="31"/>
    <x v="0"/>
    <x v="2"/>
    <s v="SimpliFile Personal File, Black Granite, 15w x 6-15/16d x 11-1/4h"/>
    <n v="90.8"/>
    <n v="8"/>
    <x v="4118"/>
    <x v="2"/>
    <x v="3"/>
  </r>
  <r>
    <n v="45364"/>
    <x v="499"/>
    <x v="31"/>
    <x v="2"/>
    <x v="6"/>
    <s v="OtterBox Commuter Series Case - iPhone 5 &amp; 5s"/>
    <n v="140.74"/>
    <n v="8"/>
    <x v="4119"/>
    <x v="2"/>
    <x v="3"/>
  </r>
  <r>
    <n v="45364"/>
    <x v="499"/>
    <x v="31"/>
    <x v="2"/>
    <x v="9"/>
    <s v="Logitech Wireless Headset H600 Over-The-Head Design"/>
    <n v="214.95"/>
    <n v="5"/>
    <x v="4120"/>
    <x v="2"/>
    <x v="3"/>
  </r>
  <r>
    <n v="45364"/>
    <x v="499"/>
    <x v="31"/>
    <x v="0"/>
    <x v="0"/>
    <s v="Xerox 230"/>
    <n v="45.36"/>
    <n v="7"/>
    <x v="407"/>
    <x v="2"/>
    <x v="3"/>
  </r>
  <r>
    <n v="45364"/>
    <x v="499"/>
    <x v="31"/>
    <x v="0"/>
    <x v="0"/>
    <s v="Xerox 1885"/>
    <n v="288.24"/>
    <n v="6"/>
    <x v="4121"/>
    <x v="2"/>
    <x v="3"/>
  </r>
  <r>
    <n v="45364"/>
    <x v="145"/>
    <x v="26"/>
    <x v="0"/>
    <x v="14"/>
    <s v="Martin Yale Chadless Opener Electric Letter Opener"/>
    <n v="1332.5"/>
    <n v="2"/>
    <x v="4122"/>
    <x v="2"/>
    <x v="3"/>
  </r>
  <r>
    <n v="45364"/>
    <x v="720"/>
    <x v="1"/>
    <x v="0"/>
    <x v="4"/>
    <s v="Col-Erase Pencils with Erasers"/>
    <n v="19.46"/>
    <n v="4"/>
    <x v="939"/>
    <x v="2"/>
    <x v="3"/>
  </r>
  <r>
    <n v="45364"/>
    <x v="720"/>
    <x v="1"/>
    <x v="2"/>
    <x v="15"/>
    <s v="HP Officejet Pro 8600 e-All-In-One Printer, Copier, Scanner, Fax"/>
    <n v="209.99"/>
    <n v="2"/>
    <x v="246"/>
    <x v="2"/>
    <x v="3"/>
  </r>
  <r>
    <n v="45364"/>
    <x v="720"/>
    <x v="1"/>
    <x v="0"/>
    <x v="4"/>
    <s v="Eberhard Faber 3 1/2&quot; Golf Pencils"/>
    <n v="29.76"/>
    <n v="5"/>
    <x v="1433"/>
    <x v="2"/>
    <x v="3"/>
  </r>
  <r>
    <n v="45364"/>
    <x v="720"/>
    <x v="1"/>
    <x v="1"/>
    <x v="5"/>
    <s v="SAFCO Folding Chair Trolley"/>
    <n v="89.77"/>
    <n v="1"/>
    <x v="2362"/>
    <x v="2"/>
    <x v="3"/>
  </r>
  <r>
    <n v="45364"/>
    <x v="720"/>
    <x v="1"/>
    <x v="2"/>
    <x v="16"/>
    <s v="Hewlett Packard LaserJet 3310 Copier"/>
    <n v="959.98"/>
    <n v="2"/>
    <x v="2245"/>
    <x v="2"/>
    <x v="3"/>
  </r>
  <r>
    <n v="45364"/>
    <x v="720"/>
    <x v="1"/>
    <x v="0"/>
    <x v="0"/>
    <s v="Xerox 1993"/>
    <n v="15.55"/>
    <n v="3"/>
    <x v="1291"/>
    <x v="2"/>
    <x v="3"/>
  </r>
  <r>
    <n v="45364"/>
    <x v="720"/>
    <x v="1"/>
    <x v="2"/>
    <x v="6"/>
    <s v="Plantronics MX500i Earset"/>
    <n v="34.36"/>
    <n v="1"/>
    <x v="4123"/>
    <x v="2"/>
    <x v="3"/>
  </r>
  <r>
    <n v="45364"/>
    <x v="59"/>
    <x v="37"/>
    <x v="0"/>
    <x v="3"/>
    <s v="GBC VeloBind Cover Sets"/>
    <n v="30.88"/>
    <n v="2"/>
    <x v="4124"/>
    <x v="2"/>
    <x v="3"/>
  </r>
  <r>
    <n v="45364"/>
    <x v="59"/>
    <x v="37"/>
    <x v="0"/>
    <x v="12"/>
    <s v="Hoover Commercial Lightweight Upright Vacuum with E-Z Empty Dirt Cup"/>
    <n v="465.16"/>
    <n v="2"/>
    <x v="4125"/>
    <x v="2"/>
    <x v="3"/>
  </r>
  <r>
    <n v="45364"/>
    <x v="59"/>
    <x v="37"/>
    <x v="0"/>
    <x v="0"/>
    <s v="Strathmore Photo Mount Cards"/>
    <n v="27.12"/>
    <n v="4"/>
    <x v="4126"/>
    <x v="2"/>
    <x v="3"/>
  </r>
  <r>
    <n v="45364"/>
    <x v="733"/>
    <x v="36"/>
    <x v="0"/>
    <x v="3"/>
    <s v="Avery Arch Ring Binders"/>
    <n v="174.3"/>
    <n v="3"/>
    <x v="4127"/>
    <x v="2"/>
    <x v="3"/>
  </r>
  <r>
    <n v="45364"/>
    <x v="711"/>
    <x v="20"/>
    <x v="2"/>
    <x v="6"/>
    <s v="Panasonic KX T7736-B Digital phone"/>
    <n v="299.89999999999998"/>
    <n v="2"/>
    <x v="2493"/>
    <x v="2"/>
    <x v="3"/>
  </r>
  <r>
    <n v="45364"/>
    <x v="136"/>
    <x v="1"/>
    <x v="2"/>
    <x v="6"/>
    <s v="PowerGen Dual USB Car Charger"/>
    <n v="7.99"/>
    <n v="1"/>
    <x v="100"/>
    <x v="2"/>
    <x v="3"/>
  </r>
  <r>
    <n v="45365"/>
    <x v="396"/>
    <x v="1"/>
    <x v="2"/>
    <x v="6"/>
    <s v="Seidio BD2-HK3IPH5-BK DILEX Case and Holster Combo for Apple iPhone 5/5s - Black"/>
    <n v="49.62"/>
    <n v="2"/>
    <x v="1281"/>
    <x v="2"/>
    <x v="3"/>
  </r>
  <r>
    <n v="45367"/>
    <x v="139"/>
    <x v="22"/>
    <x v="0"/>
    <x v="0"/>
    <s v="Xerox 214"/>
    <n v="6.48"/>
    <n v="1"/>
    <x v="1006"/>
    <x v="2"/>
    <x v="3"/>
  </r>
  <r>
    <n v="45367"/>
    <x v="139"/>
    <x v="22"/>
    <x v="0"/>
    <x v="2"/>
    <s v="Safco Commercial Shelving"/>
    <n v="46.51"/>
    <n v="1"/>
    <x v="1433"/>
    <x v="2"/>
    <x v="3"/>
  </r>
  <r>
    <n v="45367"/>
    <x v="139"/>
    <x v="22"/>
    <x v="2"/>
    <x v="6"/>
    <s v="Mitel MiVoice 5330e IP Phone"/>
    <n v="659.98"/>
    <n v="3"/>
    <x v="4043"/>
    <x v="2"/>
    <x v="3"/>
  </r>
  <r>
    <n v="45367"/>
    <x v="342"/>
    <x v="10"/>
    <x v="2"/>
    <x v="6"/>
    <s v="Geemarc AmpliPOWER60"/>
    <n v="445.44"/>
    <n v="8"/>
    <x v="4128"/>
    <x v="2"/>
    <x v="3"/>
  </r>
  <r>
    <n v="45367"/>
    <x v="530"/>
    <x v="10"/>
    <x v="2"/>
    <x v="6"/>
    <s v="OtterBox Defender Series Case - iPhone 5c"/>
    <n v="44.38"/>
    <n v="2"/>
    <x v="4129"/>
    <x v="2"/>
    <x v="3"/>
  </r>
  <r>
    <n v="45367"/>
    <x v="530"/>
    <x v="10"/>
    <x v="1"/>
    <x v="8"/>
    <s v="Nu-Dell Oak Frame"/>
    <n v="51.26"/>
    <n v="6"/>
    <x v="118"/>
    <x v="2"/>
    <x v="3"/>
  </r>
  <r>
    <n v="45367"/>
    <x v="530"/>
    <x v="10"/>
    <x v="0"/>
    <x v="3"/>
    <s v="Avery Binding System Hidden Tab Executive Style Index Sets"/>
    <n v="5.19"/>
    <n v="3"/>
    <x v="3571"/>
    <x v="2"/>
    <x v="3"/>
  </r>
  <r>
    <n v="45367"/>
    <x v="530"/>
    <x v="10"/>
    <x v="2"/>
    <x v="9"/>
    <s v="Logitech G700s Rechargeable Gaming Mouse"/>
    <n v="159.97999999999999"/>
    <n v="2"/>
    <x v="3444"/>
    <x v="2"/>
    <x v="3"/>
  </r>
  <r>
    <n v="45367"/>
    <x v="530"/>
    <x v="10"/>
    <x v="0"/>
    <x v="2"/>
    <s v="File Shuttle II and Handi-File, Black"/>
    <n v="54.22"/>
    <n v="2"/>
    <x v="1737"/>
    <x v="2"/>
    <x v="3"/>
  </r>
  <r>
    <n v="45367"/>
    <x v="687"/>
    <x v="3"/>
    <x v="0"/>
    <x v="2"/>
    <s v="Dual Level, Single-Width Filing Carts"/>
    <n v="310.12"/>
    <n v="2"/>
    <x v="956"/>
    <x v="2"/>
    <x v="3"/>
  </r>
  <r>
    <n v="45367"/>
    <x v="687"/>
    <x v="3"/>
    <x v="0"/>
    <x v="3"/>
    <s v="XtraLife ClearVue Slant-D Ring Binder, White, 3&quot;"/>
    <n v="70.459999999999994"/>
    <n v="6"/>
    <x v="4130"/>
    <x v="2"/>
    <x v="3"/>
  </r>
  <r>
    <n v="45367"/>
    <x v="687"/>
    <x v="3"/>
    <x v="0"/>
    <x v="3"/>
    <s v="Pressboard Hanging Data Binders for Unburst Sheets"/>
    <n v="19.68"/>
    <n v="5"/>
    <x v="309"/>
    <x v="2"/>
    <x v="3"/>
  </r>
  <r>
    <n v="45367"/>
    <x v="687"/>
    <x v="3"/>
    <x v="0"/>
    <x v="12"/>
    <s v="Bionaire Personal Warm Mist Humidifier/Vaporizer"/>
    <n v="140.66999999999999"/>
    <n v="3"/>
    <x v="3170"/>
    <x v="2"/>
    <x v="3"/>
  </r>
  <r>
    <n v="45368"/>
    <x v="68"/>
    <x v="3"/>
    <x v="0"/>
    <x v="3"/>
    <s v="Heavy-Duty E-Z-D Binders"/>
    <n v="17.46"/>
    <n v="2"/>
    <x v="2891"/>
    <x v="2"/>
    <x v="3"/>
  </r>
  <r>
    <n v="45368"/>
    <x v="674"/>
    <x v="20"/>
    <x v="0"/>
    <x v="1"/>
    <s v="Avery 496"/>
    <n v="18.75"/>
    <n v="5"/>
    <x v="246"/>
    <x v="2"/>
    <x v="3"/>
  </r>
  <r>
    <n v="45368"/>
    <x v="674"/>
    <x v="20"/>
    <x v="2"/>
    <x v="6"/>
    <s v="Cisco SPA525G2 IP Phone - Wireless"/>
    <n v="119.7"/>
    <n v="6"/>
    <x v="4131"/>
    <x v="2"/>
    <x v="3"/>
  </r>
  <r>
    <n v="45368"/>
    <x v="674"/>
    <x v="20"/>
    <x v="0"/>
    <x v="3"/>
    <s v="Acco Pressboard Covers with Storage Hooks, 9 1/2&quot; x 11&quot;, Executive Red"/>
    <n v="9.14"/>
    <n v="3"/>
    <x v="2137"/>
    <x v="2"/>
    <x v="3"/>
  </r>
  <r>
    <n v="45368"/>
    <x v="674"/>
    <x v="20"/>
    <x v="2"/>
    <x v="9"/>
    <s v="SanDisk Cruzer 32 GB USB Flash Drive"/>
    <n v="57.06"/>
    <n v="3"/>
    <x v="4132"/>
    <x v="2"/>
    <x v="3"/>
  </r>
  <r>
    <n v="45368"/>
    <x v="674"/>
    <x v="20"/>
    <x v="2"/>
    <x v="9"/>
    <s v="Kingston Digital DataTraveler 16GB USB 2.0"/>
    <n v="71.599999999999994"/>
    <n v="8"/>
    <x v="4133"/>
    <x v="2"/>
    <x v="3"/>
  </r>
  <r>
    <n v="45368"/>
    <x v="674"/>
    <x v="20"/>
    <x v="0"/>
    <x v="2"/>
    <s v="Neat Ideas Personal Hanging Folder Files, Black"/>
    <n v="107.44"/>
    <n v="8"/>
    <x v="4134"/>
    <x v="2"/>
    <x v="3"/>
  </r>
  <r>
    <n v="45368"/>
    <x v="674"/>
    <x v="20"/>
    <x v="0"/>
    <x v="1"/>
    <s v="Avery 486"/>
    <n v="7.31"/>
    <n v="1"/>
    <x v="951"/>
    <x v="2"/>
    <x v="3"/>
  </r>
  <r>
    <n v="45368"/>
    <x v="674"/>
    <x v="20"/>
    <x v="0"/>
    <x v="4"/>
    <s v="Lumber Crayons"/>
    <n v="59.1"/>
    <n v="6"/>
    <x v="4135"/>
    <x v="2"/>
    <x v="3"/>
  </r>
  <r>
    <n v="45368"/>
    <x v="674"/>
    <x v="20"/>
    <x v="0"/>
    <x v="2"/>
    <s v="Tenex File Box, Personal Filing Tote with Lid, Black"/>
    <n v="46.53"/>
    <n v="3"/>
    <x v="3416"/>
    <x v="2"/>
    <x v="3"/>
  </r>
  <r>
    <n v="45368"/>
    <x v="675"/>
    <x v="0"/>
    <x v="0"/>
    <x v="3"/>
    <s v="GBC Plasticlear Binding Covers"/>
    <n v="13.78"/>
    <n v="6"/>
    <x v="4136"/>
    <x v="2"/>
    <x v="3"/>
  </r>
  <r>
    <n v="45368"/>
    <x v="675"/>
    <x v="0"/>
    <x v="0"/>
    <x v="0"/>
    <s v="Xerox 1900"/>
    <n v="10.27"/>
    <n v="3"/>
    <x v="2194"/>
    <x v="2"/>
    <x v="3"/>
  </r>
  <r>
    <n v="45368"/>
    <x v="326"/>
    <x v="15"/>
    <x v="0"/>
    <x v="1"/>
    <s v="Avery 474"/>
    <n v="4.6100000000000003"/>
    <n v="2"/>
    <x v="688"/>
    <x v="2"/>
    <x v="3"/>
  </r>
  <r>
    <n v="45369"/>
    <x v="778"/>
    <x v="0"/>
    <x v="0"/>
    <x v="12"/>
    <s v="Hoover Portapower Portable Vacuum"/>
    <n v="2.69"/>
    <n v="3"/>
    <x v="4137"/>
    <x v="2"/>
    <x v="3"/>
  </r>
  <r>
    <n v="45369"/>
    <x v="778"/>
    <x v="0"/>
    <x v="2"/>
    <x v="9"/>
    <s v="Verbatim 25 GB 6x Blu-ray Single Layer Recordable Disc, 10/Pack"/>
    <n v="27.82"/>
    <n v="3"/>
    <x v="662"/>
    <x v="2"/>
    <x v="3"/>
  </r>
  <r>
    <n v="45369"/>
    <x v="778"/>
    <x v="0"/>
    <x v="1"/>
    <x v="8"/>
    <s v="Howard Miller 13-1/2&quot; Diameter Rosebrook Wall Clock"/>
    <n v="82.52"/>
    <n v="3"/>
    <x v="4138"/>
    <x v="2"/>
    <x v="3"/>
  </r>
  <r>
    <n v="45369"/>
    <x v="778"/>
    <x v="0"/>
    <x v="0"/>
    <x v="3"/>
    <s v="Ibico Hi-Tech Manual Binding System"/>
    <n v="182.99"/>
    <n v="3"/>
    <x v="4139"/>
    <x v="2"/>
    <x v="3"/>
  </r>
  <r>
    <n v="45369"/>
    <x v="647"/>
    <x v="0"/>
    <x v="0"/>
    <x v="4"/>
    <s v="Peel-Off China Markers"/>
    <n v="23.83"/>
    <n v="3"/>
    <x v="945"/>
    <x v="2"/>
    <x v="3"/>
  </r>
  <r>
    <n v="45369"/>
    <x v="72"/>
    <x v="22"/>
    <x v="0"/>
    <x v="4"/>
    <s v="Deluxe Chalkboard Eraser Cleaner"/>
    <n v="46.2"/>
    <n v="4"/>
    <x v="1773"/>
    <x v="2"/>
    <x v="3"/>
  </r>
  <r>
    <n v="45369"/>
    <x v="426"/>
    <x v="0"/>
    <x v="2"/>
    <x v="6"/>
    <s v="Pyle PMP37LED"/>
    <n v="537.54"/>
    <n v="7"/>
    <x v="4140"/>
    <x v="2"/>
    <x v="3"/>
  </r>
  <r>
    <n v="45369"/>
    <x v="455"/>
    <x v="3"/>
    <x v="0"/>
    <x v="4"/>
    <s v="Prang Drawing Pencil Set"/>
    <n v="13.9"/>
    <n v="5"/>
    <x v="2972"/>
    <x v="2"/>
    <x v="3"/>
  </r>
  <r>
    <n v="45369"/>
    <x v="455"/>
    <x v="3"/>
    <x v="0"/>
    <x v="10"/>
    <s v="Peel &amp; Seel Envelopes"/>
    <n v="19.399999999999999"/>
    <n v="5"/>
    <x v="2503"/>
    <x v="2"/>
    <x v="3"/>
  </r>
  <r>
    <n v="45369"/>
    <x v="527"/>
    <x v="3"/>
    <x v="0"/>
    <x v="12"/>
    <s v="Fellowes Basic Home/Office Series Surge Protectors"/>
    <n v="90.86"/>
    <n v="7"/>
    <x v="4141"/>
    <x v="2"/>
    <x v="3"/>
  </r>
  <r>
    <n v="45370"/>
    <x v="651"/>
    <x v="20"/>
    <x v="0"/>
    <x v="1"/>
    <s v="Avery 506"/>
    <n v="28.91"/>
    <n v="7"/>
    <x v="1574"/>
    <x v="2"/>
    <x v="3"/>
  </r>
  <r>
    <n v="45370"/>
    <x v="11"/>
    <x v="3"/>
    <x v="0"/>
    <x v="3"/>
    <s v="ACCOHIDE 3-Ring Binder, Blue, 1&quot;"/>
    <n v="19.82"/>
    <n v="6"/>
    <x v="4142"/>
    <x v="2"/>
    <x v="3"/>
  </r>
  <r>
    <n v="45370"/>
    <x v="11"/>
    <x v="3"/>
    <x v="2"/>
    <x v="6"/>
    <s v="Jawbone MINI JAMBOX Wireless Bluetooth Speaker"/>
    <n v="657.5"/>
    <n v="6"/>
    <x v="4143"/>
    <x v="2"/>
    <x v="3"/>
  </r>
  <r>
    <n v="45370"/>
    <x v="11"/>
    <x v="3"/>
    <x v="2"/>
    <x v="9"/>
    <s v="Logitech K350 2.4Ghz Wireless Keyboard"/>
    <n v="99.54"/>
    <n v="2"/>
    <x v="4144"/>
    <x v="2"/>
    <x v="3"/>
  </r>
  <r>
    <n v="45370"/>
    <x v="11"/>
    <x v="3"/>
    <x v="2"/>
    <x v="9"/>
    <s v="Logitech Wireless Marathon Mouse M705"/>
    <n v="199.96"/>
    <n v="4"/>
    <x v="972"/>
    <x v="2"/>
    <x v="3"/>
  </r>
  <r>
    <n v="45370"/>
    <x v="52"/>
    <x v="3"/>
    <x v="0"/>
    <x v="3"/>
    <s v="SpineVue Locking Slant-D Ring Binders by Cardinal"/>
    <n v="14.62"/>
    <n v="2"/>
    <x v="3602"/>
    <x v="2"/>
    <x v="3"/>
  </r>
  <r>
    <n v="45370"/>
    <x v="52"/>
    <x v="3"/>
    <x v="1"/>
    <x v="13"/>
    <s v="Chromcraft Round Conference Tables"/>
    <n v="697.16"/>
    <n v="5"/>
    <x v="2341"/>
    <x v="2"/>
    <x v="3"/>
  </r>
  <r>
    <n v="45370"/>
    <x v="52"/>
    <x v="3"/>
    <x v="1"/>
    <x v="8"/>
    <s v="Advantus Employee of the Month Certificate Frame, 11 x 13-1/2"/>
    <n v="30.93"/>
    <n v="1"/>
    <x v="4145"/>
    <x v="2"/>
    <x v="3"/>
  </r>
  <r>
    <n v="45370"/>
    <x v="52"/>
    <x v="3"/>
    <x v="0"/>
    <x v="3"/>
    <s v="Pressboard Covers with Storage Hooks, 9 1/2&quot; x 11&quot;, Light Blue"/>
    <n v="27.5"/>
    <n v="7"/>
    <x v="4146"/>
    <x v="2"/>
    <x v="3"/>
  </r>
  <r>
    <n v="45370"/>
    <x v="434"/>
    <x v="3"/>
    <x v="0"/>
    <x v="12"/>
    <s v="Belkin 5 Outlet SurgeMaster Power Centers"/>
    <n v="381.36"/>
    <n v="7"/>
    <x v="4147"/>
    <x v="2"/>
    <x v="3"/>
  </r>
  <r>
    <n v="45370"/>
    <x v="422"/>
    <x v="23"/>
    <x v="0"/>
    <x v="4"/>
    <s v="Dixon Ticonderoga Pencils"/>
    <n v="8.94"/>
    <n v="3"/>
    <x v="4148"/>
    <x v="2"/>
    <x v="3"/>
  </r>
  <r>
    <n v="45371"/>
    <x v="47"/>
    <x v="18"/>
    <x v="1"/>
    <x v="8"/>
    <s v="GE General Purpose, Extra Long Life, Showcase &amp; Floodlight Incandescent Bulbs"/>
    <n v="2.91"/>
    <n v="1"/>
    <x v="214"/>
    <x v="2"/>
    <x v="3"/>
  </r>
  <r>
    <n v="45371"/>
    <x v="698"/>
    <x v="22"/>
    <x v="2"/>
    <x v="9"/>
    <s v="ImationÂ SecureÂ DriveÂ + Hardware Encrypted USBÂ flash driveÂ - 16 GB"/>
    <n v="265.93"/>
    <n v="7"/>
    <x v="4149"/>
    <x v="2"/>
    <x v="3"/>
  </r>
  <r>
    <n v="45371"/>
    <x v="310"/>
    <x v="37"/>
    <x v="2"/>
    <x v="9"/>
    <s v="WD My Passport Ultra 2TB Portable External Hard Drive"/>
    <n v="238"/>
    <n v="2"/>
    <x v="720"/>
    <x v="2"/>
    <x v="3"/>
  </r>
  <r>
    <n v="45371"/>
    <x v="310"/>
    <x v="37"/>
    <x v="0"/>
    <x v="0"/>
    <s v="Xerox 1988"/>
    <n v="61.96"/>
    <n v="2"/>
    <x v="1141"/>
    <x v="2"/>
    <x v="3"/>
  </r>
  <r>
    <n v="45371"/>
    <x v="173"/>
    <x v="0"/>
    <x v="0"/>
    <x v="0"/>
    <s v="Easy-staple paper"/>
    <n v="56.7"/>
    <n v="2"/>
    <x v="2153"/>
    <x v="2"/>
    <x v="3"/>
  </r>
  <r>
    <n v="45371"/>
    <x v="173"/>
    <x v="0"/>
    <x v="0"/>
    <x v="0"/>
    <s v="Xerox 1916"/>
    <n v="274.06"/>
    <n v="7"/>
    <x v="4150"/>
    <x v="2"/>
    <x v="3"/>
  </r>
  <r>
    <n v="45372"/>
    <x v="758"/>
    <x v="18"/>
    <x v="0"/>
    <x v="0"/>
    <s v="Eaton Premium Continuous-Feed Paper, 25% Cotton, Letter Size, White, 1000 Shts/Box"/>
    <n v="277.39999999999998"/>
    <n v="5"/>
    <x v="4151"/>
    <x v="2"/>
    <x v="3"/>
  </r>
  <r>
    <n v="45372"/>
    <x v="758"/>
    <x v="18"/>
    <x v="0"/>
    <x v="0"/>
    <s v="Xerox 196"/>
    <n v="5.78"/>
    <n v="1"/>
    <x v="4152"/>
    <x v="2"/>
    <x v="3"/>
  </r>
  <r>
    <n v="45372"/>
    <x v="68"/>
    <x v="39"/>
    <x v="1"/>
    <x v="5"/>
    <s v="Global Leather and Oak Executive Chair, Black"/>
    <n v="1805.88"/>
    <n v="6"/>
    <x v="4153"/>
    <x v="2"/>
    <x v="3"/>
  </r>
  <r>
    <n v="45372"/>
    <x v="236"/>
    <x v="3"/>
    <x v="0"/>
    <x v="2"/>
    <s v="Adjustable Depth Letter/Legal Cart"/>
    <n v="725.84"/>
    <n v="4"/>
    <x v="2164"/>
    <x v="2"/>
    <x v="3"/>
  </r>
  <r>
    <n v="45372"/>
    <x v="236"/>
    <x v="3"/>
    <x v="0"/>
    <x v="3"/>
    <s v="Avery Durable Plastic 1&quot; Binders"/>
    <n v="10.9"/>
    <n v="3"/>
    <x v="383"/>
    <x v="2"/>
    <x v="3"/>
  </r>
  <r>
    <n v="45372"/>
    <x v="236"/>
    <x v="3"/>
    <x v="0"/>
    <x v="3"/>
    <s v="Pressboard Data Binders by Wilson Jones"/>
    <n v="8.5399999999999991"/>
    <n v="2"/>
    <x v="245"/>
    <x v="2"/>
    <x v="3"/>
  </r>
  <r>
    <n v="45372"/>
    <x v="203"/>
    <x v="16"/>
    <x v="0"/>
    <x v="12"/>
    <s v="APC 7 Outlet Network SurgeArrest Surge Protector"/>
    <n v="64.38"/>
    <n v="1"/>
    <x v="1000"/>
    <x v="2"/>
    <x v="3"/>
  </r>
  <r>
    <n v="45372"/>
    <x v="764"/>
    <x v="2"/>
    <x v="0"/>
    <x v="10"/>
    <s v="Colored Envelopes"/>
    <n v="8.86"/>
    <n v="3"/>
    <x v="245"/>
    <x v="2"/>
    <x v="3"/>
  </r>
  <r>
    <n v="45372"/>
    <x v="152"/>
    <x v="22"/>
    <x v="0"/>
    <x v="3"/>
    <s v="C-Line Peel &amp; Stick Add-On Filing Pockets, 8-3/4 x 5-1/8, 10/Pack"/>
    <n v="30.58"/>
    <n v="6"/>
    <x v="568"/>
    <x v="2"/>
    <x v="3"/>
  </r>
  <r>
    <n v="45372"/>
    <x v="152"/>
    <x v="22"/>
    <x v="0"/>
    <x v="7"/>
    <s v="Super Bands, 12/Pack"/>
    <n v="13.02"/>
    <n v="7"/>
    <x v="1821"/>
    <x v="2"/>
    <x v="3"/>
  </r>
  <r>
    <n v="45372"/>
    <x v="152"/>
    <x v="22"/>
    <x v="1"/>
    <x v="8"/>
    <s v="Eldon Expressions Wood Desk Accessories, Oak"/>
    <n v="22.14"/>
    <n v="3"/>
    <x v="2630"/>
    <x v="2"/>
    <x v="3"/>
  </r>
  <r>
    <n v="45372"/>
    <x v="152"/>
    <x v="22"/>
    <x v="0"/>
    <x v="2"/>
    <s v="Fellowes Officeware Wire Shelving"/>
    <n v="359.32"/>
    <n v="4"/>
    <x v="476"/>
    <x v="2"/>
    <x v="3"/>
  </r>
  <r>
    <n v="45374"/>
    <x v="734"/>
    <x v="3"/>
    <x v="1"/>
    <x v="8"/>
    <s v="DAX Natural Wood-Tone Poster Frame"/>
    <n v="211.84"/>
    <n v="8"/>
    <x v="4154"/>
    <x v="2"/>
    <x v="3"/>
  </r>
  <r>
    <n v="45374"/>
    <x v="461"/>
    <x v="0"/>
    <x v="0"/>
    <x v="2"/>
    <s v="Fellowes Officeware Wire Shelving"/>
    <n v="143.72999999999999"/>
    <n v="2"/>
    <x v="4155"/>
    <x v="2"/>
    <x v="3"/>
  </r>
  <r>
    <n v="45374"/>
    <x v="574"/>
    <x v="20"/>
    <x v="0"/>
    <x v="0"/>
    <s v="Xerox 1980"/>
    <n v="25.68"/>
    <n v="6"/>
    <x v="1920"/>
    <x v="2"/>
    <x v="3"/>
  </r>
  <r>
    <n v="45374"/>
    <x v="126"/>
    <x v="20"/>
    <x v="0"/>
    <x v="14"/>
    <s v="Premier Electric Letter Opener"/>
    <n v="347.58"/>
    <n v="3"/>
    <x v="3187"/>
    <x v="2"/>
    <x v="3"/>
  </r>
  <r>
    <n v="45374"/>
    <x v="694"/>
    <x v="22"/>
    <x v="0"/>
    <x v="3"/>
    <s v="Cardinal Slant-D Ring Binder, Heavy Gauge Vinyl"/>
    <n v="34.76"/>
    <n v="5"/>
    <x v="4156"/>
    <x v="2"/>
    <x v="3"/>
  </r>
  <r>
    <n v="45374"/>
    <x v="745"/>
    <x v="22"/>
    <x v="0"/>
    <x v="2"/>
    <s v="Acco Perma 4000 Stacking Storage Drawers"/>
    <n v="32.479999999999997"/>
    <n v="2"/>
    <x v="604"/>
    <x v="2"/>
    <x v="3"/>
  </r>
  <r>
    <n v="45374"/>
    <x v="745"/>
    <x v="22"/>
    <x v="0"/>
    <x v="0"/>
    <s v="Xerox 1898"/>
    <n v="20.04"/>
    <n v="3"/>
    <x v="1614"/>
    <x v="2"/>
    <x v="3"/>
  </r>
  <r>
    <n v="45374"/>
    <x v="745"/>
    <x v="22"/>
    <x v="2"/>
    <x v="16"/>
    <s v="Canon imageCLASS 2200 Advanced Copier"/>
    <n v="13999.96"/>
    <n v="4"/>
    <x v="4157"/>
    <x v="2"/>
    <x v="3"/>
  </r>
  <r>
    <n v="45375"/>
    <x v="291"/>
    <x v="20"/>
    <x v="0"/>
    <x v="0"/>
    <s v="Xerox 1888"/>
    <n v="221.92"/>
    <n v="4"/>
    <x v="4158"/>
    <x v="2"/>
    <x v="3"/>
  </r>
  <r>
    <n v="45375"/>
    <x v="291"/>
    <x v="20"/>
    <x v="2"/>
    <x v="9"/>
    <s v="Memorex Micro Travel Drive 8 GB"/>
    <n v="26"/>
    <n v="2"/>
    <x v="235"/>
    <x v="2"/>
    <x v="3"/>
  </r>
  <r>
    <n v="45375"/>
    <x v="535"/>
    <x v="20"/>
    <x v="0"/>
    <x v="10"/>
    <s v="#10 White Business Envelopes,4 1/8 x 9 1/2"/>
    <n v="47.01"/>
    <n v="3"/>
    <x v="4159"/>
    <x v="2"/>
    <x v="3"/>
  </r>
  <r>
    <n v="45375"/>
    <x v="535"/>
    <x v="20"/>
    <x v="2"/>
    <x v="6"/>
    <s v="Samsung Galaxy S4 Mini"/>
    <n v="469.99"/>
    <n v="1"/>
    <x v="4160"/>
    <x v="2"/>
    <x v="3"/>
  </r>
  <r>
    <n v="45375"/>
    <x v="535"/>
    <x v="20"/>
    <x v="1"/>
    <x v="5"/>
    <s v="Global Deluxe Steno Chair"/>
    <n v="207.85"/>
    <n v="3"/>
    <x v="3264"/>
    <x v="2"/>
    <x v="3"/>
  </r>
  <r>
    <n v="45375"/>
    <x v="20"/>
    <x v="20"/>
    <x v="1"/>
    <x v="5"/>
    <s v="Global Airflow Leather Mesh Back Chair, Black"/>
    <n v="271.76"/>
    <n v="2"/>
    <x v="2077"/>
    <x v="2"/>
    <x v="3"/>
  </r>
  <r>
    <n v="45375"/>
    <x v="689"/>
    <x v="0"/>
    <x v="0"/>
    <x v="2"/>
    <s v="Iris Project Case"/>
    <n v="12.77"/>
    <n v="2"/>
    <x v="591"/>
    <x v="2"/>
    <x v="3"/>
  </r>
  <r>
    <n v="45376"/>
    <x v="405"/>
    <x v="0"/>
    <x v="2"/>
    <x v="6"/>
    <s v="Panasonic KX-TG9471B"/>
    <n v="470.38"/>
    <n v="3"/>
    <x v="4140"/>
    <x v="2"/>
    <x v="3"/>
  </r>
  <r>
    <n v="45376"/>
    <x v="107"/>
    <x v="3"/>
    <x v="0"/>
    <x v="12"/>
    <s v="Acco Smartsocket Color-Coded Six-Outlet AC Adapter Model Surge Protectors"/>
    <n v="176.04"/>
    <n v="4"/>
    <x v="4161"/>
    <x v="2"/>
    <x v="3"/>
  </r>
  <r>
    <n v="45376"/>
    <x v="107"/>
    <x v="3"/>
    <x v="0"/>
    <x v="4"/>
    <s v="Staples in misc. colors"/>
    <n v="16.02"/>
    <n v="9"/>
    <x v="630"/>
    <x v="2"/>
    <x v="3"/>
  </r>
  <r>
    <n v="45376"/>
    <x v="107"/>
    <x v="3"/>
    <x v="0"/>
    <x v="3"/>
    <s v="Avery Arch Ring Binders"/>
    <n v="185.92"/>
    <n v="4"/>
    <x v="4162"/>
    <x v="2"/>
    <x v="3"/>
  </r>
  <r>
    <n v="45376"/>
    <x v="107"/>
    <x v="3"/>
    <x v="2"/>
    <x v="6"/>
    <s v="Clearsounds A400"/>
    <n v="211.17"/>
    <n v="4"/>
    <x v="785"/>
    <x v="2"/>
    <x v="3"/>
  </r>
  <r>
    <n v="45376"/>
    <x v="107"/>
    <x v="3"/>
    <x v="2"/>
    <x v="16"/>
    <s v="Hewlett Packard 310 Color Digital Copier"/>
    <n v="479.98"/>
    <n v="2"/>
    <x v="2291"/>
    <x v="2"/>
    <x v="3"/>
  </r>
  <r>
    <n v="45376"/>
    <x v="514"/>
    <x v="21"/>
    <x v="1"/>
    <x v="5"/>
    <s v="Global Highback Leather Tilter in Burgundy"/>
    <n v="90.99"/>
    <n v="1"/>
    <x v="382"/>
    <x v="2"/>
    <x v="3"/>
  </r>
  <r>
    <n v="45376"/>
    <x v="514"/>
    <x v="21"/>
    <x v="1"/>
    <x v="5"/>
    <s v="Lifetime Advantage Folding Chairs, 4/Carton"/>
    <n v="1526.56"/>
    <n v="7"/>
    <x v="4163"/>
    <x v="2"/>
    <x v="3"/>
  </r>
  <r>
    <n v="45376"/>
    <x v="514"/>
    <x v="21"/>
    <x v="1"/>
    <x v="5"/>
    <s v="Global High-Back Leather Tilter, Burgundy"/>
    <n v="368.97"/>
    <n v="3"/>
    <x v="4164"/>
    <x v="2"/>
    <x v="3"/>
  </r>
  <r>
    <n v="45376"/>
    <x v="257"/>
    <x v="0"/>
    <x v="0"/>
    <x v="0"/>
    <s v="Xerox 1953"/>
    <n v="6.85"/>
    <n v="2"/>
    <x v="959"/>
    <x v="2"/>
    <x v="3"/>
  </r>
  <r>
    <n v="45376"/>
    <x v="76"/>
    <x v="22"/>
    <x v="0"/>
    <x v="4"/>
    <s v="Newell 309"/>
    <n v="23.1"/>
    <n v="2"/>
    <x v="4165"/>
    <x v="2"/>
    <x v="3"/>
  </r>
  <r>
    <n v="45376"/>
    <x v="154"/>
    <x v="20"/>
    <x v="0"/>
    <x v="4"/>
    <s v="Newell 311"/>
    <n v="11.05"/>
    <n v="5"/>
    <x v="1989"/>
    <x v="2"/>
    <x v="3"/>
  </r>
  <r>
    <n v="45377"/>
    <x v="95"/>
    <x v="20"/>
    <x v="1"/>
    <x v="11"/>
    <s v="Sauder Forest Hills Library with Doors, Woodland Oak Finish"/>
    <n v="257.57"/>
    <n v="2"/>
    <x v="4166"/>
    <x v="2"/>
    <x v="3"/>
  </r>
  <r>
    <n v="45377"/>
    <x v="95"/>
    <x v="20"/>
    <x v="2"/>
    <x v="6"/>
    <s v="Nokia Lumia 521 (T-Mobile)"/>
    <n v="119.96"/>
    <n v="4"/>
    <x v="2547"/>
    <x v="2"/>
    <x v="3"/>
  </r>
  <r>
    <n v="45377"/>
    <x v="713"/>
    <x v="22"/>
    <x v="0"/>
    <x v="4"/>
    <s v="Boston 1827 Commercial Additional Cutter, Drive Gear &amp; Gear Rack for 1606"/>
    <n v="19.829999999999998"/>
    <n v="1"/>
    <x v="2869"/>
    <x v="2"/>
    <x v="3"/>
  </r>
  <r>
    <n v="45377"/>
    <x v="783"/>
    <x v="14"/>
    <x v="1"/>
    <x v="8"/>
    <s v="Career Cubicle Clock, 8 1/4&quot;, Black"/>
    <n v="60.84"/>
    <n v="3"/>
    <x v="2641"/>
    <x v="2"/>
    <x v="3"/>
  </r>
  <r>
    <n v="45377"/>
    <x v="726"/>
    <x v="6"/>
    <x v="2"/>
    <x v="9"/>
    <s v="Memorex Froggy Flash Drive 8 GB"/>
    <n v="53.25"/>
    <n v="3"/>
    <x v="1775"/>
    <x v="2"/>
    <x v="3"/>
  </r>
  <r>
    <n v="45377"/>
    <x v="726"/>
    <x v="6"/>
    <x v="0"/>
    <x v="7"/>
    <s v="Staples"/>
    <n v="3.76"/>
    <n v="2"/>
    <x v="1394"/>
    <x v="2"/>
    <x v="3"/>
  </r>
  <r>
    <n v="45377"/>
    <x v="252"/>
    <x v="0"/>
    <x v="2"/>
    <x v="9"/>
    <s v="Sony 64GB Class 10 Micro SDHC R40 Memory Card"/>
    <n v="143.96"/>
    <n v="5"/>
    <x v="1666"/>
    <x v="2"/>
    <x v="3"/>
  </r>
  <r>
    <n v="45377"/>
    <x v="252"/>
    <x v="0"/>
    <x v="2"/>
    <x v="16"/>
    <s v="Canon PC1080F Personal Copier"/>
    <n v="2399.96"/>
    <n v="5"/>
    <x v="4167"/>
    <x v="2"/>
    <x v="3"/>
  </r>
  <r>
    <n v="45377"/>
    <x v="252"/>
    <x v="0"/>
    <x v="0"/>
    <x v="0"/>
    <s v="Xerox 1951"/>
    <n v="74.349999999999994"/>
    <n v="3"/>
    <x v="229"/>
    <x v="2"/>
    <x v="3"/>
  </r>
  <r>
    <n v="45377"/>
    <x v="252"/>
    <x v="0"/>
    <x v="0"/>
    <x v="12"/>
    <s v="Belkin 5 Outlet SurgeMaster Power Centers"/>
    <n v="87.17"/>
    <n v="8"/>
    <x v="4168"/>
    <x v="2"/>
    <x v="3"/>
  </r>
  <r>
    <n v="45377"/>
    <x v="252"/>
    <x v="0"/>
    <x v="0"/>
    <x v="2"/>
    <s v="Neat Ideas Personal Hanging Folder Files, Black"/>
    <n v="32.229999999999997"/>
    <n v="3"/>
    <x v="1454"/>
    <x v="2"/>
    <x v="3"/>
  </r>
  <r>
    <n v="45378"/>
    <x v="199"/>
    <x v="2"/>
    <x v="1"/>
    <x v="8"/>
    <s v="Eldon Expressions Punched Metal &amp; Wood Desk Accessories, Black &amp; Cherry"/>
    <n v="15.01"/>
    <n v="2"/>
    <x v="366"/>
    <x v="2"/>
    <x v="3"/>
  </r>
  <r>
    <n v="45378"/>
    <x v="648"/>
    <x v="3"/>
    <x v="0"/>
    <x v="0"/>
    <s v="Xerox 1982"/>
    <n v="45.68"/>
    <n v="2"/>
    <x v="1462"/>
    <x v="2"/>
    <x v="3"/>
  </r>
  <r>
    <n v="45378"/>
    <x v="648"/>
    <x v="3"/>
    <x v="0"/>
    <x v="0"/>
    <s v="Xerox 1913"/>
    <n v="110.96"/>
    <n v="2"/>
    <x v="746"/>
    <x v="2"/>
    <x v="3"/>
  </r>
  <r>
    <n v="45378"/>
    <x v="648"/>
    <x v="3"/>
    <x v="0"/>
    <x v="0"/>
    <s v="Unpadded Memo Slips"/>
    <n v="11.94"/>
    <n v="3"/>
    <x v="4169"/>
    <x v="2"/>
    <x v="3"/>
  </r>
  <r>
    <n v="45378"/>
    <x v="641"/>
    <x v="6"/>
    <x v="0"/>
    <x v="1"/>
    <s v="Avery 05222 Permanent Self-Adhesive File Folder Labels for Typewriters, on Rolls, White, 250/Roll"/>
    <n v="8.26"/>
    <n v="2"/>
    <x v="338"/>
    <x v="2"/>
    <x v="3"/>
  </r>
  <r>
    <n v="45378"/>
    <x v="641"/>
    <x v="6"/>
    <x v="0"/>
    <x v="3"/>
    <s v="GBC Instant Index System for Binding Systems"/>
    <n v="17.760000000000002"/>
    <n v="2"/>
    <x v="1352"/>
    <x v="2"/>
    <x v="3"/>
  </r>
  <r>
    <n v="45378"/>
    <x v="641"/>
    <x v="6"/>
    <x v="0"/>
    <x v="2"/>
    <s v="Carina Mini System Audio Rack, Model AR050B"/>
    <n v="332.94"/>
    <n v="3"/>
    <x v="425"/>
    <x v="2"/>
    <x v="3"/>
  </r>
  <r>
    <n v="45378"/>
    <x v="641"/>
    <x v="6"/>
    <x v="1"/>
    <x v="13"/>
    <s v="BPI Conference Tables"/>
    <n v="292.10000000000002"/>
    <n v="2"/>
    <x v="4170"/>
    <x v="2"/>
    <x v="3"/>
  </r>
  <r>
    <n v="45378"/>
    <x v="641"/>
    <x v="6"/>
    <x v="2"/>
    <x v="6"/>
    <s v="Panasonic KX - TS880B Telephone"/>
    <n v="206.1"/>
    <n v="5"/>
    <x v="4171"/>
    <x v="2"/>
    <x v="3"/>
  </r>
  <r>
    <n v="45378"/>
    <x v="641"/>
    <x v="6"/>
    <x v="0"/>
    <x v="0"/>
    <s v="Ampad Gold Fibre Wirebound Steno Books, 6&quot; x 9&quot;, Gregg Ruled"/>
    <n v="17.64"/>
    <n v="4"/>
    <x v="1778"/>
    <x v="2"/>
    <x v="3"/>
  </r>
  <r>
    <n v="45378"/>
    <x v="740"/>
    <x v="0"/>
    <x v="1"/>
    <x v="11"/>
    <s v="Atlantic Metals Mobile 5-Shelf Bookcases, Custom Colors"/>
    <n v="1023.33"/>
    <n v="5"/>
    <x v="4172"/>
    <x v="2"/>
    <x v="3"/>
  </r>
  <r>
    <n v="45378"/>
    <x v="740"/>
    <x v="0"/>
    <x v="1"/>
    <x v="5"/>
    <s v="Global Deluxe High-Back Manager's Chair"/>
    <n v="600.55999999999995"/>
    <n v="3"/>
    <x v="1548"/>
    <x v="2"/>
    <x v="3"/>
  </r>
  <r>
    <n v="45378"/>
    <x v="740"/>
    <x v="0"/>
    <x v="2"/>
    <x v="9"/>
    <s v="Kensington SlimBlade Notebook Wireless Mouse with Nano Receiver"/>
    <n v="39.99"/>
    <n v="1"/>
    <x v="3233"/>
    <x v="2"/>
    <x v="3"/>
  </r>
  <r>
    <n v="45378"/>
    <x v="740"/>
    <x v="0"/>
    <x v="1"/>
    <x v="5"/>
    <s v="Global Leather &amp; Oak Executive Chair, Burgundy"/>
    <n v="211.25"/>
    <n v="2"/>
    <x v="4173"/>
    <x v="2"/>
    <x v="3"/>
  </r>
  <r>
    <n v="45379"/>
    <x v="38"/>
    <x v="16"/>
    <x v="0"/>
    <x v="3"/>
    <s v="Canvas Sectional Post Binders"/>
    <n v="68.739999999999995"/>
    <n v="9"/>
    <x v="4174"/>
    <x v="2"/>
    <x v="3"/>
  </r>
  <r>
    <n v="45379"/>
    <x v="526"/>
    <x v="3"/>
    <x v="0"/>
    <x v="0"/>
    <s v="Xerox 1975"/>
    <n v="12.96"/>
    <n v="2"/>
    <x v="195"/>
    <x v="2"/>
    <x v="3"/>
  </r>
  <r>
    <n v="45379"/>
    <x v="526"/>
    <x v="3"/>
    <x v="1"/>
    <x v="8"/>
    <s v="DAX Black Cherry Wood-Tone Poster Frame"/>
    <n v="26.48"/>
    <n v="1"/>
    <x v="3554"/>
    <x v="2"/>
    <x v="3"/>
  </r>
  <r>
    <n v="45379"/>
    <x v="526"/>
    <x v="3"/>
    <x v="2"/>
    <x v="15"/>
    <s v="StarTech.com 10/100 VDSL2 Ethernet Extender Kit"/>
    <n v="532.72"/>
    <n v="2"/>
    <x v="98"/>
    <x v="2"/>
    <x v="3"/>
  </r>
  <r>
    <n v="45379"/>
    <x v="526"/>
    <x v="3"/>
    <x v="0"/>
    <x v="0"/>
    <s v="Xerox 1968"/>
    <n v="26.72"/>
    <n v="4"/>
    <x v="3299"/>
    <x v="2"/>
    <x v="3"/>
  </r>
  <r>
    <n v="45379"/>
    <x v="526"/>
    <x v="3"/>
    <x v="0"/>
    <x v="0"/>
    <s v="Xerox 1977"/>
    <n v="20.04"/>
    <n v="3"/>
    <x v="1614"/>
    <x v="2"/>
    <x v="3"/>
  </r>
  <r>
    <n v="45379"/>
    <x v="526"/>
    <x v="3"/>
    <x v="0"/>
    <x v="2"/>
    <s v="SAFCO Boltless Steel Shelving"/>
    <n v="795.48"/>
    <n v="7"/>
    <x v="740"/>
    <x v="2"/>
    <x v="3"/>
  </r>
  <r>
    <n v="45379"/>
    <x v="526"/>
    <x v="3"/>
    <x v="1"/>
    <x v="8"/>
    <s v="Stackable Trays"/>
    <n v="21.56"/>
    <n v="7"/>
    <x v="74"/>
    <x v="2"/>
    <x v="3"/>
  </r>
  <r>
    <n v="45380"/>
    <x v="310"/>
    <x v="18"/>
    <x v="0"/>
    <x v="2"/>
    <s v="Adjustable Personal File Tote"/>
    <n v="81.400000000000006"/>
    <n v="5"/>
    <x v="4175"/>
    <x v="2"/>
    <x v="3"/>
  </r>
  <r>
    <n v="45381"/>
    <x v="784"/>
    <x v="39"/>
    <x v="0"/>
    <x v="10"/>
    <s v="Multimedia Mailers"/>
    <n v="325.86"/>
    <n v="2"/>
    <x v="4176"/>
    <x v="2"/>
    <x v="3"/>
  </r>
  <r>
    <n v="45381"/>
    <x v="652"/>
    <x v="2"/>
    <x v="0"/>
    <x v="3"/>
    <s v="Acco Pressboard Covers with Storage Hooks, 14 7/8&quot; x 11&quot;, Executive Red"/>
    <n v="5.72"/>
    <n v="5"/>
    <x v="3317"/>
    <x v="2"/>
    <x v="3"/>
  </r>
  <r>
    <n v="45381"/>
    <x v="5"/>
    <x v="4"/>
    <x v="0"/>
    <x v="2"/>
    <s v="Advantus 10-Drawer Portable Organizer, Chrome Metal Frame, Smoke Drawers"/>
    <n v="59.76"/>
    <n v="1"/>
    <x v="4177"/>
    <x v="2"/>
    <x v="3"/>
  </r>
  <r>
    <n v="45381"/>
    <x v="23"/>
    <x v="3"/>
    <x v="0"/>
    <x v="4"/>
    <s v="Manco Dry-Lighter Erasable Highlighter"/>
    <n v="6.08"/>
    <n v="2"/>
    <x v="163"/>
    <x v="2"/>
    <x v="3"/>
  </r>
  <r>
    <n v="45381"/>
    <x v="23"/>
    <x v="3"/>
    <x v="2"/>
    <x v="6"/>
    <s v="AT&amp;T CL83451 4-Handset Telephone"/>
    <n v="164.79"/>
    <n v="1"/>
    <x v="4178"/>
    <x v="2"/>
    <x v="3"/>
  </r>
  <r>
    <n v="45381"/>
    <x v="513"/>
    <x v="3"/>
    <x v="1"/>
    <x v="8"/>
    <s v="Flat Face Poster Frame"/>
    <n v="94.2"/>
    <n v="5"/>
    <x v="4179"/>
    <x v="2"/>
    <x v="3"/>
  </r>
  <r>
    <n v="45382"/>
    <x v="171"/>
    <x v="0"/>
    <x v="1"/>
    <x v="11"/>
    <s v="Bush Mission Pointe Library"/>
    <n v="205.33"/>
    <n v="2"/>
    <x v="4180"/>
    <x v="2"/>
    <x v="3"/>
  </r>
  <r>
    <n v="45382"/>
    <x v="626"/>
    <x v="20"/>
    <x v="1"/>
    <x v="8"/>
    <s v="Tensor Computer Mounted Lamp"/>
    <n v="29.78"/>
    <n v="2"/>
    <x v="3249"/>
    <x v="2"/>
    <x v="3"/>
  </r>
  <r>
    <n v="45382"/>
    <x v="626"/>
    <x v="20"/>
    <x v="2"/>
    <x v="6"/>
    <s v="Polycom SoundPoint IP 450 VoIP phone"/>
    <n v="677.58"/>
    <n v="3"/>
    <x v="4181"/>
    <x v="2"/>
    <x v="3"/>
  </r>
  <r>
    <n v="45382"/>
    <x v="626"/>
    <x v="20"/>
    <x v="0"/>
    <x v="0"/>
    <s v="Rediform S.O.S. 1-Up Phone Message Bk, 4-1/4x3-1/16 Bk, 1 Form/Pg, 40 Messages/Bk, 3/Pk"/>
    <n v="75.040000000000006"/>
    <n v="8"/>
    <x v="4182"/>
    <x v="2"/>
    <x v="3"/>
  </r>
  <r>
    <n v="45382"/>
    <x v="445"/>
    <x v="20"/>
    <x v="2"/>
    <x v="6"/>
    <s v="Spigen Samsung Galaxy S5 Case Wallet"/>
    <n v="84.95"/>
    <n v="5"/>
    <x v="4159"/>
    <x v="2"/>
    <x v="3"/>
  </r>
  <r>
    <n v="45382"/>
    <x v="474"/>
    <x v="5"/>
    <x v="1"/>
    <x v="8"/>
    <s v="Advantus Panel Wall Certificate Holder - 8.5x11"/>
    <n v="61"/>
    <n v="5"/>
    <x v="4183"/>
    <x v="2"/>
    <x v="3"/>
  </r>
  <r>
    <n v="45382"/>
    <x v="474"/>
    <x v="5"/>
    <x v="2"/>
    <x v="6"/>
    <s v="Vtech CS6719"/>
    <n v="671.93"/>
    <n v="7"/>
    <x v="4184"/>
    <x v="2"/>
    <x v="3"/>
  </r>
  <r>
    <n v="45382"/>
    <x v="709"/>
    <x v="1"/>
    <x v="0"/>
    <x v="3"/>
    <s v="SlimView Poly Binder, 3/8&quot;"/>
    <n v="13.47"/>
    <n v="13"/>
    <x v="4185"/>
    <x v="2"/>
    <x v="3"/>
  </r>
  <r>
    <n v="45382"/>
    <x v="458"/>
    <x v="4"/>
    <x v="0"/>
    <x v="3"/>
    <s v="Ibico Recycled Grain-Textured Covers"/>
    <n v="34.54"/>
    <n v="1"/>
    <x v="4186"/>
    <x v="2"/>
    <x v="3"/>
  </r>
  <r>
    <n v="45382"/>
    <x v="458"/>
    <x v="4"/>
    <x v="2"/>
    <x v="16"/>
    <s v="Hewlett Packard LaserJet 3310 Copier"/>
    <n v="2999.95"/>
    <n v="5"/>
    <x v="4187"/>
    <x v="2"/>
    <x v="3"/>
  </r>
  <r>
    <n v="45382"/>
    <x v="458"/>
    <x v="4"/>
    <x v="0"/>
    <x v="3"/>
    <s v="Avery Recycled Flexi-View Covers for Binding Systems"/>
    <n v="64.12"/>
    <n v="4"/>
    <x v="63"/>
    <x v="2"/>
    <x v="3"/>
  </r>
  <r>
    <n v="45382"/>
    <x v="134"/>
    <x v="0"/>
    <x v="0"/>
    <x v="12"/>
    <s v="Fellowes 8 Outlet Superior Workstation Surge Protector w/o Phone/Fax/Modem Protection"/>
    <n v="33.619999999999997"/>
    <n v="5"/>
    <x v="4188"/>
    <x v="2"/>
    <x v="3"/>
  </r>
  <r>
    <n v="45382"/>
    <x v="418"/>
    <x v="3"/>
    <x v="0"/>
    <x v="14"/>
    <s v="Acme Tagit Stainless Steel Antibacterial Scissors"/>
    <n v="29.7"/>
    <n v="3"/>
    <x v="1825"/>
    <x v="2"/>
    <x v="3"/>
  </r>
  <r>
    <n v="45383"/>
    <x v="423"/>
    <x v="24"/>
    <x v="0"/>
    <x v="2"/>
    <s v="Hanging Personal Folder File"/>
    <n v="94.2"/>
    <n v="6"/>
    <x v="4189"/>
    <x v="3"/>
    <x v="3"/>
  </r>
  <r>
    <n v="45383"/>
    <x v="423"/>
    <x v="24"/>
    <x v="0"/>
    <x v="10"/>
    <s v="Staple envelope"/>
    <n v="28.4"/>
    <n v="5"/>
    <x v="3704"/>
    <x v="3"/>
    <x v="3"/>
  </r>
  <r>
    <n v="45383"/>
    <x v="389"/>
    <x v="3"/>
    <x v="0"/>
    <x v="1"/>
    <s v="Avery 498"/>
    <n v="5.78"/>
    <n v="2"/>
    <x v="397"/>
    <x v="3"/>
    <x v="3"/>
  </r>
  <r>
    <n v="45383"/>
    <x v="389"/>
    <x v="3"/>
    <x v="0"/>
    <x v="3"/>
    <s v="Fellowes Binding Cases"/>
    <n v="121.68"/>
    <n v="13"/>
    <x v="4190"/>
    <x v="3"/>
    <x v="3"/>
  </r>
  <r>
    <n v="45383"/>
    <x v="317"/>
    <x v="3"/>
    <x v="1"/>
    <x v="11"/>
    <s v="Safco Value Mate Steel Bookcase, Baked Enamel Finish on Steel, Black"/>
    <n v="482.66"/>
    <n v="8"/>
    <x v="3818"/>
    <x v="3"/>
    <x v="3"/>
  </r>
  <r>
    <n v="45383"/>
    <x v="317"/>
    <x v="3"/>
    <x v="2"/>
    <x v="15"/>
    <s v="Cubify CubeX 3D Printer Double Head Print"/>
    <n v="4799.9799999999996"/>
    <n v="2"/>
    <x v="4191"/>
    <x v="3"/>
    <x v="3"/>
  </r>
  <r>
    <n v="45383"/>
    <x v="405"/>
    <x v="20"/>
    <x v="0"/>
    <x v="0"/>
    <s v="Wirebound Message Books, Four 2 3/4 x 5 Forms per Page, 200 Sets per Book"/>
    <n v="42.93"/>
    <n v="9"/>
    <x v="4192"/>
    <x v="3"/>
    <x v="3"/>
  </r>
  <r>
    <n v="45383"/>
    <x v="45"/>
    <x v="16"/>
    <x v="2"/>
    <x v="6"/>
    <s v="Mediabridge Sport Armband iPhone 5s"/>
    <n v="23.98"/>
    <n v="3"/>
    <x v="1581"/>
    <x v="3"/>
    <x v="3"/>
  </r>
  <r>
    <n v="45383"/>
    <x v="45"/>
    <x v="16"/>
    <x v="0"/>
    <x v="1"/>
    <s v="Avery 494"/>
    <n v="6.26"/>
    <n v="3"/>
    <x v="2118"/>
    <x v="3"/>
    <x v="3"/>
  </r>
  <r>
    <n v="45383"/>
    <x v="45"/>
    <x v="16"/>
    <x v="0"/>
    <x v="12"/>
    <s v="Staple holder"/>
    <n v="20.81"/>
    <n v="3"/>
    <x v="4048"/>
    <x v="3"/>
    <x v="3"/>
  </r>
  <r>
    <n v="45383"/>
    <x v="45"/>
    <x v="16"/>
    <x v="1"/>
    <x v="5"/>
    <s v="Global Wood Trimmed Manager's Task Chair, Khaki"/>
    <n v="218.35"/>
    <n v="3"/>
    <x v="4193"/>
    <x v="3"/>
    <x v="3"/>
  </r>
  <r>
    <n v="45383"/>
    <x v="169"/>
    <x v="9"/>
    <x v="1"/>
    <x v="8"/>
    <s v="Deflect-o DuraMat Lighweight, Studded, Beveled Mat for Low Pile Carpeting"/>
    <n v="127.95"/>
    <n v="3"/>
    <x v="923"/>
    <x v="3"/>
    <x v="3"/>
  </r>
  <r>
    <n v="45384"/>
    <x v="509"/>
    <x v="3"/>
    <x v="1"/>
    <x v="8"/>
    <s v="Westinghouse Clip-On Gooseneck Lamps"/>
    <n v="25.11"/>
    <n v="3"/>
    <x v="3189"/>
    <x v="3"/>
    <x v="3"/>
  </r>
  <r>
    <n v="45384"/>
    <x v="529"/>
    <x v="4"/>
    <x v="1"/>
    <x v="13"/>
    <s v="Bevis 44 x 96 Conference Tables"/>
    <n v="411.8"/>
    <n v="2"/>
    <x v="4194"/>
    <x v="3"/>
    <x v="3"/>
  </r>
  <r>
    <n v="45384"/>
    <x v="529"/>
    <x v="4"/>
    <x v="2"/>
    <x v="9"/>
    <s v="NETGEAR N750 Dual Band Wi-Fi Gigabit Router"/>
    <n v="360"/>
    <n v="4"/>
    <x v="1224"/>
    <x v="3"/>
    <x v="3"/>
  </r>
  <r>
    <n v="45384"/>
    <x v="538"/>
    <x v="37"/>
    <x v="0"/>
    <x v="4"/>
    <s v="Newell 318"/>
    <n v="11.12"/>
    <n v="4"/>
    <x v="1131"/>
    <x v="3"/>
    <x v="3"/>
  </r>
  <r>
    <n v="45384"/>
    <x v="596"/>
    <x v="33"/>
    <x v="0"/>
    <x v="1"/>
    <s v="Avery 499"/>
    <n v="14.94"/>
    <n v="3"/>
    <x v="96"/>
    <x v="3"/>
    <x v="3"/>
  </r>
  <r>
    <n v="45385"/>
    <x v="175"/>
    <x v="2"/>
    <x v="1"/>
    <x v="8"/>
    <s v="Staple-based wall hangings"/>
    <n v="25.47"/>
    <n v="4"/>
    <x v="617"/>
    <x v="3"/>
    <x v="3"/>
  </r>
  <r>
    <n v="45385"/>
    <x v="52"/>
    <x v="1"/>
    <x v="0"/>
    <x v="4"/>
    <s v="Prang Colored Pencils"/>
    <n v="7.06"/>
    <n v="3"/>
    <x v="481"/>
    <x v="3"/>
    <x v="3"/>
  </r>
  <r>
    <n v="45386"/>
    <x v="481"/>
    <x v="1"/>
    <x v="2"/>
    <x v="6"/>
    <s v="Cisco SPA 502G IP Phone"/>
    <n v="383.84"/>
    <n v="4"/>
    <x v="4195"/>
    <x v="3"/>
    <x v="3"/>
  </r>
  <r>
    <n v="45386"/>
    <x v="293"/>
    <x v="20"/>
    <x v="2"/>
    <x v="6"/>
    <s v="Panasonic KX - TS880B Telephone"/>
    <n v="41.22"/>
    <n v="1"/>
    <x v="4196"/>
    <x v="3"/>
    <x v="3"/>
  </r>
  <r>
    <n v="45386"/>
    <x v="293"/>
    <x v="20"/>
    <x v="0"/>
    <x v="14"/>
    <s v="Premier Automatic Letter Opener"/>
    <n v="240.37"/>
    <n v="1"/>
    <x v="106"/>
    <x v="3"/>
    <x v="3"/>
  </r>
  <r>
    <n v="45386"/>
    <x v="293"/>
    <x v="20"/>
    <x v="2"/>
    <x v="6"/>
    <s v="LG Electronics Tone+ HBS-730 Bluetooth Headset"/>
    <n v="119.02"/>
    <n v="2"/>
    <x v="4197"/>
    <x v="3"/>
    <x v="3"/>
  </r>
  <r>
    <n v="45386"/>
    <x v="577"/>
    <x v="20"/>
    <x v="0"/>
    <x v="10"/>
    <s v="Brown Kraft Recycled Envelopes"/>
    <n v="16.98"/>
    <n v="1"/>
    <x v="197"/>
    <x v="3"/>
    <x v="3"/>
  </r>
  <r>
    <n v="45386"/>
    <x v="398"/>
    <x v="20"/>
    <x v="0"/>
    <x v="4"/>
    <s v="Newell 326"/>
    <n v="7.04"/>
    <n v="4"/>
    <x v="2118"/>
    <x v="3"/>
    <x v="3"/>
  </r>
  <r>
    <n v="45388"/>
    <x v="770"/>
    <x v="30"/>
    <x v="0"/>
    <x v="0"/>
    <s v="Easy-staple paper"/>
    <n v="106.32"/>
    <n v="3"/>
    <x v="1624"/>
    <x v="3"/>
    <x v="3"/>
  </r>
  <r>
    <n v="45388"/>
    <x v="345"/>
    <x v="15"/>
    <x v="0"/>
    <x v="3"/>
    <s v="3M Organizer Strips"/>
    <n v="8.1"/>
    <n v="5"/>
    <x v="443"/>
    <x v="3"/>
    <x v="3"/>
  </r>
  <r>
    <n v="45389"/>
    <x v="431"/>
    <x v="16"/>
    <x v="1"/>
    <x v="13"/>
    <s v="Bush Advantage Collection Round Conference Table"/>
    <n v="233.86"/>
    <n v="2"/>
    <x v="4198"/>
    <x v="3"/>
    <x v="3"/>
  </r>
  <r>
    <n v="45389"/>
    <x v="431"/>
    <x v="16"/>
    <x v="1"/>
    <x v="13"/>
    <s v="Bretford Rectangular Conference Table Tops"/>
    <n v="620.61"/>
    <n v="3"/>
    <x v="4199"/>
    <x v="3"/>
    <x v="3"/>
  </r>
  <r>
    <n v="45389"/>
    <x v="431"/>
    <x v="16"/>
    <x v="0"/>
    <x v="3"/>
    <s v="GBC Instant Index System for Binding Systems"/>
    <n v="5.33"/>
    <n v="2"/>
    <x v="4200"/>
    <x v="3"/>
    <x v="3"/>
  </r>
  <r>
    <n v="45389"/>
    <x v="431"/>
    <x v="16"/>
    <x v="1"/>
    <x v="8"/>
    <s v="Tenex Contemporary Contur Chairmats for Low and Medium Pile Carpet, Computer, 39&quot; x 49&quot;"/>
    <n v="258.07"/>
    <n v="3"/>
    <x v="62"/>
    <x v="3"/>
    <x v="3"/>
  </r>
  <r>
    <n v="45389"/>
    <x v="431"/>
    <x v="16"/>
    <x v="2"/>
    <x v="9"/>
    <s v="LogitechÂ P710e Mobile Speakerphone"/>
    <n v="617.98"/>
    <n v="3"/>
    <x v="2363"/>
    <x v="3"/>
    <x v="3"/>
  </r>
  <r>
    <n v="45389"/>
    <x v="57"/>
    <x v="16"/>
    <x v="0"/>
    <x v="4"/>
    <s v="50 Colored Long Pencils"/>
    <n v="16.260000000000002"/>
    <n v="2"/>
    <x v="4201"/>
    <x v="3"/>
    <x v="3"/>
  </r>
  <r>
    <n v="45389"/>
    <x v="57"/>
    <x v="16"/>
    <x v="2"/>
    <x v="6"/>
    <s v="AT&amp;T 1080 Corded phone"/>
    <n v="219.18"/>
    <n v="2"/>
    <x v="412"/>
    <x v="3"/>
    <x v="3"/>
  </r>
  <r>
    <n v="45390"/>
    <x v="491"/>
    <x v="4"/>
    <x v="1"/>
    <x v="8"/>
    <s v="Eldon Expressions Punched Metal &amp; Wood Desk Accessories, Black &amp; Cherry"/>
    <n v="56.28"/>
    <n v="6"/>
    <x v="2006"/>
    <x v="3"/>
    <x v="3"/>
  </r>
  <r>
    <n v="45390"/>
    <x v="491"/>
    <x v="4"/>
    <x v="0"/>
    <x v="3"/>
    <s v="GBC DocuBind TL300 Electric Binding System"/>
    <n v="2690.97"/>
    <n v="3"/>
    <x v="4202"/>
    <x v="3"/>
    <x v="3"/>
  </r>
  <r>
    <n v="45390"/>
    <x v="432"/>
    <x v="23"/>
    <x v="0"/>
    <x v="2"/>
    <s v="Tennsco 16-Compartment Lockers with Coat Rack"/>
    <n v="2591.56"/>
    <n v="4"/>
    <x v="4203"/>
    <x v="3"/>
    <x v="3"/>
  </r>
  <r>
    <n v="45390"/>
    <x v="432"/>
    <x v="23"/>
    <x v="0"/>
    <x v="12"/>
    <s v="Black &amp; Decker Filter for Double Action Dustbuster Cordless Vac BLDV7210"/>
    <n v="41.95"/>
    <n v="5"/>
    <x v="4204"/>
    <x v="3"/>
    <x v="3"/>
  </r>
  <r>
    <n v="45390"/>
    <x v="303"/>
    <x v="3"/>
    <x v="0"/>
    <x v="0"/>
    <s v="Xerox 1891"/>
    <n v="244.55"/>
    <n v="5"/>
    <x v="4205"/>
    <x v="3"/>
    <x v="3"/>
  </r>
  <r>
    <n v="45390"/>
    <x v="303"/>
    <x v="3"/>
    <x v="0"/>
    <x v="0"/>
    <s v="Xerox 1942"/>
    <n v="195.76"/>
    <n v="4"/>
    <x v="4206"/>
    <x v="3"/>
    <x v="3"/>
  </r>
  <r>
    <n v="45390"/>
    <x v="62"/>
    <x v="14"/>
    <x v="1"/>
    <x v="8"/>
    <s v="3M Polarizing Task Lamp with Clamp Arm, Light Gray"/>
    <n v="273.95999999999998"/>
    <n v="2"/>
    <x v="3729"/>
    <x v="3"/>
    <x v="3"/>
  </r>
  <r>
    <n v="45390"/>
    <x v="62"/>
    <x v="14"/>
    <x v="1"/>
    <x v="8"/>
    <s v="Luxo Professional Combination Clamp-On Lamps"/>
    <n v="306.89999999999998"/>
    <n v="3"/>
    <x v="4207"/>
    <x v="3"/>
    <x v="3"/>
  </r>
  <r>
    <n v="45391"/>
    <x v="697"/>
    <x v="20"/>
    <x v="0"/>
    <x v="1"/>
    <s v="Color-Coded Legal Exhibit Labels"/>
    <n v="9.82"/>
    <n v="2"/>
    <x v="1636"/>
    <x v="3"/>
    <x v="3"/>
  </r>
  <r>
    <n v="45391"/>
    <x v="697"/>
    <x v="20"/>
    <x v="0"/>
    <x v="4"/>
    <s v="Bulldog Vacuum Base Pencil Sharpener"/>
    <n v="35.97"/>
    <n v="3"/>
    <x v="2320"/>
    <x v="3"/>
    <x v="3"/>
  </r>
  <r>
    <n v="45391"/>
    <x v="697"/>
    <x v="20"/>
    <x v="0"/>
    <x v="0"/>
    <s v="Xerox 212"/>
    <n v="12.96"/>
    <n v="2"/>
    <x v="113"/>
    <x v="3"/>
    <x v="3"/>
  </r>
  <r>
    <n v="45391"/>
    <x v="697"/>
    <x v="20"/>
    <x v="0"/>
    <x v="0"/>
    <s v="Computer Printout Paper with Letter-Trim Fine Perforations"/>
    <n v="191.6"/>
    <n v="4"/>
    <x v="3182"/>
    <x v="3"/>
    <x v="3"/>
  </r>
  <r>
    <n v="45391"/>
    <x v="697"/>
    <x v="20"/>
    <x v="0"/>
    <x v="1"/>
    <s v="Avery File Folder Labels"/>
    <n v="8.64"/>
    <n v="3"/>
    <x v="1362"/>
    <x v="3"/>
    <x v="3"/>
  </r>
  <r>
    <n v="45391"/>
    <x v="697"/>
    <x v="20"/>
    <x v="0"/>
    <x v="2"/>
    <s v="Office Impressions Heavy Duty Welded Shelving &amp; Multimedia Storage Drawers"/>
    <n v="501.81"/>
    <n v="3"/>
    <x v="62"/>
    <x v="3"/>
    <x v="3"/>
  </r>
  <r>
    <n v="45391"/>
    <x v="52"/>
    <x v="16"/>
    <x v="0"/>
    <x v="1"/>
    <s v="Avery 48"/>
    <n v="15.12"/>
    <n v="3"/>
    <x v="135"/>
    <x v="3"/>
    <x v="3"/>
  </r>
  <r>
    <n v="45391"/>
    <x v="52"/>
    <x v="16"/>
    <x v="0"/>
    <x v="3"/>
    <s v="Avery Arch Ring Binders"/>
    <n v="17.43"/>
    <n v="1"/>
    <x v="4208"/>
    <x v="3"/>
    <x v="3"/>
  </r>
  <r>
    <n v="45391"/>
    <x v="52"/>
    <x v="16"/>
    <x v="0"/>
    <x v="0"/>
    <s v="Xerox 1915"/>
    <n v="251.64"/>
    <n v="3"/>
    <x v="4209"/>
    <x v="3"/>
    <x v="3"/>
  </r>
  <r>
    <n v="45391"/>
    <x v="318"/>
    <x v="14"/>
    <x v="0"/>
    <x v="3"/>
    <s v="GBC Recycled Regency Composition Covers"/>
    <n v="478.24"/>
    <n v="8"/>
    <x v="4210"/>
    <x v="3"/>
    <x v="3"/>
  </r>
  <r>
    <n v="45391"/>
    <x v="479"/>
    <x v="2"/>
    <x v="0"/>
    <x v="3"/>
    <s v="Tuf-Vin Binders"/>
    <n v="37.9"/>
    <n v="4"/>
    <x v="4211"/>
    <x v="3"/>
    <x v="3"/>
  </r>
  <r>
    <n v="45391"/>
    <x v="479"/>
    <x v="2"/>
    <x v="0"/>
    <x v="0"/>
    <s v="Xerox 1893"/>
    <n v="65.58"/>
    <n v="2"/>
    <x v="302"/>
    <x v="3"/>
    <x v="3"/>
  </r>
  <r>
    <n v="45392"/>
    <x v="694"/>
    <x v="23"/>
    <x v="0"/>
    <x v="0"/>
    <s v="Wirebound Message Books, Two 4 1/4&quot; x 5&quot; Forms per Page"/>
    <n v="7.61"/>
    <n v="1"/>
    <x v="980"/>
    <x v="3"/>
    <x v="3"/>
  </r>
  <r>
    <n v="45392"/>
    <x v="694"/>
    <x v="23"/>
    <x v="0"/>
    <x v="7"/>
    <s v="OIC Binder Clips"/>
    <n v="7.16"/>
    <n v="2"/>
    <x v="980"/>
    <x v="3"/>
    <x v="3"/>
  </r>
  <r>
    <n v="45392"/>
    <x v="446"/>
    <x v="0"/>
    <x v="0"/>
    <x v="0"/>
    <s v="Xerox 1894"/>
    <n v="10.37"/>
    <n v="2"/>
    <x v="316"/>
    <x v="3"/>
    <x v="3"/>
  </r>
  <r>
    <n v="45392"/>
    <x v="446"/>
    <x v="0"/>
    <x v="2"/>
    <x v="9"/>
    <s v="LogitechÂ MX Performance Wireless Mouse"/>
    <n v="95.74"/>
    <n v="3"/>
    <x v="4212"/>
    <x v="3"/>
    <x v="3"/>
  </r>
  <r>
    <n v="45392"/>
    <x v="785"/>
    <x v="16"/>
    <x v="1"/>
    <x v="8"/>
    <s v="Stackable Trays"/>
    <n v="12.32"/>
    <n v="5"/>
    <x v="387"/>
    <x v="3"/>
    <x v="3"/>
  </r>
  <r>
    <n v="45392"/>
    <x v="785"/>
    <x v="16"/>
    <x v="0"/>
    <x v="3"/>
    <s v="Acco Pressboard Covers with Storage Hooks, 14 7/8&quot; x 11&quot;, Light Blue"/>
    <n v="4.42"/>
    <n v="3"/>
    <x v="2512"/>
    <x v="3"/>
    <x v="3"/>
  </r>
  <r>
    <n v="45392"/>
    <x v="524"/>
    <x v="37"/>
    <x v="2"/>
    <x v="9"/>
    <s v="Logitech G700s Rechargeable Gaming Mouse"/>
    <n v="99.99"/>
    <n v="1"/>
    <x v="1930"/>
    <x v="3"/>
    <x v="3"/>
  </r>
  <r>
    <n v="45392"/>
    <x v="524"/>
    <x v="37"/>
    <x v="0"/>
    <x v="2"/>
    <s v="Recycled Steel Personal File for Hanging File Folders"/>
    <n v="286.14999999999998"/>
    <n v="5"/>
    <x v="4213"/>
    <x v="3"/>
    <x v="3"/>
  </r>
  <r>
    <n v="45392"/>
    <x v="206"/>
    <x v="2"/>
    <x v="0"/>
    <x v="12"/>
    <s v="Tripp Lite Isotel 6 Outlet Surge Protector with Fax/Modem Protection"/>
    <n v="195.1"/>
    <n v="4"/>
    <x v="4214"/>
    <x v="3"/>
    <x v="3"/>
  </r>
  <r>
    <n v="45392"/>
    <x v="206"/>
    <x v="2"/>
    <x v="1"/>
    <x v="8"/>
    <s v="Linden 10&quot; Round Wall Clock, Black"/>
    <n v="36.67"/>
    <n v="3"/>
    <x v="2630"/>
    <x v="3"/>
    <x v="3"/>
  </r>
  <r>
    <n v="45393"/>
    <x v="399"/>
    <x v="3"/>
    <x v="2"/>
    <x v="9"/>
    <s v="SanDisk Ultra 64 GB MicroSDHC Class 10 Memory Card"/>
    <n v="199.95"/>
    <n v="5"/>
    <x v="1909"/>
    <x v="3"/>
    <x v="3"/>
  </r>
  <r>
    <n v="45393"/>
    <x v="399"/>
    <x v="3"/>
    <x v="0"/>
    <x v="4"/>
    <s v="Dixon Ticonderoga Erasable Colored Pencil Set, 12-Color"/>
    <n v="41.86"/>
    <n v="7"/>
    <x v="1897"/>
    <x v="3"/>
    <x v="3"/>
  </r>
  <r>
    <n v="45393"/>
    <x v="90"/>
    <x v="0"/>
    <x v="0"/>
    <x v="3"/>
    <s v="Flexible Leather- Look Classic Collection Ring Binder"/>
    <n v="11.36"/>
    <n v="3"/>
    <x v="2606"/>
    <x v="3"/>
    <x v="3"/>
  </r>
  <r>
    <n v="45393"/>
    <x v="304"/>
    <x v="10"/>
    <x v="0"/>
    <x v="2"/>
    <s v="Sterilite Officeware Hinged File Box"/>
    <n v="16.77"/>
    <n v="2"/>
    <x v="935"/>
    <x v="3"/>
    <x v="3"/>
  </r>
  <r>
    <n v="45393"/>
    <x v="304"/>
    <x v="10"/>
    <x v="2"/>
    <x v="9"/>
    <s v="Kingston Digital DataTraveler 32GB USB 2.0"/>
    <n v="27.12"/>
    <n v="2"/>
    <x v="2093"/>
    <x v="3"/>
    <x v="3"/>
  </r>
  <r>
    <n v="45393"/>
    <x v="700"/>
    <x v="25"/>
    <x v="0"/>
    <x v="4"/>
    <s v="Pencil and Crayon Sharpener"/>
    <n v="1.75"/>
    <n v="1"/>
    <x v="461"/>
    <x v="3"/>
    <x v="3"/>
  </r>
  <r>
    <n v="45393"/>
    <x v="700"/>
    <x v="25"/>
    <x v="0"/>
    <x v="4"/>
    <s v="Newell 321"/>
    <n v="20.99"/>
    <n v="8"/>
    <x v="4215"/>
    <x v="3"/>
    <x v="3"/>
  </r>
  <r>
    <n v="45394"/>
    <x v="649"/>
    <x v="43"/>
    <x v="0"/>
    <x v="3"/>
    <s v="Storex Dura Pro Binders"/>
    <n v="29.7"/>
    <n v="5"/>
    <x v="58"/>
    <x v="3"/>
    <x v="3"/>
  </r>
  <r>
    <n v="45394"/>
    <x v="649"/>
    <x v="43"/>
    <x v="0"/>
    <x v="0"/>
    <s v="Xerox 1948"/>
    <n v="39.96"/>
    <n v="4"/>
    <x v="488"/>
    <x v="3"/>
    <x v="3"/>
  </r>
  <r>
    <n v="45395"/>
    <x v="274"/>
    <x v="22"/>
    <x v="0"/>
    <x v="0"/>
    <s v="Xerox 4200 Series MultiUse Premium Copy Paper (20Lb. and 84 Bright)"/>
    <n v="5.28"/>
    <n v="1"/>
    <x v="459"/>
    <x v="3"/>
    <x v="3"/>
  </r>
  <r>
    <n v="45395"/>
    <x v="274"/>
    <x v="22"/>
    <x v="0"/>
    <x v="3"/>
    <s v="GBC DocuBind TL200 Manual Binding Machine"/>
    <n v="895.92"/>
    <n v="5"/>
    <x v="4216"/>
    <x v="3"/>
    <x v="3"/>
  </r>
  <r>
    <n v="45395"/>
    <x v="598"/>
    <x v="3"/>
    <x v="1"/>
    <x v="5"/>
    <s v="Global Wood Trimmed Manager's Task Chair, Khaki"/>
    <n v="436.7"/>
    <n v="6"/>
    <x v="4217"/>
    <x v="3"/>
    <x v="3"/>
  </r>
  <r>
    <n v="45395"/>
    <x v="679"/>
    <x v="2"/>
    <x v="0"/>
    <x v="7"/>
    <s v="Translucent Push Pins by OIC"/>
    <n v="7.92"/>
    <n v="5"/>
    <x v="967"/>
    <x v="3"/>
    <x v="3"/>
  </r>
  <r>
    <n v="45396"/>
    <x v="513"/>
    <x v="10"/>
    <x v="0"/>
    <x v="4"/>
    <s v="Zebra Zazzle Fluorescent Highlighters"/>
    <n v="14.59"/>
    <n v="3"/>
    <x v="2309"/>
    <x v="3"/>
    <x v="3"/>
  </r>
  <r>
    <n v="45396"/>
    <x v="513"/>
    <x v="10"/>
    <x v="0"/>
    <x v="4"/>
    <s v="Sanford Prismacolor Professional Thick Lead Art Pencils, 36-Color Set"/>
    <n v="89.86"/>
    <n v="3"/>
    <x v="4218"/>
    <x v="3"/>
    <x v="3"/>
  </r>
  <r>
    <n v="45396"/>
    <x v="513"/>
    <x v="10"/>
    <x v="0"/>
    <x v="0"/>
    <s v="Xerox 196"/>
    <n v="13.87"/>
    <n v="3"/>
    <x v="1766"/>
    <x v="3"/>
    <x v="3"/>
  </r>
  <r>
    <n v="45396"/>
    <x v="750"/>
    <x v="24"/>
    <x v="0"/>
    <x v="3"/>
    <s v="Acco 3-Hole Punch"/>
    <n v="8.76"/>
    <n v="2"/>
    <x v="783"/>
    <x v="3"/>
    <x v="3"/>
  </r>
  <r>
    <n v="45396"/>
    <x v="349"/>
    <x v="20"/>
    <x v="0"/>
    <x v="3"/>
    <s v="Avery Non-Stick Binders"/>
    <n v="10.78"/>
    <n v="3"/>
    <x v="3137"/>
    <x v="3"/>
    <x v="3"/>
  </r>
  <r>
    <n v="45396"/>
    <x v="349"/>
    <x v="20"/>
    <x v="1"/>
    <x v="11"/>
    <s v="Bush Westfield Collection Bookcases, Fully Assembled"/>
    <n v="242.35"/>
    <n v="3"/>
    <x v="4219"/>
    <x v="3"/>
    <x v="3"/>
  </r>
  <r>
    <n v="45396"/>
    <x v="360"/>
    <x v="25"/>
    <x v="1"/>
    <x v="11"/>
    <s v="Sauder Cornerstone Collection Library"/>
    <n v="198.27"/>
    <n v="8"/>
    <x v="4220"/>
    <x v="3"/>
    <x v="3"/>
  </r>
  <r>
    <n v="45396"/>
    <x v="312"/>
    <x v="23"/>
    <x v="1"/>
    <x v="8"/>
    <s v="Tensor Computer Mounted Lamp"/>
    <n v="74.45"/>
    <n v="5"/>
    <x v="1144"/>
    <x v="3"/>
    <x v="3"/>
  </r>
  <r>
    <n v="45397"/>
    <x v="182"/>
    <x v="25"/>
    <x v="0"/>
    <x v="0"/>
    <s v="Xerox 1967"/>
    <n v="15.55"/>
    <n v="3"/>
    <x v="192"/>
    <x v="3"/>
    <x v="3"/>
  </r>
  <r>
    <n v="45397"/>
    <x v="489"/>
    <x v="6"/>
    <x v="0"/>
    <x v="4"/>
    <s v="Faber Castell Col-Erase Pencils"/>
    <n v="4.8899999999999997"/>
    <n v="1"/>
    <x v="866"/>
    <x v="3"/>
    <x v="3"/>
  </r>
  <r>
    <n v="45397"/>
    <x v="512"/>
    <x v="17"/>
    <x v="1"/>
    <x v="8"/>
    <s v="Howard Miller 12&quot; Round Wall Clock"/>
    <n v="196.45"/>
    <n v="5"/>
    <x v="4221"/>
    <x v="3"/>
    <x v="3"/>
  </r>
  <r>
    <n v="45397"/>
    <x v="270"/>
    <x v="3"/>
    <x v="0"/>
    <x v="0"/>
    <s v="Xerox 1883"/>
    <n v="79.14"/>
    <n v="3"/>
    <x v="543"/>
    <x v="3"/>
    <x v="3"/>
  </r>
  <r>
    <n v="45397"/>
    <x v="26"/>
    <x v="0"/>
    <x v="0"/>
    <x v="0"/>
    <s v="Xerox 207"/>
    <n v="20.74"/>
    <n v="4"/>
    <x v="416"/>
    <x v="3"/>
    <x v="3"/>
  </r>
  <r>
    <n v="45397"/>
    <x v="244"/>
    <x v="16"/>
    <x v="0"/>
    <x v="3"/>
    <s v="VariCap6 Expandable Binder"/>
    <n v="15.57"/>
    <n v="3"/>
    <x v="4222"/>
    <x v="3"/>
    <x v="3"/>
  </r>
  <r>
    <n v="45398"/>
    <x v="485"/>
    <x v="1"/>
    <x v="0"/>
    <x v="4"/>
    <s v="Newell 325"/>
    <n v="16.52"/>
    <n v="5"/>
    <x v="163"/>
    <x v="3"/>
    <x v="3"/>
  </r>
  <r>
    <n v="45398"/>
    <x v="503"/>
    <x v="10"/>
    <x v="0"/>
    <x v="3"/>
    <s v="SpineVue Locking Slant-D Ring Binders by Cardinal"/>
    <n v="13.71"/>
    <n v="5"/>
    <x v="137"/>
    <x v="3"/>
    <x v="3"/>
  </r>
  <r>
    <n v="45398"/>
    <x v="264"/>
    <x v="3"/>
    <x v="0"/>
    <x v="2"/>
    <s v="Belkin 19&quot; Vented Equipment Shelf, Black"/>
    <n v="205.92"/>
    <n v="4"/>
    <x v="1966"/>
    <x v="3"/>
    <x v="3"/>
  </r>
  <r>
    <n v="45398"/>
    <x v="264"/>
    <x v="3"/>
    <x v="1"/>
    <x v="11"/>
    <s v="O'Sullivan Living Dimensions 2-Shelf Bookcases"/>
    <n v="102.83"/>
    <n v="1"/>
    <x v="4223"/>
    <x v="3"/>
    <x v="3"/>
  </r>
  <r>
    <n v="45398"/>
    <x v="615"/>
    <x v="33"/>
    <x v="0"/>
    <x v="14"/>
    <s v="Compact Automatic Electric Letter Opener"/>
    <n v="477.24"/>
    <n v="4"/>
    <x v="3159"/>
    <x v="3"/>
    <x v="3"/>
  </r>
  <r>
    <n v="45398"/>
    <x v="615"/>
    <x v="33"/>
    <x v="2"/>
    <x v="9"/>
    <s v="SanDisk Ultra 16 GB MicroSDHC Class 10 Memory Card"/>
    <n v="25.98"/>
    <n v="2"/>
    <x v="1630"/>
    <x v="3"/>
    <x v="3"/>
  </r>
  <r>
    <n v="45398"/>
    <x v="11"/>
    <x v="0"/>
    <x v="0"/>
    <x v="3"/>
    <s v="Satellite Sectional Post Binders"/>
    <n v="26.05"/>
    <n v="3"/>
    <x v="1238"/>
    <x v="3"/>
    <x v="3"/>
  </r>
  <r>
    <n v="45398"/>
    <x v="11"/>
    <x v="0"/>
    <x v="0"/>
    <x v="3"/>
    <s v="GBC White Gloss Covers, Plain Front"/>
    <n v="2.9"/>
    <n v="1"/>
    <x v="4224"/>
    <x v="3"/>
    <x v="3"/>
  </r>
  <r>
    <n v="45398"/>
    <x v="11"/>
    <x v="0"/>
    <x v="0"/>
    <x v="2"/>
    <s v="Tennsco Commercial Shelving"/>
    <n v="32.54"/>
    <n v="2"/>
    <x v="3851"/>
    <x v="3"/>
    <x v="3"/>
  </r>
  <r>
    <n v="45398"/>
    <x v="618"/>
    <x v="3"/>
    <x v="0"/>
    <x v="12"/>
    <s v="Hoover Commercial SteamVac"/>
    <n v="40.74"/>
    <n v="3"/>
    <x v="2894"/>
    <x v="3"/>
    <x v="3"/>
  </r>
  <r>
    <n v="45399"/>
    <x v="253"/>
    <x v="26"/>
    <x v="0"/>
    <x v="3"/>
    <s v="Insertable Tab Post Binder Dividers"/>
    <n v="12.03"/>
    <n v="5"/>
    <x v="4225"/>
    <x v="3"/>
    <x v="3"/>
  </r>
  <r>
    <n v="45399"/>
    <x v="253"/>
    <x v="26"/>
    <x v="2"/>
    <x v="15"/>
    <s v="Lexmark MX611dhe Monochrome Laser Printer"/>
    <n v="2549.9899999999998"/>
    <n v="5"/>
    <x v="4226"/>
    <x v="3"/>
    <x v="3"/>
  </r>
  <r>
    <n v="45399"/>
    <x v="253"/>
    <x v="26"/>
    <x v="0"/>
    <x v="3"/>
    <s v="GBC VeloBinder Manual Binding System"/>
    <n v="21.59"/>
    <n v="2"/>
    <x v="4227"/>
    <x v="3"/>
    <x v="3"/>
  </r>
  <r>
    <n v="45399"/>
    <x v="253"/>
    <x v="26"/>
    <x v="0"/>
    <x v="3"/>
    <s v="Cardinal Holdit Business Card Pockets"/>
    <n v="8.9600000000000009"/>
    <n v="6"/>
    <x v="3391"/>
    <x v="3"/>
    <x v="3"/>
  </r>
  <r>
    <n v="45399"/>
    <x v="253"/>
    <x v="26"/>
    <x v="0"/>
    <x v="0"/>
    <s v="Xerox 225"/>
    <n v="20.74"/>
    <n v="4"/>
    <x v="416"/>
    <x v="3"/>
    <x v="3"/>
  </r>
  <r>
    <n v="45399"/>
    <x v="100"/>
    <x v="2"/>
    <x v="1"/>
    <x v="8"/>
    <s v="Eldon Executive Woodline II Desk Accessories, Mahogany"/>
    <n v="60.31"/>
    <n v="3"/>
    <x v="1319"/>
    <x v="3"/>
    <x v="3"/>
  </r>
  <r>
    <n v="45399"/>
    <x v="255"/>
    <x v="3"/>
    <x v="0"/>
    <x v="0"/>
    <s v="Rediform S.O.S. 1-Up Phone Message Bk, 4-1/4x3-1/16 Bk, 1 Form/Pg, 40 Messages/Bk, 3/Pk"/>
    <n v="28.14"/>
    <n v="3"/>
    <x v="4228"/>
    <x v="3"/>
    <x v="3"/>
  </r>
  <r>
    <n v="45399"/>
    <x v="255"/>
    <x v="3"/>
    <x v="0"/>
    <x v="1"/>
    <s v="Avery 517"/>
    <n v="7.38"/>
    <n v="2"/>
    <x v="1540"/>
    <x v="3"/>
    <x v="3"/>
  </r>
  <r>
    <n v="45399"/>
    <x v="255"/>
    <x v="3"/>
    <x v="0"/>
    <x v="7"/>
    <s v="Stockwell Push Pins"/>
    <n v="10.9"/>
    <n v="5"/>
    <x v="333"/>
    <x v="3"/>
    <x v="3"/>
  </r>
  <r>
    <n v="45399"/>
    <x v="255"/>
    <x v="3"/>
    <x v="2"/>
    <x v="9"/>
    <s v="Logitech Wireless Touch Keyboard K400"/>
    <n v="274.89"/>
    <n v="11"/>
    <x v="4229"/>
    <x v="3"/>
    <x v="3"/>
  </r>
  <r>
    <n v="45399"/>
    <x v="255"/>
    <x v="3"/>
    <x v="0"/>
    <x v="1"/>
    <s v="Avery 474"/>
    <n v="23.04"/>
    <n v="8"/>
    <x v="4230"/>
    <x v="3"/>
    <x v="3"/>
  </r>
  <r>
    <n v="45399"/>
    <x v="255"/>
    <x v="3"/>
    <x v="1"/>
    <x v="5"/>
    <s v="Global Wood Trimmed Manager's Task Chair, Khaki"/>
    <n v="218.35"/>
    <n v="3"/>
    <x v="4193"/>
    <x v="3"/>
    <x v="3"/>
  </r>
  <r>
    <n v="45399"/>
    <x v="688"/>
    <x v="1"/>
    <x v="0"/>
    <x v="2"/>
    <s v="Carina Media Storage Towers in Natural &amp; Black"/>
    <n v="195.14"/>
    <n v="4"/>
    <x v="4231"/>
    <x v="3"/>
    <x v="3"/>
  </r>
  <r>
    <n v="45402"/>
    <x v="694"/>
    <x v="1"/>
    <x v="1"/>
    <x v="8"/>
    <s v="Eldon Cleatmat Chair Mats for Medium Pile Carpets"/>
    <n v="44.4"/>
    <n v="2"/>
    <x v="4232"/>
    <x v="3"/>
    <x v="3"/>
  </r>
  <r>
    <n v="45402"/>
    <x v="755"/>
    <x v="2"/>
    <x v="1"/>
    <x v="8"/>
    <s v="Computer Room Manger, 14&quot;"/>
    <n v="51.97"/>
    <n v="2"/>
    <x v="1156"/>
    <x v="3"/>
    <x v="3"/>
  </r>
  <r>
    <n v="45402"/>
    <x v="755"/>
    <x v="2"/>
    <x v="0"/>
    <x v="2"/>
    <s v="Sortfiler Multipurpose Personal File Organizer, Black"/>
    <n v="51.34"/>
    <n v="3"/>
    <x v="436"/>
    <x v="3"/>
    <x v="3"/>
  </r>
  <r>
    <n v="45402"/>
    <x v="755"/>
    <x v="2"/>
    <x v="0"/>
    <x v="2"/>
    <s v="Deluxe Rollaway Locking File with Drawer"/>
    <n v="332.7"/>
    <n v="1"/>
    <x v="4233"/>
    <x v="3"/>
    <x v="3"/>
  </r>
  <r>
    <n v="45402"/>
    <x v="755"/>
    <x v="2"/>
    <x v="1"/>
    <x v="8"/>
    <s v="Executive Impressions 12&quot; Wall Clock"/>
    <n v="42.41"/>
    <n v="3"/>
    <x v="3159"/>
    <x v="3"/>
    <x v="3"/>
  </r>
  <r>
    <n v="45402"/>
    <x v="605"/>
    <x v="1"/>
    <x v="1"/>
    <x v="5"/>
    <s v="DMI Arturo Collection Mission-style Design Wood Chair"/>
    <n v="317.06"/>
    <n v="3"/>
    <x v="341"/>
    <x v="3"/>
    <x v="3"/>
  </r>
  <r>
    <n v="45402"/>
    <x v="605"/>
    <x v="1"/>
    <x v="0"/>
    <x v="4"/>
    <s v="Lumber Crayons"/>
    <n v="15.76"/>
    <n v="2"/>
    <x v="339"/>
    <x v="3"/>
    <x v="3"/>
  </r>
  <r>
    <n v="45402"/>
    <x v="605"/>
    <x v="1"/>
    <x v="1"/>
    <x v="8"/>
    <s v="Master Caster Door Stop, Large Neon Orange"/>
    <n v="14.56"/>
    <n v="5"/>
    <x v="4234"/>
    <x v="3"/>
    <x v="3"/>
  </r>
  <r>
    <n v="45402"/>
    <x v="107"/>
    <x v="14"/>
    <x v="0"/>
    <x v="3"/>
    <s v="Premium Transparent Presentation Covers by GBC"/>
    <n v="146.86000000000001"/>
    <n v="7"/>
    <x v="206"/>
    <x v="3"/>
    <x v="3"/>
  </r>
  <r>
    <n v="45402"/>
    <x v="107"/>
    <x v="14"/>
    <x v="0"/>
    <x v="3"/>
    <s v="Cardinal EasyOpen D-Ring Binders"/>
    <n v="36.56"/>
    <n v="4"/>
    <x v="4235"/>
    <x v="3"/>
    <x v="3"/>
  </r>
  <r>
    <n v="45402"/>
    <x v="671"/>
    <x v="10"/>
    <x v="0"/>
    <x v="2"/>
    <s v="Tennsco 6- and 18-Compartment Lockers"/>
    <n v="848.54"/>
    <n v="4"/>
    <x v="4236"/>
    <x v="3"/>
    <x v="3"/>
  </r>
  <r>
    <n v="45402"/>
    <x v="671"/>
    <x v="10"/>
    <x v="0"/>
    <x v="3"/>
    <s v="Wilson Jones Clip &amp; Carry Folder Binder Tool for Ring Binders, Clear"/>
    <n v="8.6999999999999993"/>
    <n v="5"/>
    <x v="4237"/>
    <x v="3"/>
    <x v="3"/>
  </r>
  <r>
    <n v="45402"/>
    <x v="671"/>
    <x v="10"/>
    <x v="2"/>
    <x v="6"/>
    <s v="Avaya 5410 Digital phone"/>
    <n v="122.38"/>
    <n v="3"/>
    <x v="3181"/>
    <x v="3"/>
    <x v="3"/>
  </r>
  <r>
    <n v="45403"/>
    <x v="373"/>
    <x v="0"/>
    <x v="0"/>
    <x v="12"/>
    <s v="Acco 7-Outlet Masterpiece Power Center, Wihtout Fax/Phone Line Protection"/>
    <n v="97.26"/>
    <n v="4"/>
    <x v="4238"/>
    <x v="3"/>
    <x v="3"/>
  </r>
  <r>
    <n v="45403"/>
    <x v="218"/>
    <x v="0"/>
    <x v="0"/>
    <x v="3"/>
    <s v="Avery Non-Stick Binders"/>
    <n v="2.69"/>
    <n v="3"/>
    <x v="4239"/>
    <x v="3"/>
    <x v="3"/>
  </r>
  <r>
    <n v="45403"/>
    <x v="218"/>
    <x v="0"/>
    <x v="0"/>
    <x v="3"/>
    <s v="UniKeep View Case Binders"/>
    <n v="2.93"/>
    <n v="3"/>
    <x v="1660"/>
    <x v="3"/>
    <x v="3"/>
  </r>
  <r>
    <n v="45403"/>
    <x v="677"/>
    <x v="22"/>
    <x v="2"/>
    <x v="9"/>
    <s v="Verbatim Slim CD and DVD Storage Cases, 50/Pack"/>
    <n v="11.54"/>
    <n v="1"/>
    <x v="2463"/>
    <x v="3"/>
    <x v="3"/>
  </r>
  <r>
    <n v="45403"/>
    <x v="677"/>
    <x v="22"/>
    <x v="1"/>
    <x v="8"/>
    <s v="Eldon Advantage Foldable Chair Mats for Low Pile Carpets"/>
    <n v="162.6"/>
    <n v="3"/>
    <x v="4240"/>
    <x v="3"/>
    <x v="3"/>
  </r>
  <r>
    <n v="45403"/>
    <x v="744"/>
    <x v="36"/>
    <x v="1"/>
    <x v="5"/>
    <s v="Global Fabric Manager's Chair, Dark Gray"/>
    <n v="908.82"/>
    <n v="9"/>
    <x v="4241"/>
    <x v="3"/>
    <x v="3"/>
  </r>
  <r>
    <n v="45403"/>
    <x v="549"/>
    <x v="0"/>
    <x v="2"/>
    <x v="9"/>
    <s v="LogitechÂ LS21 Speaker System - PC Multimedia - 2.1-CH - Wired"/>
    <n v="47.98"/>
    <n v="3"/>
    <x v="573"/>
    <x v="3"/>
    <x v="3"/>
  </r>
  <r>
    <n v="45403"/>
    <x v="549"/>
    <x v="0"/>
    <x v="0"/>
    <x v="0"/>
    <s v="Xerox 230"/>
    <n v="20.74"/>
    <n v="4"/>
    <x v="416"/>
    <x v="3"/>
    <x v="3"/>
  </r>
  <r>
    <n v="45404"/>
    <x v="95"/>
    <x v="3"/>
    <x v="1"/>
    <x v="8"/>
    <s v="Eldon Stackable Tray, Side-Load, Legal, Smoke"/>
    <n v="18.28"/>
    <n v="2"/>
    <x v="113"/>
    <x v="3"/>
    <x v="3"/>
  </r>
  <r>
    <n v="45404"/>
    <x v="690"/>
    <x v="2"/>
    <x v="1"/>
    <x v="8"/>
    <s v="Tenex 46&quot; x 60&quot; Computer Anti-Static Chairmat, Rectangular Shaped"/>
    <n v="254.35"/>
    <n v="3"/>
    <x v="62"/>
    <x v="3"/>
    <x v="3"/>
  </r>
  <r>
    <n v="45404"/>
    <x v="664"/>
    <x v="4"/>
    <x v="0"/>
    <x v="2"/>
    <s v="Tennsco Double-Tier Lockers"/>
    <n v="675.06"/>
    <n v="3"/>
    <x v="4242"/>
    <x v="3"/>
    <x v="3"/>
  </r>
  <r>
    <n v="45405"/>
    <x v="779"/>
    <x v="20"/>
    <x v="0"/>
    <x v="12"/>
    <s v="Tripp Lite Isotel 6 Outlet Surge Protector with Fax/Modem Protection"/>
    <n v="121.94"/>
    <n v="2"/>
    <x v="4243"/>
    <x v="3"/>
    <x v="3"/>
  </r>
  <r>
    <n v="45405"/>
    <x v="779"/>
    <x v="20"/>
    <x v="0"/>
    <x v="14"/>
    <s v="Acme 10&quot; Easy Grip Assistive Scissors"/>
    <n v="122.71"/>
    <n v="7"/>
    <x v="4244"/>
    <x v="3"/>
    <x v="3"/>
  </r>
  <r>
    <n v="45405"/>
    <x v="573"/>
    <x v="18"/>
    <x v="2"/>
    <x v="9"/>
    <s v="TRENDnet 56K USB 2.0 Phone, Internet and Fax Modem"/>
    <n v="155.34"/>
    <n v="6"/>
    <x v="4245"/>
    <x v="3"/>
    <x v="3"/>
  </r>
  <r>
    <n v="45405"/>
    <x v="210"/>
    <x v="20"/>
    <x v="0"/>
    <x v="14"/>
    <s v="Fiskars Softgrip Scissors"/>
    <n v="54.9"/>
    <n v="5"/>
    <x v="2623"/>
    <x v="3"/>
    <x v="3"/>
  </r>
  <r>
    <n v="45405"/>
    <x v="480"/>
    <x v="10"/>
    <x v="0"/>
    <x v="3"/>
    <s v="XtraLife ClearVue Slant-D Ring Binders by Cardinal"/>
    <n v="11.76"/>
    <n v="5"/>
    <x v="4246"/>
    <x v="3"/>
    <x v="3"/>
  </r>
  <r>
    <n v="45405"/>
    <x v="480"/>
    <x v="10"/>
    <x v="0"/>
    <x v="0"/>
    <s v="Xerox 195"/>
    <n v="5.34"/>
    <n v="1"/>
    <x v="2461"/>
    <x v="3"/>
    <x v="3"/>
  </r>
  <r>
    <n v="45405"/>
    <x v="705"/>
    <x v="3"/>
    <x v="1"/>
    <x v="8"/>
    <s v="DAX Two-Tone Rosewood/Black Document Frame, Desktop, 5 x 7"/>
    <n v="66.36"/>
    <n v="7"/>
    <x v="4247"/>
    <x v="3"/>
    <x v="3"/>
  </r>
  <r>
    <n v="45405"/>
    <x v="705"/>
    <x v="3"/>
    <x v="0"/>
    <x v="3"/>
    <s v="GBC Durable Plastic Covers"/>
    <n v="92.88"/>
    <n v="6"/>
    <x v="1913"/>
    <x v="3"/>
    <x v="3"/>
  </r>
  <r>
    <n v="45405"/>
    <x v="705"/>
    <x v="3"/>
    <x v="1"/>
    <x v="8"/>
    <s v="Eldon 500 Class Desk Accessories"/>
    <n v="24.14"/>
    <n v="2"/>
    <x v="2333"/>
    <x v="3"/>
    <x v="3"/>
  </r>
  <r>
    <n v="45405"/>
    <x v="672"/>
    <x v="15"/>
    <x v="1"/>
    <x v="11"/>
    <s v="O'Sullivan 4-Shelf Bookcase in Odessa Pine"/>
    <n v="387.14"/>
    <n v="4"/>
    <x v="4248"/>
    <x v="3"/>
    <x v="3"/>
  </r>
  <r>
    <n v="45405"/>
    <x v="672"/>
    <x v="15"/>
    <x v="2"/>
    <x v="9"/>
    <s v="Maxell 4.7GB DVD-R"/>
    <n v="45.41"/>
    <n v="2"/>
    <x v="2537"/>
    <x v="3"/>
    <x v="3"/>
  </r>
  <r>
    <n v="45405"/>
    <x v="672"/>
    <x v="15"/>
    <x v="1"/>
    <x v="8"/>
    <s v="Tenex Chairmats For Use with Hard Floors"/>
    <n v="77.95"/>
    <n v="3"/>
    <x v="4249"/>
    <x v="3"/>
    <x v="3"/>
  </r>
  <r>
    <n v="45405"/>
    <x v="672"/>
    <x v="15"/>
    <x v="0"/>
    <x v="1"/>
    <s v="Avery 496"/>
    <n v="3"/>
    <n v="1"/>
    <x v="3569"/>
    <x v="3"/>
    <x v="3"/>
  </r>
  <r>
    <n v="45405"/>
    <x v="703"/>
    <x v="26"/>
    <x v="0"/>
    <x v="10"/>
    <s v="Staple envelope"/>
    <n v="18.690000000000001"/>
    <n v="2"/>
    <x v="2427"/>
    <x v="3"/>
    <x v="3"/>
  </r>
  <r>
    <n v="45405"/>
    <x v="703"/>
    <x v="26"/>
    <x v="1"/>
    <x v="8"/>
    <s v="Eldon ImÃ ge Series Desk Accessories, Clear"/>
    <n v="11.66"/>
    <n v="3"/>
    <x v="318"/>
    <x v="3"/>
    <x v="3"/>
  </r>
  <r>
    <n v="45406"/>
    <x v="105"/>
    <x v="2"/>
    <x v="0"/>
    <x v="12"/>
    <s v="Acco Smartsocket Table Surge Protector, 6 Color-Coded Adapter Outlets"/>
    <n v="99.28"/>
    <n v="2"/>
    <x v="4250"/>
    <x v="3"/>
    <x v="3"/>
  </r>
  <r>
    <n v="45406"/>
    <x v="105"/>
    <x v="2"/>
    <x v="0"/>
    <x v="3"/>
    <s v="Avery Reinforcements for Hole-Punch Pages"/>
    <n v="1.19"/>
    <n v="2"/>
    <x v="4251"/>
    <x v="3"/>
    <x v="3"/>
  </r>
  <r>
    <n v="45406"/>
    <x v="105"/>
    <x v="2"/>
    <x v="0"/>
    <x v="3"/>
    <s v="GBC ProClick Spines for 32-Hole Punch"/>
    <n v="7.52"/>
    <n v="2"/>
    <x v="2884"/>
    <x v="3"/>
    <x v="3"/>
  </r>
  <r>
    <n v="45406"/>
    <x v="85"/>
    <x v="16"/>
    <x v="0"/>
    <x v="2"/>
    <s v="Sensible Storage WireTech Storage Systems"/>
    <n v="113.57"/>
    <n v="2"/>
    <x v="4252"/>
    <x v="3"/>
    <x v="3"/>
  </r>
  <r>
    <n v="45406"/>
    <x v="588"/>
    <x v="3"/>
    <x v="0"/>
    <x v="7"/>
    <s v="Colored Push Pins"/>
    <n v="1.81"/>
    <n v="1"/>
    <x v="574"/>
    <x v="3"/>
    <x v="3"/>
  </r>
  <r>
    <n v="45406"/>
    <x v="743"/>
    <x v="12"/>
    <x v="2"/>
    <x v="6"/>
    <s v="AT&amp;T 841000 Phone"/>
    <n v="552"/>
    <n v="10"/>
    <x v="2179"/>
    <x v="3"/>
    <x v="3"/>
  </r>
  <r>
    <n v="45406"/>
    <x v="637"/>
    <x v="43"/>
    <x v="2"/>
    <x v="9"/>
    <s v="V7 USB Numeric Keypad"/>
    <n v="69.98"/>
    <n v="2"/>
    <x v="4253"/>
    <x v="3"/>
    <x v="3"/>
  </r>
  <r>
    <n v="45406"/>
    <x v="721"/>
    <x v="1"/>
    <x v="0"/>
    <x v="3"/>
    <s v="Acco Data Flex Cable Posts For Top &amp; Bottom Load Binders, 6&quot; Capacity"/>
    <n v="10.43"/>
    <n v="5"/>
    <x v="15"/>
    <x v="3"/>
    <x v="3"/>
  </r>
  <r>
    <n v="45406"/>
    <x v="721"/>
    <x v="1"/>
    <x v="0"/>
    <x v="2"/>
    <s v="Safco Industrial Wire Shelving System"/>
    <n v="72.78"/>
    <n v="1"/>
    <x v="1871"/>
    <x v="3"/>
    <x v="3"/>
  </r>
  <r>
    <n v="45407"/>
    <x v="2"/>
    <x v="3"/>
    <x v="0"/>
    <x v="3"/>
    <s v="Cardinal Slant-D Ring Binder, Heavy Gauge Vinyl"/>
    <n v="13.9"/>
    <n v="2"/>
    <x v="662"/>
    <x v="3"/>
    <x v="3"/>
  </r>
  <r>
    <n v="45407"/>
    <x v="672"/>
    <x v="15"/>
    <x v="0"/>
    <x v="4"/>
    <s v="Newell 312"/>
    <n v="42.05"/>
    <n v="9"/>
    <x v="1803"/>
    <x v="3"/>
    <x v="3"/>
  </r>
  <r>
    <n v="45407"/>
    <x v="672"/>
    <x v="15"/>
    <x v="0"/>
    <x v="4"/>
    <s v="Stanley Bostitch Contemporary Electric Pencil Sharpeners"/>
    <n v="67.92"/>
    <n v="5"/>
    <x v="1084"/>
    <x v="3"/>
    <x v="3"/>
  </r>
  <r>
    <n v="45407"/>
    <x v="420"/>
    <x v="12"/>
    <x v="0"/>
    <x v="4"/>
    <s v="Newell 318"/>
    <n v="8.9"/>
    <n v="4"/>
    <x v="1494"/>
    <x v="3"/>
    <x v="3"/>
  </r>
  <r>
    <n v="45407"/>
    <x v="172"/>
    <x v="3"/>
    <x v="0"/>
    <x v="0"/>
    <s v="Telephone Message Books with Fax/Mobile Section, 5 1/2&quot; x 3 3/16&quot;"/>
    <n v="19.05"/>
    <n v="3"/>
    <x v="4254"/>
    <x v="3"/>
    <x v="3"/>
  </r>
  <r>
    <n v="45407"/>
    <x v="172"/>
    <x v="3"/>
    <x v="0"/>
    <x v="3"/>
    <s v="Surelock Post Binders"/>
    <n v="73.34"/>
    <n v="3"/>
    <x v="4255"/>
    <x v="3"/>
    <x v="3"/>
  </r>
  <r>
    <n v="45407"/>
    <x v="25"/>
    <x v="3"/>
    <x v="2"/>
    <x v="9"/>
    <s v="Sony 64GB Class 10 Micro SDHC R40 Memory Card"/>
    <n v="107.97"/>
    <n v="3"/>
    <x v="2674"/>
    <x v="3"/>
    <x v="3"/>
  </r>
  <r>
    <n v="45407"/>
    <x v="556"/>
    <x v="3"/>
    <x v="1"/>
    <x v="11"/>
    <s v="Bush Westfield Collection Bookcases, Medium Cherry Finish"/>
    <n v="344.98"/>
    <n v="7"/>
    <x v="2945"/>
    <x v="3"/>
    <x v="3"/>
  </r>
  <r>
    <n v="45408"/>
    <x v="768"/>
    <x v="0"/>
    <x v="1"/>
    <x v="8"/>
    <s v="DAX Value U-Channel Document Frames, Easel Back"/>
    <n v="1.99"/>
    <n v="1"/>
    <x v="3347"/>
    <x v="3"/>
    <x v="3"/>
  </r>
  <r>
    <n v="45408"/>
    <x v="675"/>
    <x v="22"/>
    <x v="0"/>
    <x v="0"/>
    <s v="Strathmore Photo Mount Cards"/>
    <n v="20.34"/>
    <n v="3"/>
    <x v="155"/>
    <x v="3"/>
    <x v="3"/>
  </r>
  <r>
    <n v="45408"/>
    <x v="675"/>
    <x v="22"/>
    <x v="0"/>
    <x v="1"/>
    <s v="Avery 478"/>
    <n v="39.28"/>
    <n v="8"/>
    <x v="4256"/>
    <x v="3"/>
    <x v="3"/>
  </r>
  <r>
    <n v="45409"/>
    <x v="755"/>
    <x v="0"/>
    <x v="0"/>
    <x v="1"/>
    <s v="Avery Address/Shipping Labels for Typewriters, 4&quot; x 2&quot;"/>
    <n v="33.119999999999997"/>
    <n v="4"/>
    <x v="3296"/>
    <x v="3"/>
    <x v="3"/>
  </r>
  <r>
    <n v="45409"/>
    <x v="755"/>
    <x v="0"/>
    <x v="1"/>
    <x v="11"/>
    <s v="Sauder Barrister Bookcases"/>
    <n v="220.27"/>
    <n v="4"/>
    <x v="4257"/>
    <x v="3"/>
    <x v="3"/>
  </r>
  <r>
    <n v="45409"/>
    <x v="358"/>
    <x v="3"/>
    <x v="0"/>
    <x v="4"/>
    <s v="Boston School Pro Electric Pencil Sharpener, 1670"/>
    <n v="123.92"/>
    <n v="4"/>
    <x v="4258"/>
    <x v="3"/>
    <x v="3"/>
  </r>
  <r>
    <n v="45409"/>
    <x v="358"/>
    <x v="3"/>
    <x v="0"/>
    <x v="4"/>
    <s v="Newell Chalk Holder"/>
    <n v="12.39"/>
    <n v="3"/>
    <x v="1974"/>
    <x v="3"/>
    <x v="3"/>
  </r>
  <r>
    <n v="45409"/>
    <x v="358"/>
    <x v="3"/>
    <x v="0"/>
    <x v="4"/>
    <s v="Boston Home &amp; Office Model 2000 Electric Pencil Sharpeners"/>
    <n v="47.3"/>
    <n v="2"/>
    <x v="1512"/>
    <x v="3"/>
    <x v="3"/>
  </r>
  <r>
    <n v="45409"/>
    <x v="700"/>
    <x v="22"/>
    <x v="1"/>
    <x v="8"/>
    <s v="Luxo Economy Swing Arm Lamp"/>
    <n v="139.58000000000001"/>
    <n v="7"/>
    <x v="4259"/>
    <x v="3"/>
    <x v="3"/>
  </r>
  <r>
    <n v="45410"/>
    <x v="91"/>
    <x v="2"/>
    <x v="0"/>
    <x v="2"/>
    <s v="Sterilite Officeware Hinged File Box"/>
    <n v="8.3800000000000008"/>
    <n v="1"/>
    <x v="1881"/>
    <x v="3"/>
    <x v="3"/>
  </r>
  <r>
    <n v="45410"/>
    <x v="91"/>
    <x v="2"/>
    <x v="0"/>
    <x v="4"/>
    <s v="Newell 341"/>
    <n v="6.85"/>
    <n v="2"/>
    <x v="4260"/>
    <x v="3"/>
    <x v="3"/>
  </r>
  <r>
    <n v="45410"/>
    <x v="304"/>
    <x v="25"/>
    <x v="0"/>
    <x v="12"/>
    <s v="Harmony HEPA Quiet Air Purifiers"/>
    <n v="28.08"/>
    <n v="3"/>
    <x v="4261"/>
    <x v="3"/>
    <x v="3"/>
  </r>
  <r>
    <n v="45410"/>
    <x v="219"/>
    <x v="16"/>
    <x v="2"/>
    <x v="6"/>
    <s v="Samsung Galaxy S4 Mini"/>
    <n v="751.98"/>
    <n v="2"/>
    <x v="4262"/>
    <x v="3"/>
    <x v="3"/>
  </r>
  <r>
    <n v="45411"/>
    <x v="76"/>
    <x v="10"/>
    <x v="1"/>
    <x v="13"/>
    <s v="SAFCO PlanMaster Heigh-Adjustable Drafting Table Base, 43w x 30d x 30-37h, Black"/>
    <n v="1048.3499999999999"/>
    <n v="5"/>
    <x v="4263"/>
    <x v="3"/>
    <x v="3"/>
  </r>
  <r>
    <n v="45411"/>
    <x v="73"/>
    <x v="23"/>
    <x v="0"/>
    <x v="1"/>
    <s v="Color-Coded Legal Exhibit Labels"/>
    <n v="4.91"/>
    <n v="1"/>
    <x v="4148"/>
    <x v="3"/>
    <x v="3"/>
  </r>
  <r>
    <n v="45412"/>
    <x v="729"/>
    <x v="20"/>
    <x v="0"/>
    <x v="10"/>
    <s v="#10-4 1/8&quot; x 9 1/2&quot; Premium Diagonal Seam Envelopes"/>
    <n v="62.96"/>
    <n v="4"/>
    <x v="4264"/>
    <x v="3"/>
    <x v="3"/>
  </r>
  <r>
    <n v="45412"/>
    <x v="87"/>
    <x v="2"/>
    <x v="2"/>
    <x v="6"/>
    <s v="Polycom SoundPoint IP 450 VoIP phone"/>
    <n v="677.58"/>
    <n v="5"/>
    <x v="4265"/>
    <x v="3"/>
    <x v="3"/>
  </r>
  <r>
    <n v="45412"/>
    <x v="87"/>
    <x v="2"/>
    <x v="0"/>
    <x v="3"/>
    <s v="GBC VeloBind Cover Sets"/>
    <n v="13.9"/>
    <n v="3"/>
    <x v="4266"/>
    <x v="3"/>
    <x v="3"/>
  </r>
  <r>
    <n v="45412"/>
    <x v="326"/>
    <x v="16"/>
    <x v="0"/>
    <x v="1"/>
    <s v="Avery 474"/>
    <n v="4.6100000000000003"/>
    <n v="2"/>
    <x v="688"/>
    <x v="3"/>
    <x v="3"/>
  </r>
  <r>
    <n v="45412"/>
    <x v="326"/>
    <x v="16"/>
    <x v="0"/>
    <x v="4"/>
    <s v="Staples in misc. colors"/>
    <n v="15.53"/>
    <n v="3"/>
    <x v="4267"/>
    <x v="3"/>
    <x v="3"/>
  </r>
  <r>
    <n v="45412"/>
    <x v="326"/>
    <x v="16"/>
    <x v="0"/>
    <x v="1"/>
    <s v="Avery 499"/>
    <n v="11.95"/>
    <n v="3"/>
    <x v="2014"/>
    <x v="3"/>
    <x v="3"/>
  </r>
  <r>
    <n v="45412"/>
    <x v="531"/>
    <x v="16"/>
    <x v="1"/>
    <x v="8"/>
    <s v="3M Hangers With Command Adhesive"/>
    <n v="23.68"/>
    <n v="8"/>
    <x v="113"/>
    <x v="3"/>
    <x v="3"/>
  </r>
  <r>
    <n v="45412"/>
    <x v="531"/>
    <x v="16"/>
    <x v="2"/>
    <x v="9"/>
    <s v="Maxell 4.7GB DVD+R 5/Pack"/>
    <n v="2.38"/>
    <n v="3"/>
    <x v="1732"/>
    <x v="3"/>
    <x v="3"/>
  </r>
  <r>
    <n v="45412"/>
    <x v="467"/>
    <x v="10"/>
    <x v="0"/>
    <x v="0"/>
    <s v="Xerox 222"/>
    <n v="10.37"/>
    <n v="2"/>
    <x v="316"/>
    <x v="3"/>
    <x v="3"/>
  </r>
  <r>
    <n v="45412"/>
    <x v="685"/>
    <x v="37"/>
    <x v="0"/>
    <x v="1"/>
    <s v="Avery 5"/>
    <n v="5.76"/>
    <n v="2"/>
    <x v="1218"/>
    <x v="3"/>
    <x v="3"/>
  </r>
  <r>
    <n v="45412"/>
    <x v="529"/>
    <x v="1"/>
    <x v="0"/>
    <x v="3"/>
    <s v="GBC Linen Binding Covers"/>
    <n v="43.37"/>
    <n v="7"/>
    <x v="4268"/>
    <x v="3"/>
    <x v="3"/>
  </r>
  <r>
    <n v="45412"/>
    <x v="525"/>
    <x v="3"/>
    <x v="0"/>
    <x v="0"/>
    <s v="Xerox 1919"/>
    <n v="163.96"/>
    <n v="4"/>
    <x v="4269"/>
    <x v="3"/>
    <x v="3"/>
  </r>
  <r>
    <n v="45412"/>
    <x v="351"/>
    <x v="3"/>
    <x v="1"/>
    <x v="8"/>
    <s v="Seth Thomas 16&quot; Steel Case Clock"/>
    <n v="64.959999999999994"/>
    <n v="2"/>
    <x v="4270"/>
    <x v="3"/>
    <x v="3"/>
  </r>
  <r>
    <n v="45412"/>
    <x v="351"/>
    <x v="3"/>
    <x v="0"/>
    <x v="10"/>
    <s v="#10- 4 1/8&quot; x 9 1/2&quot; Security-Tint Envelopes"/>
    <n v="30.56"/>
    <n v="4"/>
    <x v="2987"/>
    <x v="3"/>
    <x v="3"/>
  </r>
  <r>
    <n v="45412"/>
    <x v="400"/>
    <x v="3"/>
    <x v="0"/>
    <x v="4"/>
    <s v="Faber Castell Col-Erase Pencils"/>
    <n v="9.7799999999999994"/>
    <n v="2"/>
    <x v="4271"/>
    <x v="3"/>
    <x v="3"/>
  </r>
  <r>
    <n v="45412"/>
    <x v="327"/>
    <x v="3"/>
    <x v="0"/>
    <x v="3"/>
    <s v="Fellowes Black Plastic Comb Bindings"/>
    <n v="23.24"/>
    <n v="5"/>
    <x v="4272"/>
    <x v="3"/>
    <x v="3"/>
  </r>
  <r>
    <n v="45412"/>
    <x v="772"/>
    <x v="16"/>
    <x v="0"/>
    <x v="3"/>
    <s v="Acco PRESSTEX Data Binder with Storage Hooks, Light Blue, 9 1/2&quot; X 11&quot;"/>
    <n v="4.84"/>
    <n v="3"/>
    <x v="4200"/>
    <x v="3"/>
    <x v="3"/>
  </r>
  <r>
    <n v="45412"/>
    <x v="772"/>
    <x v="16"/>
    <x v="1"/>
    <x v="8"/>
    <s v="Tenex B1-RE Series Chair Mats for Low Pile Carpets"/>
    <n v="220.7"/>
    <n v="6"/>
    <x v="2411"/>
    <x v="3"/>
    <x v="3"/>
  </r>
  <r>
    <n v="45413"/>
    <x v="694"/>
    <x v="13"/>
    <x v="2"/>
    <x v="9"/>
    <s v="Maxell 74 Minute CDR, 10/Pack"/>
    <n v="48.9"/>
    <n v="5"/>
    <x v="289"/>
    <x v="4"/>
    <x v="3"/>
  </r>
  <r>
    <n v="45413"/>
    <x v="740"/>
    <x v="16"/>
    <x v="0"/>
    <x v="14"/>
    <s v="Kleencut Forged Office Shears by Acme United Corporation"/>
    <n v="3.33"/>
    <n v="2"/>
    <x v="3147"/>
    <x v="4"/>
    <x v="3"/>
  </r>
  <r>
    <n v="45413"/>
    <x v="740"/>
    <x v="16"/>
    <x v="1"/>
    <x v="13"/>
    <s v="Bush Advantage Collection Racetrack Conference Table"/>
    <n v="933.26"/>
    <n v="4"/>
    <x v="4273"/>
    <x v="4"/>
    <x v="3"/>
  </r>
  <r>
    <n v="45413"/>
    <x v="740"/>
    <x v="16"/>
    <x v="1"/>
    <x v="5"/>
    <s v="HON 5400 Series Task Chairs for Big and Tall"/>
    <n v="2803.92"/>
    <n v="5"/>
    <x v="62"/>
    <x v="4"/>
    <x v="3"/>
  </r>
  <r>
    <n v="45413"/>
    <x v="316"/>
    <x v="16"/>
    <x v="1"/>
    <x v="11"/>
    <s v="Bush Somerset Collection Bookcase"/>
    <n v="314.35000000000002"/>
    <n v="3"/>
    <x v="4274"/>
    <x v="4"/>
    <x v="3"/>
  </r>
  <r>
    <n v="45413"/>
    <x v="316"/>
    <x v="16"/>
    <x v="0"/>
    <x v="1"/>
    <s v="Avery 492"/>
    <n v="4.6100000000000003"/>
    <n v="2"/>
    <x v="366"/>
    <x v="4"/>
    <x v="3"/>
  </r>
  <r>
    <n v="45414"/>
    <x v="360"/>
    <x v="23"/>
    <x v="1"/>
    <x v="8"/>
    <s v="Eldon Advantage Chair Mats for Low to Medium Pile Carpets"/>
    <n v="129.93"/>
    <n v="3"/>
    <x v="372"/>
    <x v="4"/>
    <x v="3"/>
  </r>
  <r>
    <n v="45414"/>
    <x v="551"/>
    <x v="3"/>
    <x v="2"/>
    <x v="9"/>
    <s v="LogitechÂ MX Performance Wireless Mouse"/>
    <n v="159.56"/>
    <n v="4"/>
    <x v="3130"/>
    <x v="4"/>
    <x v="3"/>
  </r>
  <r>
    <n v="45414"/>
    <x v="118"/>
    <x v="3"/>
    <x v="0"/>
    <x v="0"/>
    <s v="Adams &quot;While You Were Out&quot; Message Pads"/>
    <n v="15.7"/>
    <n v="5"/>
    <x v="2578"/>
    <x v="4"/>
    <x v="3"/>
  </r>
  <r>
    <n v="45414"/>
    <x v="118"/>
    <x v="3"/>
    <x v="0"/>
    <x v="4"/>
    <s v="Newell 34"/>
    <n v="59.52"/>
    <n v="3"/>
    <x v="142"/>
    <x v="4"/>
    <x v="3"/>
  </r>
  <r>
    <n v="45414"/>
    <x v="118"/>
    <x v="3"/>
    <x v="0"/>
    <x v="0"/>
    <s v="Adams Phone Message Book, 200 Message Capacity, 8 1/16Â” x 11Â”"/>
    <n v="34.4"/>
    <n v="5"/>
    <x v="2696"/>
    <x v="4"/>
    <x v="3"/>
  </r>
  <r>
    <n v="45415"/>
    <x v="504"/>
    <x v="3"/>
    <x v="0"/>
    <x v="2"/>
    <s v="Multi-Use Personal File Cart and Caster Set, Three Stacking Bins"/>
    <n v="69.52"/>
    <n v="2"/>
    <x v="1195"/>
    <x v="4"/>
    <x v="3"/>
  </r>
  <r>
    <n v="45415"/>
    <x v="504"/>
    <x v="3"/>
    <x v="0"/>
    <x v="2"/>
    <s v="Fellowes Stor/Drawer Steel Plus Storage Drawers"/>
    <n v="763.44"/>
    <n v="8"/>
    <x v="4275"/>
    <x v="4"/>
    <x v="3"/>
  </r>
  <r>
    <n v="45415"/>
    <x v="575"/>
    <x v="3"/>
    <x v="0"/>
    <x v="0"/>
    <s v="Xerox 2"/>
    <n v="25.92"/>
    <n v="4"/>
    <x v="496"/>
    <x v="4"/>
    <x v="3"/>
  </r>
  <r>
    <n v="45415"/>
    <x v="575"/>
    <x v="3"/>
    <x v="0"/>
    <x v="4"/>
    <s v="Newell 350"/>
    <n v="22.96"/>
    <n v="7"/>
    <x v="44"/>
    <x v="4"/>
    <x v="3"/>
  </r>
  <r>
    <n v="45415"/>
    <x v="731"/>
    <x v="2"/>
    <x v="1"/>
    <x v="8"/>
    <s v="Career Cubicle Clock, 8 1/4&quot;, Black"/>
    <n v="32.450000000000003"/>
    <n v="2"/>
    <x v="2009"/>
    <x v="4"/>
    <x v="3"/>
  </r>
  <r>
    <n v="45415"/>
    <x v="731"/>
    <x v="2"/>
    <x v="0"/>
    <x v="3"/>
    <s v="Wilson Jones Legal Size Ring Binders"/>
    <n v="26.39"/>
    <n v="4"/>
    <x v="4276"/>
    <x v="4"/>
    <x v="3"/>
  </r>
  <r>
    <n v="45415"/>
    <x v="731"/>
    <x v="2"/>
    <x v="1"/>
    <x v="13"/>
    <s v="Bevis 36 x 72 Conference Tables"/>
    <n v="373.47"/>
    <n v="5"/>
    <x v="4277"/>
    <x v="4"/>
    <x v="3"/>
  </r>
  <r>
    <n v="45415"/>
    <x v="731"/>
    <x v="2"/>
    <x v="0"/>
    <x v="3"/>
    <s v="Wilson Jones Elliptical Ring 3 1/2&quot; Capacity Binders, 800 sheets"/>
    <n v="64.2"/>
    <n v="5"/>
    <x v="4278"/>
    <x v="4"/>
    <x v="3"/>
  </r>
  <r>
    <n v="45415"/>
    <x v="731"/>
    <x v="2"/>
    <x v="0"/>
    <x v="7"/>
    <s v="Advantus Plastic Paper Clips"/>
    <n v="8"/>
    <n v="2"/>
    <x v="644"/>
    <x v="4"/>
    <x v="3"/>
  </r>
  <r>
    <n v="45416"/>
    <x v="754"/>
    <x v="3"/>
    <x v="2"/>
    <x v="6"/>
    <s v="Motorola L804"/>
    <n v="183.96"/>
    <n v="5"/>
    <x v="2994"/>
    <x v="4"/>
    <x v="3"/>
  </r>
  <r>
    <n v="45416"/>
    <x v="754"/>
    <x v="3"/>
    <x v="0"/>
    <x v="0"/>
    <s v="Things To Do Today Pad"/>
    <n v="17.61"/>
    <n v="3"/>
    <x v="3533"/>
    <x v="4"/>
    <x v="3"/>
  </r>
  <r>
    <n v="45416"/>
    <x v="754"/>
    <x v="3"/>
    <x v="1"/>
    <x v="13"/>
    <s v="Bretford Rectangular Conference Table Tops"/>
    <n v="300.89999999999998"/>
    <n v="1"/>
    <x v="4279"/>
    <x v="4"/>
    <x v="3"/>
  </r>
  <r>
    <n v="45416"/>
    <x v="575"/>
    <x v="6"/>
    <x v="0"/>
    <x v="0"/>
    <s v="Black Print Carbonless Snap-Off Rapid Letter, 8 1/2&quot; x 7&quot;"/>
    <n v="9.11"/>
    <n v="1"/>
    <x v="60"/>
    <x v="4"/>
    <x v="3"/>
  </r>
  <r>
    <n v="45416"/>
    <x v="575"/>
    <x v="6"/>
    <x v="0"/>
    <x v="2"/>
    <s v="Letter Size Cart"/>
    <n v="571.44000000000005"/>
    <n v="4"/>
    <x v="4280"/>
    <x v="4"/>
    <x v="3"/>
  </r>
  <r>
    <n v="45416"/>
    <x v="575"/>
    <x v="6"/>
    <x v="0"/>
    <x v="0"/>
    <s v="Xerox 23"/>
    <n v="32.4"/>
    <n v="5"/>
    <x v="327"/>
    <x v="4"/>
    <x v="3"/>
  </r>
  <r>
    <n v="45416"/>
    <x v="575"/>
    <x v="6"/>
    <x v="0"/>
    <x v="2"/>
    <s v="Tenex Personal Self-Stacking Standard File Box, Black/Gray"/>
    <n v="16.91"/>
    <n v="1"/>
    <x v="1838"/>
    <x v="4"/>
    <x v="3"/>
  </r>
  <r>
    <n v="45416"/>
    <x v="489"/>
    <x v="10"/>
    <x v="0"/>
    <x v="3"/>
    <s v="DXL Angle-View Binders with Locking Rings by Samsill"/>
    <n v="2.31"/>
    <n v="1"/>
    <x v="3799"/>
    <x v="4"/>
    <x v="3"/>
  </r>
  <r>
    <n v="45416"/>
    <x v="168"/>
    <x v="2"/>
    <x v="0"/>
    <x v="3"/>
    <s v="Black Avery Memo-Size 3-Ring Binder, 5 1/2&quot; x 8 1/2&quot;"/>
    <n v="2.2000000000000002"/>
    <n v="2"/>
    <x v="4281"/>
    <x v="4"/>
    <x v="3"/>
  </r>
  <r>
    <n v="45416"/>
    <x v="168"/>
    <x v="2"/>
    <x v="0"/>
    <x v="3"/>
    <s v="Avery 3 1/2&quot; Diskette Storage Pages, 10/Pack"/>
    <n v="9.4"/>
    <n v="3"/>
    <x v="4282"/>
    <x v="4"/>
    <x v="3"/>
  </r>
  <r>
    <n v="45416"/>
    <x v="393"/>
    <x v="3"/>
    <x v="0"/>
    <x v="12"/>
    <s v="Acco 7-Outlet Masterpiece Power Center, Wihtout Fax/Phone Line Protection"/>
    <n v="243.16"/>
    <n v="2"/>
    <x v="4283"/>
    <x v="4"/>
    <x v="3"/>
  </r>
  <r>
    <n v="45417"/>
    <x v="536"/>
    <x v="3"/>
    <x v="0"/>
    <x v="10"/>
    <s v="Peel &amp; Seel Recycled Catalog Envelopes, Brown"/>
    <n v="23.16"/>
    <n v="2"/>
    <x v="45"/>
    <x v="4"/>
    <x v="3"/>
  </r>
  <r>
    <n v="45417"/>
    <x v="384"/>
    <x v="26"/>
    <x v="0"/>
    <x v="10"/>
    <s v="Redi-Strip #10 Envelopes, 4 1/8 x 9 1/2"/>
    <n v="21.24"/>
    <n v="9"/>
    <x v="2071"/>
    <x v="4"/>
    <x v="3"/>
  </r>
  <r>
    <n v="45417"/>
    <x v="384"/>
    <x v="26"/>
    <x v="0"/>
    <x v="3"/>
    <s v="Avery Durable Slant Ring Binders, No Labels"/>
    <n v="9.5500000000000007"/>
    <n v="8"/>
    <x v="4284"/>
    <x v="4"/>
    <x v="3"/>
  </r>
  <r>
    <n v="45417"/>
    <x v="384"/>
    <x v="26"/>
    <x v="1"/>
    <x v="11"/>
    <s v="Bestar Classic Bookcase"/>
    <n v="89.99"/>
    <n v="3"/>
    <x v="4285"/>
    <x v="4"/>
    <x v="3"/>
  </r>
  <r>
    <n v="45417"/>
    <x v="598"/>
    <x v="4"/>
    <x v="0"/>
    <x v="3"/>
    <s v="Ibico Covers for Plastic or Wire Binding Elements"/>
    <n v="34.5"/>
    <n v="3"/>
    <x v="1030"/>
    <x v="4"/>
    <x v="3"/>
  </r>
  <r>
    <n v="45417"/>
    <x v="170"/>
    <x v="20"/>
    <x v="0"/>
    <x v="0"/>
    <s v="Xerox 1923"/>
    <n v="6.68"/>
    <n v="1"/>
    <x v="2194"/>
    <x v="4"/>
    <x v="3"/>
  </r>
  <r>
    <n v="45418"/>
    <x v="770"/>
    <x v="1"/>
    <x v="0"/>
    <x v="4"/>
    <s v="Blackstonian Pencils"/>
    <n v="6.41"/>
    <n v="3"/>
    <x v="4286"/>
    <x v="4"/>
    <x v="3"/>
  </r>
  <r>
    <n v="45418"/>
    <x v="770"/>
    <x v="1"/>
    <x v="2"/>
    <x v="9"/>
    <s v="ImationÂ Secure+ Hardware Encrypted USB 2.0Â Flash Drive; 16GB"/>
    <n v="408.74"/>
    <n v="7"/>
    <x v="1434"/>
    <x v="4"/>
    <x v="3"/>
  </r>
  <r>
    <n v="45418"/>
    <x v="460"/>
    <x v="20"/>
    <x v="0"/>
    <x v="1"/>
    <s v="Avery 505"/>
    <n v="59.2"/>
    <n v="4"/>
    <x v="4287"/>
    <x v="4"/>
    <x v="3"/>
  </r>
  <r>
    <n v="45418"/>
    <x v="333"/>
    <x v="6"/>
    <x v="0"/>
    <x v="4"/>
    <s v="Dixon Ticonderoga Core-Lock Colored Pencils"/>
    <n v="54.66"/>
    <n v="6"/>
    <x v="4288"/>
    <x v="4"/>
    <x v="3"/>
  </r>
  <r>
    <n v="45418"/>
    <x v="159"/>
    <x v="0"/>
    <x v="0"/>
    <x v="3"/>
    <s v="Avery Durable Poly Binders"/>
    <n v="11.06"/>
    <n v="10"/>
    <x v="4289"/>
    <x v="4"/>
    <x v="3"/>
  </r>
  <r>
    <n v="45418"/>
    <x v="159"/>
    <x v="0"/>
    <x v="1"/>
    <x v="11"/>
    <s v="Sauder Mission Library with Doors, Fruitwood Finish"/>
    <n v="623.46"/>
    <n v="7"/>
    <x v="4290"/>
    <x v="4"/>
    <x v="3"/>
  </r>
  <r>
    <n v="45418"/>
    <x v="159"/>
    <x v="0"/>
    <x v="0"/>
    <x v="2"/>
    <s v="Fellowes Staxonsteel Drawer Files"/>
    <n v="772.68"/>
    <n v="5"/>
    <x v="4291"/>
    <x v="4"/>
    <x v="3"/>
  </r>
  <r>
    <n v="45418"/>
    <x v="2"/>
    <x v="25"/>
    <x v="0"/>
    <x v="3"/>
    <s v="Wilson Jones Century Plastic Molded Ring Binders"/>
    <n v="68.540000000000006"/>
    <n v="11"/>
    <x v="4292"/>
    <x v="4"/>
    <x v="3"/>
  </r>
  <r>
    <n v="45418"/>
    <x v="2"/>
    <x v="25"/>
    <x v="2"/>
    <x v="6"/>
    <s v="GE 30524EE4"/>
    <n v="627.16999999999996"/>
    <n v="4"/>
    <x v="1492"/>
    <x v="4"/>
    <x v="3"/>
  </r>
  <r>
    <n v="45418"/>
    <x v="2"/>
    <x v="25"/>
    <x v="0"/>
    <x v="1"/>
    <s v="Avery 4027 File Folder Labels for Dot Matrix Printers, 5000 Labels per Box, White"/>
    <n v="122.12"/>
    <n v="5"/>
    <x v="1740"/>
    <x v="4"/>
    <x v="3"/>
  </r>
  <r>
    <n v="45418"/>
    <x v="603"/>
    <x v="3"/>
    <x v="0"/>
    <x v="12"/>
    <s v="Eureka The Boss Cordless Rechargeable Stick Vac"/>
    <n v="152.94"/>
    <n v="3"/>
    <x v="2742"/>
    <x v="4"/>
    <x v="3"/>
  </r>
  <r>
    <n v="45418"/>
    <x v="440"/>
    <x v="12"/>
    <x v="0"/>
    <x v="0"/>
    <s v="Xerox 1883"/>
    <n v="84.42"/>
    <n v="4"/>
    <x v="3369"/>
    <x v="4"/>
    <x v="3"/>
  </r>
  <r>
    <n v="45418"/>
    <x v="467"/>
    <x v="1"/>
    <x v="2"/>
    <x v="9"/>
    <s v="Kensington Orbit Wireless Mobile Trackball for PC and Mac"/>
    <n v="191.97"/>
    <n v="4"/>
    <x v="2165"/>
    <x v="4"/>
    <x v="3"/>
  </r>
  <r>
    <n v="45419"/>
    <x v="602"/>
    <x v="14"/>
    <x v="1"/>
    <x v="5"/>
    <s v="Hon 4070 Series Pagoda Armless Upholstered Stacking Chairs"/>
    <n v="1458.65"/>
    <n v="5"/>
    <x v="4293"/>
    <x v="4"/>
    <x v="3"/>
  </r>
  <r>
    <n v="45419"/>
    <x v="602"/>
    <x v="14"/>
    <x v="1"/>
    <x v="5"/>
    <s v="SAFCO Optional Arm Kit for Workspace Cribbage Stacking Chair"/>
    <n v="26.64"/>
    <n v="1"/>
    <x v="3914"/>
    <x v="4"/>
    <x v="3"/>
  </r>
  <r>
    <n v="45419"/>
    <x v="602"/>
    <x v="14"/>
    <x v="1"/>
    <x v="5"/>
    <s v="Safco Contoured Stacking Chairs"/>
    <n v="476.8"/>
    <n v="2"/>
    <x v="4294"/>
    <x v="4"/>
    <x v="3"/>
  </r>
  <r>
    <n v="45419"/>
    <x v="602"/>
    <x v="14"/>
    <x v="0"/>
    <x v="12"/>
    <s v="Belkin Premiere Surge Master II 8-outlet surge protector"/>
    <n v="87.44"/>
    <n v="2"/>
    <x v="3977"/>
    <x v="4"/>
    <x v="3"/>
  </r>
  <r>
    <n v="45419"/>
    <x v="692"/>
    <x v="3"/>
    <x v="2"/>
    <x v="9"/>
    <s v="Logitech G600 MMO Gaming Mouse"/>
    <n v="79.989999999999995"/>
    <n v="1"/>
    <x v="2165"/>
    <x v="4"/>
    <x v="3"/>
  </r>
  <r>
    <n v="45419"/>
    <x v="246"/>
    <x v="3"/>
    <x v="2"/>
    <x v="6"/>
    <s v="Blue Parrot B250XT Professional Grade Wireless BluetoothÂ HeadsetÂ with"/>
    <n v="419.94"/>
    <n v="7"/>
    <x v="428"/>
    <x v="4"/>
    <x v="3"/>
  </r>
  <r>
    <n v="45420"/>
    <x v="496"/>
    <x v="10"/>
    <x v="1"/>
    <x v="5"/>
    <s v="Global Chrome Stack Chair"/>
    <n v="47.99"/>
    <n v="2"/>
    <x v="2383"/>
    <x v="4"/>
    <x v="3"/>
  </r>
  <r>
    <n v="45420"/>
    <x v="577"/>
    <x v="3"/>
    <x v="2"/>
    <x v="16"/>
    <s v="Canon Imageclass D680 Copier / Fax"/>
    <n v="3359.95"/>
    <n v="6"/>
    <x v="4295"/>
    <x v="4"/>
    <x v="3"/>
  </r>
  <r>
    <n v="45420"/>
    <x v="351"/>
    <x v="2"/>
    <x v="1"/>
    <x v="5"/>
    <s v="Global Armless Task Chair, Royal Blue"/>
    <n v="128.06"/>
    <n v="3"/>
    <x v="1869"/>
    <x v="4"/>
    <x v="3"/>
  </r>
  <r>
    <n v="45420"/>
    <x v="147"/>
    <x v="3"/>
    <x v="0"/>
    <x v="12"/>
    <s v="Fellowes Mighty 8 Compact Surge Protector"/>
    <n v="81.08"/>
    <n v="4"/>
    <x v="4296"/>
    <x v="4"/>
    <x v="3"/>
  </r>
  <r>
    <n v="45420"/>
    <x v="290"/>
    <x v="0"/>
    <x v="0"/>
    <x v="0"/>
    <s v="Xerox 1997"/>
    <n v="41.47"/>
    <n v="8"/>
    <x v="598"/>
    <x v="4"/>
    <x v="3"/>
  </r>
  <r>
    <n v="45421"/>
    <x v="91"/>
    <x v="25"/>
    <x v="0"/>
    <x v="10"/>
    <s v="Tyvek  Top-Opening Peel &amp; Seel Envelopes, Plain White"/>
    <n v="65.23"/>
    <n v="3"/>
    <x v="4297"/>
    <x v="4"/>
    <x v="3"/>
  </r>
  <r>
    <n v="45421"/>
    <x v="91"/>
    <x v="25"/>
    <x v="1"/>
    <x v="5"/>
    <s v="Harbour Creations Steel Folding Chair"/>
    <n v="207"/>
    <n v="3"/>
    <x v="2533"/>
    <x v="4"/>
    <x v="3"/>
  </r>
  <r>
    <n v="45421"/>
    <x v="162"/>
    <x v="22"/>
    <x v="0"/>
    <x v="3"/>
    <s v="GBC Velobind Prepunched Cover Sets, Regency Series"/>
    <n v="147.91999999999999"/>
    <n v="5"/>
    <x v="4298"/>
    <x v="4"/>
    <x v="3"/>
  </r>
  <r>
    <n v="45421"/>
    <x v="162"/>
    <x v="22"/>
    <x v="0"/>
    <x v="2"/>
    <s v="Home/Office Personal File Carts"/>
    <n v="104.28"/>
    <n v="3"/>
    <x v="3160"/>
    <x v="4"/>
    <x v="3"/>
  </r>
  <r>
    <n v="45421"/>
    <x v="162"/>
    <x v="22"/>
    <x v="1"/>
    <x v="13"/>
    <s v="Riverside Furniture Oval Coffee Table, Oval End Table, End Table with Drawer"/>
    <n v="286.85000000000002"/>
    <n v="1"/>
    <x v="4299"/>
    <x v="4"/>
    <x v="3"/>
  </r>
  <r>
    <n v="45421"/>
    <x v="162"/>
    <x v="22"/>
    <x v="0"/>
    <x v="2"/>
    <s v="Rogers Profile Extra Capacity Storage Tub"/>
    <n v="66.959999999999994"/>
    <n v="4"/>
    <x v="268"/>
    <x v="4"/>
    <x v="3"/>
  </r>
  <r>
    <n v="45421"/>
    <x v="162"/>
    <x v="22"/>
    <x v="2"/>
    <x v="9"/>
    <s v="Razer Kraken 7.1 Surround Sound Over Ear USB Gaming Headset"/>
    <n v="199.98"/>
    <n v="2"/>
    <x v="4300"/>
    <x v="4"/>
    <x v="3"/>
  </r>
  <r>
    <n v="45423"/>
    <x v="269"/>
    <x v="22"/>
    <x v="0"/>
    <x v="0"/>
    <s v="Ampad Phone Message Book, Recycled, 400 Message Capacity, 5 Â¾Â” x 11Â”"/>
    <n v="37.44"/>
    <n v="6"/>
    <x v="1049"/>
    <x v="4"/>
    <x v="3"/>
  </r>
  <r>
    <n v="45423"/>
    <x v="269"/>
    <x v="22"/>
    <x v="0"/>
    <x v="1"/>
    <s v="Avery 50"/>
    <n v="37.590000000000003"/>
    <n v="3"/>
    <x v="3443"/>
    <x v="4"/>
    <x v="3"/>
  </r>
  <r>
    <n v="45423"/>
    <x v="269"/>
    <x v="22"/>
    <x v="0"/>
    <x v="3"/>
    <s v="Acco Flexible ACCOHIDE Square Ring Data Binder, Dark Blue, 11 1/2&quot; X 14&quot; 7/8&quot;"/>
    <n v="26.03"/>
    <n v="2"/>
    <x v="4301"/>
    <x v="4"/>
    <x v="3"/>
  </r>
  <r>
    <n v="45423"/>
    <x v="488"/>
    <x v="0"/>
    <x v="0"/>
    <x v="4"/>
    <s v="Newell 348"/>
    <n v="5.25"/>
    <n v="2"/>
    <x v="1908"/>
    <x v="4"/>
    <x v="3"/>
  </r>
  <r>
    <n v="45423"/>
    <x v="488"/>
    <x v="0"/>
    <x v="0"/>
    <x v="2"/>
    <s v="Safco Commercial Shelving"/>
    <n v="74.42"/>
    <n v="2"/>
    <x v="4302"/>
    <x v="4"/>
    <x v="3"/>
  </r>
  <r>
    <n v="45423"/>
    <x v="488"/>
    <x v="0"/>
    <x v="0"/>
    <x v="0"/>
    <s v="Xerox 1927"/>
    <n v="6.85"/>
    <n v="2"/>
    <x v="959"/>
    <x v="4"/>
    <x v="3"/>
  </r>
  <r>
    <n v="45423"/>
    <x v="488"/>
    <x v="0"/>
    <x v="1"/>
    <x v="8"/>
    <s v="Telescoping Adjustable Floor Lamp"/>
    <n v="8"/>
    <n v="1"/>
    <x v="4303"/>
    <x v="4"/>
    <x v="3"/>
  </r>
  <r>
    <n v="45423"/>
    <x v="477"/>
    <x v="12"/>
    <x v="1"/>
    <x v="11"/>
    <s v="Bestar Classic Bookcase"/>
    <n v="209.98"/>
    <n v="7"/>
    <x v="4304"/>
    <x v="4"/>
    <x v="3"/>
  </r>
  <r>
    <n v="45423"/>
    <x v="456"/>
    <x v="20"/>
    <x v="0"/>
    <x v="4"/>
    <s v="Panasonic KP-4ABK Battery-Operated Pencil Sharpener"/>
    <n v="43.92"/>
    <n v="3"/>
    <x v="56"/>
    <x v="4"/>
    <x v="3"/>
  </r>
  <r>
    <n v="45424"/>
    <x v="296"/>
    <x v="0"/>
    <x v="0"/>
    <x v="2"/>
    <s v="Fellowes Bankers Box Stor/Drawer Steel Plus"/>
    <n v="127.92"/>
    <n v="5"/>
    <x v="3723"/>
    <x v="4"/>
    <x v="3"/>
  </r>
  <r>
    <n v="45424"/>
    <x v="296"/>
    <x v="0"/>
    <x v="0"/>
    <x v="3"/>
    <s v="Wilson Jones Elliptical Ring 3 1/2&quot; Capacity Binders, 800 sheets"/>
    <n v="34.24"/>
    <n v="4"/>
    <x v="4305"/>
    <x v="4"/>
    <x v="3"/>
  </r>
  <r>
    <n v="45424"/>
    <x v="74"/>
    <x v="32"/>
    <x v="0"/>
    <x v="0"/>
    <s v="TOPS Carbonless Receipt Book, Four 2-3/4 x 7-1/4 Money Receipts per Page"/>
    <n v="87.6"/>
    <n v="5"/>
    <x v="2083"/>
    <x v="4"/>
    <x v="3"/>
  </r>
  <r>
    <n v="45424"/>
    <x v="425"/>
    <x v="10"/>
    <x v="0"/>
    <x v="4"/>
    <s v="Newell 347"/>
    <n v="10.27"/>
    <n v="3"/>
    <x v="1513"/>
    <x v="4"/>
    <x v="3"/>
  </r>
  <r>
    <n v="45424"/>
    <x v="345"/>
    <x v="3"/>
    <x v="0"/>
    <x v="14"/>
    <s v="Compact Automatic Electric Letter Opener"/>
    <n v="238.62"/>
    <n v="2"/>
    <x v="105"/>
    <x v="4"/>
    <x v="3"/>
  </r>
  <r>
    <n v="45424"/>
    <x v="345"/>
    <x v="3"/>
    <x v="0"/>
    <x v="12"/>
    <s v="Hoover Commercial Soft Guard Upright Vacuum And Disposable Filtration Bags"/>
    <n v="7.77"/>
    <n v="1"/>
    <x v="2266"/>
    <x v="4"/>
    <x v="3"/>
  </r>
  <r>
    <n v="45424"/>
    <x v="345"/>
    <x v="3"/>
    <x v="1"/>
    <x v="13"/>
    <s v="Lesro Sheffield Collection Coffee Table, End Table, Center Table, Corner Table"/>
    <n v="285.48"/>
    <n v="5"/>
    <x v="4306"/>
    <x v="4"/>
    <x v="3"/>
  </r>
  <r>
    <n v="45424"/>
    <x v="345"/>
    <x v="3"/>
    <x v="0"/>
    <x v="3"/>
    <s v="DXL Angle-View Binders with Locking Rings, Black"/>
    <n v="19.170000000000002"/>
    <n v="4"/>
    <x v="257"/>
    <x v="4"/>
    <x v="3"/>
  </r>
  <r>
    <n v="45424"/>
    <x v="657"/>
    <x v="10"/>
    <x v="0"/>
    <x v="1"/>
    <s v="Avery 501"/>
    <n v="5.9"/>
    <n v="2"/>
    <x v="1380"/>
    <x v="4"/>
    <x v="3"/>
  </r>
  <r>
    <n v="45424"/>
    <x v="273"/>
    <x v="23"/>
    <x v="1"/>
    <x v="8"/>
    <s v="DAX Cubicle Frames, 8-1/2 x 11"/>
    <n v="42.85"/>
    <n v="5"/>
    <x v="4307"/>
    <x v="4"/>
    <x v="3"/>
  </r>
  <r>
    <n v="45424"/>
    <x v="273"/>
    <x v="23"/>
    <x v="0"/>
    <x v="1"/>
    <s v="Smead Alpha-Z Color-Coded Second Alphabetical Labels and Starter Set"/>
    <n v="6.16"/>
    <n v="2"/>
    <x v="1057"/>
    <x v="4"/>
    <x v="3"/>
  </r>
  <r>
    <n v="45424"/>
    <x v="273"/>
    <x v="23"/>
    <x v="0"/>
    <x v="14"/>
    <s v="Acme Titanium Bonded Scissors"/>
    <n v="17"/>
    <n v="2"/>
    <x v="955"/>
    <x v="4"/>
    <x v="3"/>
  </r>
  <r>
    <n v="45424"/>
    <x v="273"/>
    <x v="23"/>
    <x v="2"/>
    <x v="9"/>
    <s v="Maxell Pro 80 Minute CD-R, 10/Pack"/>
    <n v="87.4"/>
    <n v="5"/>
    <x v="2772"/>
    <x v="4"/>
    <x v="3"/>
  </r>
  <r>
    <n v="45425"/>
    <x v="237"/>
    <x v="3"/>
    <x v="0"/>
    <x v="1"/>
    <s v="Self-Adhesive Address Labels for Typewriters by Universal"/>
    <n v="58.48"/>
    <n v="8"/>
    <x v="868"/>
    <x v="4"/>
    <x v="3"/>
  </r>
  <r>
    <n v="45425"/>
    <x v="291"/>
    <x v="18"/>
    <x v="0"/>
    <x v="10"/>
    <s v="Tyvek Side-Opening Peel &amp; Seel Expanding Envelopes"/>
    <n v="180.96"/>
    <n v="2"/>
    <x v="1859"/>
    <x v="4"/>
    <x v="3"/>
  </r>
  <r>
    <n v="45425"/>
    <x v="291"/>
    <x v="18"/>
    <x v="0"/>
    <x v="3"/>
    <s v="Ibico Hi-Tech Manual Binding System"/>
    <n v="914.97"/>
    <n v="3"/>
    <x v="4308"/>
    <x v="4"/>
    <x v="3"/>
  </r>
  <r>
    <n v="45425"/>
    <x v="291"/>
    <x v="18"/>
    <x v="2"/>
    <x v="6"/>
    <s v="Plantronics Calisto P620-M USB Wireless Speakerphone System"/>
    <n v="587.97"/>
    <n v="3"/>
    <x v="4309"/>
    <x v="4"/>
    <x v="3"/>
  </r>
  <r>
    <n v="45425"/>
    <x v="291"/>
    <x v="18"/>
    <x v="0"/>
    <x v="2"/>
    <s v="Tennsco 6- and 18-Compartment Lockers"/>
    <n v="530.34"/>
    <n v="2"/>
    <x v="4310"/>
    <x v="4"/>
    <x v="3"/>
  </r>
  <r>
    <n v="45425"/>
    <x v="291"/>
    <x v="18"/>
    <x v="0"/>
    <x v="0"/>
    <s v="Hammermill CopyPlus Copy Paper (20Lb. and 84 Bright)"/>
    <n v="14.94"/>
    <n v="3"/>
    <x v="4311"/>
    <x v="4"/>
    <x v="3"/>
  </r>
  <r>
    <n v="45425"/>
    <x v="249"/>
    <x v="7"/>
    <x v="0"/>
    <x v="3"/>
    <s v="GBC Twin Loop Wire Binding Elements"/>
    <n v="299.52"/>
    <n v="9"/>
    <x v="4312"/>
    <x v="4"/>
    <x v="3"/>
  </r>
  <r>
    <n v="45425"/>
    <x v="136"/>
    <x v="15"/>
    <x v="0"/>
    <x v="12"/>
    <s v="Fellowes Basic Home/Office Series Surge Protectors"/>
    <n v="20.77"/>
    <n v="2"/>
    <x v="115"/>
    <x v="4"/>
    <x v="3"/>
  </r>
  <r>
    <n v="45425"/>
    <x v="772"/>
    <x v="2"/>
    <x v="1"/>
    <x v="5"/>
    <s v="Office Star - Mesh Screen back chair with Vinyl seat"/>
    <n v="458.43"/>
    <n v="5"/>
    <x v="4313"/>
    <x v="4"/>
    <x v="3"/>
  </r>
  <r>
    <n v="45426"/>
    <x v="137"/>
    <x v="3"/>
    <x v="1"/>
    <x v="8"/>
    <s v="Eldon Stackable Tray, Side-Load, Legal, Smoke"/>
    <n v="18.28"/>
    <n v="2"/>
    <x v="113"/>
    <x v="4"/>
    <x v="3"/>
  </r>
  <r>
    <n v="45426"/>
    <x v="137"/>
    <x v="3"/>
    <x v="2"/>
    <x v="9"/>
    <s v="Razer Tiamat Over Ear 7.1 Surround Sound PC Gaming Headset"/>
    <n v="1399.93"/>
    <n v="7"/>
    <x v="2517"/>
    <x v="4"/>
    <x v="3"/>
  </r>
  <r>
    <n v="45426"/>
    <x v="67"/>
    <x v="29"/>
    <x v="0"/>
    <x v="10"/>
    <s v="Fashion Color Clasp Envelopes"/>
    <n v="48.69"/>
    <n v="9"/>
    <x v="4314"/>
    <x v="4"/>
    <x v="3"/>
  </r>
  <r>
    <n v="45426"/>
    <x v="596"/>
    <x v="20"/>
    <x v="2"/>
    <x v="6"/>
    <s v="Google Nexus 5"/>
    <n v="539.97"/>
    <n v="3"/>
    <x v="4315"/>
    <x v="4"/>
    <x v="3"/>
  </r>
  <r>
    <n v="45426"/>
    <x v="596"/>
    <x v="20"/>
    <x v="0"/>
    <x v="2"/>
    <s v="X-Rack File for Hanging Folders"/>
    <n v="22.58"/>
    <n v="2"/>
    <x v="1243"/>
    <x v="4"/>
    <x v="3"/>
  </r>
  <r>
    <n v="45426"/>
    <x v="127"/>
    <x v="22"/>
    <x v="0"/>
    <x v="0"/>
    <s v="Xerox 1917"/>
    <n v="440.19"/>
    <n v="9"/>
    <x v="4316"/>
    <x v="4"/>
    <x v="3"/>
  </r>
  <r>
    <n v="45426"/>
    <x v="127"/>
    <x v="22"/>
    <x v="0"/>
    <x v="14"/>
    <s v="Martin-Yale Premier Letter Opener"/>
    <n v="64.400000000000006"/>
    <n v="5"/>
    <x v="2201"/>
    <x v="4"/>
    <x v="3"/>
  </r>
  <r>
    <n v="45426"/>
    <x v="217"/>
    <x v="0"/>
    <x v="1"/>
    <x v="5"/>
    <s v="Global Commerce Series Low-Back Swivel/Tilt Chairs"/>
    <n v="899.43"/>
    <n v="5"/>
    <x v="4081"/>
    <x v="4"/>
    <x v="3"/>
  </r>
  <r>
    <n v="45426"/>
    <x v="217"/>
    <x v="0"/>
    <x v="0"/>
    <x v="4"/>
    <s v="Newell 309"/>
    <n v="46.2"/>
    <n v="5"/>
    <x v="436"/>
    <x v="4"/>
    <x v="3"/>
  </r>
  <r>
    <n v="45426"/>
    <x v="217"/>
    <x v="0"/>
    <x v="0"/>
    <x v="0"/>
    <s v="Xerox 1936"/>
    <n v="47.95"/>
    <n v="3"/>
    <x v="1806"/>
    <x v="4"/>
    <x v="3"/>
  </r>
  <r>
    <n v="45426"/>
    <x v="217"/>
    <x v="0"/>
    <x v="2"/>
    <x v="6"/>
    <s v="PayAnywhere Card Reader"/>
    <n v="7.99"/>
    <n v="1"/>
    <x v="2929"/>
    <x v="4"/>
    <x v="3"/>
  </r>
  <r>
    <n v="45426"/>
    <x v="217"/>
    <x v="0"/>
    <x v="0"/>
    <x v="0"/>
    <s v="Xerox 1937"/>
    <n v="76.86"/>
    <n v="2"/>
    <x v="3143"/>
    <x v="4"/>
    <x v="3"/>
  </r>
  <r>
    <n v="45426"/>
    <x v="8"/>
    <x v="36"/>
    <x v="0"/>
    <x v="4"/>
    <s v="OIC #2 Pencils, Medium Soft"/>
    <n v="3.76"/>
    <n v="2"/>
    <x v="570"/>
    <x v="4"/>
    <x v="3"/>
  </r>
  <r>
    <n v="45426"/>
    <x v="8"/>
    <x v="36"/>
    <x v="0"/>
    <x v="4"/>
    <s v="Prang Colored Pencils"/>
    <n v="14.7"/>
    <n v="5"/>
    <x v="168"/>
    <x v="4"/>
    <x v="3"/>
  </r>
  <r>
    <n v="45426"/>
    <x v="8"/>
    <x v="36"/>
    <x v="0"/>
    <x v="4"/>
    <s v="Eberhard Faber 3 1/2&quot; Golf Pencils"/>
    <n v="37.200000000000003"/>
    <n v="5"/>
    <x v="282"/>
    <x v="4"/>
    <x v="3"/>
  </r>
  <r>
    <n v="45426"/>
    <x v="8"/>
    <x v="36"/>
    <x v="2"/>
    <x v="9"/>
    <s v="Belkin F8E887 USB Wired Ergonomic Keyboard"/>
    <n v="89.97"/>
    <n v="3"/>
    <x v="1219"/>
    <x v="4"/>
    <x v="3"/>
  </r>
  <r>
    <n v="45426"/>
    <x v="8"/>
    <x v="36"/>
    <x v="1"/>
    <x v="5"/>
    <s v="Office Star - Contemporary Task Swivel chair with Loop Arms, Charcoal"/>
    <n v="261.95999999999998"/>
    <n v="2"/>
    <x v="4317"/>
    <x v="4"/>
    <x v="3"/>
  </r>
  <r>
    <n v="45426"/>
    <x v="8"/>
    <x v="36"/>
    <x v="0"/>
    <x v="1"/>
    <s v="Avery 505"/>
    <n v="74"/>
    <n v="5"/>
    <x v="4318"/>
    <x v="4"/>
    <x v="3"/>
  </r>
  <r>
    <n v="45426"/>
    <x v="0"/>
    <x v="10"/>
    <x v="0"/>
    <x v="3"/>
    <s v="Premium Transparent Presentation Covers, No Pattern/Clear, 8 1/2&quot; x 11&quot;"/>
    <n v="58.17"/>
    <n v="5"/>
    <x v="4319"/>
    <x v="4"/>
    <x v="3"/>
  </r>
  <r>
    <n v="45426"/>
    <x v="0"/>
    <x v="10"/>
    <x v="0"/>
    <x v="1"/>
    <s v="Avery 502"/>
    <n v="5.04"/>
    <n v="2"/>
    <x v="1406"/>
    <x v="4"/>
    <x v="3"/>
  </r>
  <r>
    <n v="45426"/>
    <x v="0"/>
    <x v="10"/>
    <x v="0"/>
    <x v="0"/>
    <s v="Xerox 19"/>
    <n v="24.78"/>
    <n v="1"/>
    <x v="3813"/>
    <x v="4"/>
    <x v="3"/>
  </r>
  <r>
    <n v="45427"/>
    <x v="409"/>
    <x v="12"/>
    <x v="2"/>
    <x v="6"/>
    <s v="Logitech B530 USBÂ HeadsetÂ -Â headsetÂ - Full size, Binaural"/>
    <n v="29.59"/>
    <n v="1"/>
    <x v="3360"/>
    <x v="4"/>
    <x v="3"/>
  </r>
  <r>
    <n v="45427"/>
    <x v="409"/>
    <x v="12"/>
    <x v="0"/>
    <x v="3"/>
    <s v="Avery Durable Slant Ring Binders"/>
    <n v="4.75"/>
    <n v="2"/>
    <x v="2838"/>
    <x v="4"/>
    <x v="3"/>
  </r>
  <r>
    <n v="45427"/>
    <x v="409"/>
    <x v="12"/>
    <x v="0"/>
    <x v="0"/>
    <s v="Universal Ultra Bright White Copier/Laser Paper, 8 1/2&quot; x 11&quot;, Ream"/>
    <n v="15.55"/>
    <n v="3"/>
    <x v="1291"/>
    <x v="4"/>
    <x v="3"/>
  </r>
  <r>
    <n v="45427"/>
    <x v="80"/>
    <x v="22"/>
    <x v="1"/>
    <x v="8"/>
    <s v="24-Hour Round Wall Clock"/>
    <n v="39.96"/>
    <n v="2"/>
    <x v="4320"/>
    <x v="4"/>
    <x v="3"/>
  </r>
  <r>
    <n v="45427"/>
    <x v="80"/>
    <x v="22"/>
    <x v="1"/>
    <x v="5"/>
    <s v="SAFCO Optional Arm Kit for Workspace Cribbage Stacking Chair"/>
    <n v="42.62"/>
    <n v="2"/>
    <x v="738"/>
    <x v="4"/>
    <x v="3"/>
  </r>
  <r>
    <n v="45427"/>
    <x v="80"/>
    <x v="22"/>
    <x v="1"/>
    <x v="5"/>
    <s v="SAFCO Arco Folding Chair"/>
    <n v="220.96"/>
    <n v="1"/>
    <x v="3348"/>
    <x v="4"/>
    <x v="3"/>
  </r>
  <r>
    <n v="45427"/>
    <x v="448"/>
    <x v="1"/>
    <x v="0"/>
    <x v="0"/>
    <s v="Xerox 1880"/>
    <n v="56.7"/>
    <n v="2"/>
    <x v="2153"/>
    <x v="4"/>
    <x v="3"/>
  </r>
  <r>
    <n v="45427"/>
    <x v="448"/>
    <x v="1"/>
    <x v="2"/>
    <x v="6"/>
    <s v="QVS USB Car Charger 2-Port 2.1Amp for iPod/iPhone/iPad/iPad 2/iPad 3"/>
    <n v="11.12"/>
    <n v="2"/>
    <x v="994"/>
    <x v="4"/>
    <x v="3"/>
  </r>
  <r>
    <n v="45428"/>
    <x v="522"/>
    <x v="10"/>
    <x v="0"/>
    <x v="2"/>
    <s v="SAFCO Commercial Wire Shelving, Black"/>
    <n v="221.02"/>
    <n v="2"/>
    <x v="1868"/>
    <x v="4"/>
    <x v="3"/>
  </r>
  <r>
    <n v="45430"/>
    <x v="248"/>
    <x v="2"/>
    <x v="2"/>
    <x v="9"/>
    <s v="KeyTronicÂ KT800P2 -Â KeyboardÂ - Black"/>
    <n v="36.049999999999997"/>
    <n v="3"/>
    <x v="4321"/>
    <x v="4"/>
    <x v="3"/>
  </r>
  <r>
    <n v="45430"/>
    <x v="18"/>
    <x v="20"/>
    <x v="1"/>
    <x v="8"/>
    <s v="Master Caster Door Stop, Large Neon Orange"/>
    <n v="14.56"/>
    <n v="2"/>
    <x v="963"/>
    <x v="4"/>
    <x v="3"/>
  </r>
  <r>
    <n v="45430"/>
    <x v="18"/>
    <x v="20"/>
    <x v="0"/>
    <x v="3"/>
    <s v="Acco Pressboard Covers with Storage Hooks, 9 1/2&quot; x 11&quot;, Executive Red"/>
    <n v="3.05"/>
    <n v="1"/>
    <x v="812"/>
    <x v="4"/>
    <x v="3"/>
  </r>
  <r>
    <n v="45430"/>
    <x v="113"/>
    <x v="0"/>
    <x v="0"/>
    <x v="3"/>
    <s v="Acco Pressboard Covers with Storage Hooks, 14 7/8&quot; x 11&quot;, Light Blue"/>
    <n v="6.87"/>
    <n v="7"/>
    <x v="4322"/>
    <x v="4"/>
    <x v="3"/>
  </r>
  <r>
    <n v="45430"/>
    <x v="113"/>
    <x v="0"/>
    <x v="0"/>
    <x v="3"/>
    <s v="Avery Framed View Binder, EZD Ring (Locking), Navy, 1 1/2&quot;"/>
    <n v="2"/>
    <n v="1"/>
    <x v="4323"/>
    <x v="4"/>
    <x v="3"/>
  </r>
  <r>
    <n v="45430"/>
    <x v="113"/>
    <x v="0"/>
    <x v="0"/>
    <x v="2"/>
    <s v="Plastic Stacking Crates &amp; Casters"/>
    <n v="8.93"/>
    <n v="2"/>
    <x v="1494"/>
    <x v="4"/>
    <x v="3"/>
  </r>
  <r>
    <n v="45430"/>
    <x v="735"/>
    <x v="4"/>
    <x v="0"/>
    <x v="12"/>
    <s v="Acco Six-Outlet Power Strip, 4' Cord Length"/>
    <n v="17.239999999999998"/>
    <n v="2"/>
    <x v="1611"/>
    <x v="4"/>
    <x v="3"/>
  </r>
  <r>
    <n v="45430"/>
    <x v="735"/>
    <x v="4"/>
    <x v="1"/>
    <x v="11"/>
    <s v="Hon 4-Shelf Metal Bookcases"/>
    <n v="302.94"/>
    <n v="3"/>
    <x v="4324"/>
    <x v="4"/>
    <x v="3"/>
  </r>
  <r>
    <n v="45430"/>
    <x v="735"/>
    <x v="4"/>
    <x v="2"/>
    <x v="6"/>
    <s v="QVS USB Car Charger 2-Port 2.1Amp for iPod/iPhone/iPad/iPad 2/iPad 3"/>
    <n v="34.75"/>
    <n v="5"/>
    <x v="854"/>
    <x v="4"/>
    <x v="3"/>
  </r>
  <r>
    <n v="45430"/>
    <x v="735"/>
    <x v="4"/>
    <x v="0"/>
    <x v="3"/>
    <s v="Poly Designer Cover &amp; Back"/>
    <n v="113.94"/>
    <n v="6"/>
    <x v="3493"/>
    <x v="4"/>
    <x v="3"/>
  </r>
  <r>
    <n v="45430"/>
    <x v="735"/>
    <x v="4"/>
    <x v="2"/>
    <x v="6"/>
    <s v="Apple EarPods with Remote and Mic"/>
    <n v="55.98"/>
    <n v="2"/>
    <x v="4325"/>
    <x v="4"/>
    <x v="3"/>
  </r>
  <r>
    <n v="45430"/>
    <x v="579"/>
    <x v="11"/>
    <x v="2"/>
    <x v="6"/>
    <s v="Aastra 6757i CT Wireless VoIP phone"/>
    <n v="344.7"/>
    <n v="2"/>
    <x v="2529"/>
    <x v="4"/>
    <x v="3"/>
  </r>
  <r>
    <n v="45430"/>
    <x v="367"/>
    <x v="24"/>
    <x v="0"/>
    <x v="12"/>
    <s v="Avanti 1.7 Cu. Ft. Refrigerator"/>
    <n v="706.86"/>
    <n v="7"/>
    <x v="3310"/>
    <x v="4"/>
    <x v="3"/>
  </r>
  <r>
    <n v="45430"/>
    <x v="367"/>
    <x v="24"/>
    <x v="2"/>
    <x v="6"/>
    <s v="Motorola HK250 Universal Bluetooth Headset"/>
    <n v="114.95"/>
    <n v="5"/>
    <x v="2889"/>
    <x v="4"/>
    <x v="3"/>
  </r>
  <r>
    <n v="45430"/>
    <x v="367"/>
    <x v="24"/>
    <x v="0"/>
    <x v="3"/>
    <s v="Universal Recycled Hanging Pressboard Report Binders, Letter Size"/>
    <n v="43.19"/>
    <n v="7"/>
    <x v="2660"/>
    <x v="4"/>
    <x v="3"/>
  </r>
  <r>
    <n v="45430"/>
    <x v="688"/>
    <x v="1"/>
    <x v="1"/>
    <x v="8"/>
    <s v="Flat Face Poster Frame"/>
    <n v="22.61"/>
    <n v="3"/>
    <x v="3106"/>
    <x v="4"/>
    <x v="3"/>
  </r>
  <r>
    <n v="45430"/>
    <x v="688"/>
    <x v="1"/>
    <x v="1"/>
    <x v="8"/>
    <s v="C-Line Cubicle Keepers Polyproplyene Holder With Velcro Backings"/>
    <n v="1.89"/>
    <n v="1"/>
    <x v="4251"/>
    <x v="4"/>
    <x v="3"/>
  </r>
  <r>
    <n v="45431"/>
    <x v="372"/>
    <x v="22"/>
    <x v="0"/>
    <x v="12"/>
    <s v="Belkin Premiere Surge Master II 8-outlet surge protector"/>
    <n v="97.16"/>
    <n v="2"/>
    <x v="4326"/>
    <x v="4"/>
    <x v="3"/>
  </r>
  <r>
    <n v="45431"/>
    <x v="138"/>
    <x v="20"/>
    <x v="0"/>
    <x v="12"/>
    <s v="Bionaire Personal Warm Mist Humidifier/Vaporizer"/>
    <n v="281.33999999999997"/>
    <n v="6"/>
    <x v="1280"/>
    <x v="4"/>
    <x v="3"/>
  </r>
  <r>
    <n v="45431"/>
    <x v="138"/>
    <x v="20"/>
    <x v="2"/>
    <x v="6"/>
    <s v="Nortel Meridian M3904 Professional Digital phone"/>
    <n v="307.98"/>
    <n v="2"/>
    <x v="2169"/>
    <x v="4"/>
    <x v="3"/>
  </r>
  <r>
    <n v="45431"/>
    <x v="138"/>
    <x v="20"/>
    <x v="2"/>
    <x v="9"/>
    <s v="Logitech Wireless Performance Mouse MX for PC and Mac"/>
    <n v="299.97000000000003"/>
    <n v="3"/>
    <x v="4327"/>
    <x v="4"/>
    <x v="3"/>
  </r>
  <r>
    <n v="45431"/>
    <x v="59"/>
    <x v="4"/>
    <x v="2"/>
    <x v="9"/>
    <s v="Kingston Digital DataTraveler 32GB USB 2.0"/>
    <n v="67.8"/>
    <n v="4"/>
    <x v="403"/>
    <x v="4"/>
    <x v="3"/>
  </r>
  <r>
    <n v="45431"/>
    <x v="59"/>
    <x v="4"/>
    <x v="2"/>
    <x v="6"/>
    <s v="Nokia Lumia 925"/>
    <n v="377.97"/>
    <n v="3"/>
    <x v="4328"/>
    <x v="4"/>
    <x v="3"/>
  </r>
  <r>
    <n v="45431"/>
    <x v="59"/>
    <x v="4"/>
    <x v="1"/>
    <x v="11"/>
    <s v="O'Sullivan 2-Door Barrister Bookcase in Odessa Pine"/>
    <n v="1628.82"/>
    <n v="9"/>
    <x v="4329"/>
    <x v="4"/>
    <x v="3"/>
  </r>
  <r>
    <n v="45431"/>
    <x v="59"/>
    <x v="4"/>
    <x v="0"/>
    <x v="0"/>
    <s v="Xerox 1945"/>
    <n v="286.93"/>
    <n v="7"/>
    <x v="4103"/>
    <x v="4"/>
    <x v="3"/>
  </r>
  <r>
    <n v="45431"/>
    <x v="288"/>
    <x v="3"/>
    <x v="1"/>
    <x v="5"/>
    <s v="Situations Contoured Folding Chairs, 4/Set"/>
    <n v="681.41"/>
    <n v="12"/>
    <x v="2699"/>
    <x v="4"/>
    <x v="3"/>
  </r>
  <r>
    <n v="45431"/>
    <x v="288"/>
    <x v="3"/>
    <x v="0"/>
    <x v="4"/>
    <s v="Newell 310"/>
    <n v="3.52"/>
    <n v="2"/>
    <x v="2708"/>
    <x v="4"/>
    <x v="3"/>
  </r>
  <r>
    <n v="45431"/>
    <x v="288"/>
    <x v="3"/>
    <x v="0"/>
    <x v="4"/>
    <s v="Newell 314"/>
    <n v="5.58"/>
    <n v="1"/>
    <x v="3352"/>
    <x v="4"/>
    <x v="3"/>
  </r>
  <r>
    <n v="45431"/>
    <x v="288"/>
    <x v="3"/>
    <x v="2"/>
    <x v="9"/>
    <s v="SanDisk Cruzer 64 GB USB Flash Drive"/>
    <n v="36.32"/>
    <n v="1"/>
    <x v="2325"/>
    <x v="4"/>
    <x v="3"/>
  </r>
  <r>
    <n v="45431"/>
    <x v="405"/>
    <x v="4"/>
    <x v="0"/>
    <x v="0"/>
    <s v="Tops White Computer Printout Paper"/>
    <n v="195.64"/>
    <n v="4"/>
    <x v="1602"/>
    <x v="4"/>
    <x v="3"/>
  </r>
  <r>
    <n v="45431"/>
    <x v="225"/>
    <x v="1"/>
    <x v="0"/>
    <x v="0"/>
    <s v="Things To Do Today Spiral Book"/>
    <n v="38.020000000000003"/>
    <n v="6"/>
    <x v="4330"/>
    <x v="4"/>
    <x v="3"/>
  </r>
  <r>
    <n v="45431"/>
    <x v="80"/>
    <x v="0"/>
    <x v="2"/>
    <x v="6"/>
    <s v="Jabra Supreme Plus Driver EditionÂ Headset"/>
    <n v="95.99"/>
    <n v="1"/>
    <x v="665"/>
    <x v="4"/>
    <x v="3"/>
  </r>
  <r>
    <n v="45431"/>
    <x v="80"/>
    <x v="0"/>
    <x v="0"/>
    <x v="1"/>
    <s v="Avery 491"/>
    <n v="13.22"/>
    <n v="4"/>
    <x v="3071"/>
    <x v="4"/>
    <x v="3"/>
  </r>
  <r>
    <n v="45431"/>
    <x v="512"/>
    <x v="15"/>
    <x v="1"/>
    <x v="5"/>
    <s v="Office Star - Mesh Screen back chair with Vinyl seat"/>
    <n v="314.35000000000002"/>
    <n v="3"/>
    <x v="230"/>
    <x v="4"/>
    <x v="3"/>
  </r>
  <r>
    <n v="45431"/>
    <x v="512"/>
    <x v="15"/>
    <x v="0"/>
    <x v="0"/>
    <s v="Xerox 1949"/>
    <n v="27.89"/>
    <n v="7"/>
    <x v="4331"/>
    <x v="4"/>
    <x v="3"/>
  </r>
  <r>
    <n v="45431"/>
    <x v="52"/>
    <x v="3"/>
    <x v="0"/>
    <x v="3"/>
    <s v="GBC Twin Loop Wire Binding Elements"/>
    <n v="133.12"/>
    <n v="5"/>
    <x v="4332"/>
    <x v="4"/>
    <x v="3"/>
  </r>
  <r>
    <n v="45431"/>
    <x v="37"/>
    <x v="33"/>
    <x v="0"/>
    <x v="3"/>
    <s v="Wilson Jones Four-Pocket Poly Binders"/>
    <n v="26.16"/>
    <n v="4"/>
    <x v="3061"/>
    <x v="4"/>
    <x v="3"/>
  </r>
  <r>
    <n v="45432"/>
    <x v="115"/>
    <x v="47"/>
    <x v="0"/>
    <x v="4"/>
    <s v="Boston 1645 Deluxe Heavier-Duty Electric Pencil Sharpener"/>
    <n v="131.94"/>
    <n v="3"/>
    <x v="3410"/>
    <x v="4"/>
    <x v="3"/>
  </r>
  <r>
    <n v="45432"/>
    <x v="115"/>
    <x v="47"/>
    <x v="0"/>
    <x v="4"/>
    <s v="BIC Brite Liner Highlighters, Chisel Tip"/>
    <n v="25.92"/>
    <n v="4"/>
    <x v="1384"/>
    <x v="4"/>
    <x v="3"/>
  </r>
  <r>
    <n v="45432"/>
    <x v="115"/>
    <x v="47"/>
    <x v="0"/>
    <x v="2"/>
    <s v="Fellowes High-Stak Drawer Files"/>
    <n v="704.76"/>
    <n v="4"/>
    <x v="4333"/>
    <x v="4"/>
    <x v="3"/>
  </r>
  <r>
    <n v="45432"/>
    <x v="115"/>
    <x v="47"/>
    <x v="0"/>
    <x v="7"/>
    <s v="Staples"/>
    <n v="7.41"/>
    <n v="3"/>
    <x v="994"/>
    <x v="4"/>
    <x v="3"/>
  </r>
  <r>
    <n v="45432"/>
    <x v="115"/>
    <x v="47"/>
    <x v="0"/>
    <x v="4"/>
    <s v="Binney &amp; Smith inkTank Desk Highlighter, Chisel Tip, Yellow, 12/Box"/>
    <n v="21.5"/>
    <n v="10"/>
    <x v="2908"/>
    <x v="4"/>
    <x v="3"/>
  </r>
  <r>
    <n v="45432"/>
    <x v="684"/>
    <x v="3"/>
    <x v="1"/>
    <x v="5"/>
    <s v="Global Geo Office Task Chair, Gray"/>
    <n v="518.27"/>
    <n v="8"/>
    <x v="4334"/>
    <x v="4"/>
    <x v="3"/>
  </r>
  <r>
    <n v="45432"/>
    <x v="684"/>
    <x v="3"/>
    <x v="1"/>
    <x v="8"/>
    <s v="G.E. Halogen Desk Lamp Bulbs"/>
    <n v="6.98"/>
    <n v="1"/>
    <x v="318"/>
    <x v="4"/>
    <x v="3"/>
  </r>
  <r>
    <n v="45432"/>
    <x v="684"/>
    <x v="3"/>
    <x v="2"/>
    <x v="15"/>
    <s v="Okidata B400 Printer"/>
    <n v="343.2"/>
    <n v="1"/>
    <x v="4335"/>
    <x v="4"/>
    <x v="3"/>
  </r>
  <r>
    <n v="45432"/>
    <x v="444"/>
    <x v="14"/>
    <x v="0"/>
    <x v="3"/>
    <s v="Square Ring Data Binders, Rigid 75 Pt. Covers, 11&quot; x 14-7/8&quot;"/>
    <n v="41.28"/>
    <n v="2"/>
    <x v="3826"/>
    <x v="4"/>
    <x v="3"/>
  </r>
  <r>
    <n v="45432"/>
    <x v="247"/>
    <x v="17"/>
    <x v="0"/>
    <x v="3"/>
    <s v="Wilson Jones Impact Binders"/>
    <n v="8.2899999999999991"/>
    <n v="2"/>
    <x v="1559"/>
    <x v="4"/>
    <x v="3"/>
  </r>
  <r>
    <n v="45432"/>
    <x v="247"/>
    <x v="17"/>
    <x v="2"/>
    <x v="6"/>
    <s v="Motorola L703CM"/>
    <n v="1123.1300000000001"/>
    <n v="9"/>
    <x v="374"/>
    <x v="4"/>
    <x v="3"/>
  </r>
  <r>
    <n v="45432"/>
    <x v="247"/>
    <x v="17"/>
    <x v="0"/>
    <x v="12"/>
    <s v="Fellowes Basic Home/Office Series Surge Protectors"/>
    <n v="64.900000000000006"/>
    <n v="5"/>
    <x v="4336"/>
    <x v="4"/>
    <x v="3"/>
  </r>
  <r>
    <n v="45433"/>
    <x v="130"/>
    <x v="20"/>
    <x v="1"/>
    <x v="8"/>
    <s v="Luxo Professional Magnifying Clamp-On Fluorescent Lamps"/>
    <n v="520.04999999999995"/>
    <n v="5"/>
    <x v="4337"/>
    <x v="4"/>
    <x v="3"/>
  </r>
  <r>
    <n v="45433"/>
    <x v="130"/>
    <x v="20"/>
    <x v="0"/>
    <x v="4"/>
    <s v="Bulldog Table or Wall-Mount Pencil Sharpener"/>
    <n v="17.97"/>
    <n v="3"/>
    <x v="4338"/>
    <x v="4"/>
    <x v="3"/>
  </r>
  <r>
    <n v="45434"/>
    <x v="224"/>
    <x v="1"/>
    <x v="1"/>
    <x v="5"/>
    <s v="High-Back Leather Manager's Chair"/>
    <n v="181.99"/>
    <n v="2"/>
    <x v="1644"/>
    <x v="4"/>
    <x v="3"/>
  </r>
  <r>
    <n v="45434"/>
    <x v="224"/>
    <x v="1"/>
    <x v="0"/>
    <x v="3"/>
    <s v="Avery Durable Slant Ring Binders, No Labels"/>
    <n v="1.59"/>
    <n v="2"/>
    <x v="458"/>
    <x v="4"/>
    <x v="3"/>
  </r>
  <r>
    <n v="45434"/>
    <x v="224"/>
    <x v="1"/>
    <x v="0"/>
    <x v="14"/>
    <s v="Acme Forged Steel Scissors with Black Enamel Handles"/>
    <n v="22.34"/>
    <n v="3"/>
    <x v="368"/>
    <x v="4"/>
    <x v="3"/>
  </r>
  <r>
    <n v="45434"/>
    <x v="281"/>
    <x v="3"/>
    <x v="2"/>
    <x v="9"/>
    <s v="Maxell 74 Minute CDR, 10/Pack"/>
    <n v="68.459999999999994"/>
    <n v="7"/>
    <x v="4339"/>
    <x v="4"/>
    <x v="3"/>
  </r>
  <r>
    <n v="45434"/>
    <x v="556"/>
    <x v="3"/>
    <x v="0"/>
    <x v="4"/>
    <s v="SANFORD Major Accent Highlighters"/>
    <n v="49.56"/>
    <n v="7"/>
    <x v="4340"/>
    <x v="4"/>
    <x v="3"/>
  </r>
  <r>
    <n v="45434"/>
    <x v="58"/>
    <x v="3"/>
    <x v="0"/>
    <x v="4"/>
    <s v="Newell 350"/>
    <n v="9.84"/>
    <n v="3"/>
    <x v="1029"/>
    <x v="4"/>
    <x v="3"/>
  </r>
  <r>
    <n v="45434"/>
    <x v="58"/>
    <x v="3"/>
    <x v="0"/>
    <x v="4"/>
    <s v="Newell 333"/>
    <n v="2.78"/>
    <n v="1"/>
    <x v="2223"/>
    <x v="4"/>
    <x v="3"/>
  </r>
  <r>
    <n v="45435"/>
    <x v="6"/>
    <x v="3"/>
    <x v="1"/>
    <x v="13"/>
    <s v="Lesro Sheffield Collection Coffee Table, End Table, Center Table, Corner Table"/>
    <n v="171.29"/>
    <n v="3"/>
    <x v="4341"/>
    <x v="4"/>
    <x v="3"/>
  </r>
  <r>
    <n v="45435"/>
    <x v="318"/>
    <x v="0"/>
    <x v="0"/>
    <x v="7"/>
    <s v="OIC Thumb-Tacks"/>
    <n v="1.82"/>
    <n v="2"/>
    <x v="4342"/>
    <x v="4"/>
    <x v="3"/>
  </r>
  <r>
    <n v="45435"/>
    <x v="318"/>
    <x v="0"/>
    <x v="0"/>
    <x v="12"/>
    <s v="Acco 6 Outlet Guardian Premium Plus Surge Suppressor"/>
    <n v="18.32"/>
    <n v="5"/>
    <x v="4343"/>
    <x v="4"/>
    <x v="3"/>
  </r>
  <r>
    <n v="45435"/>
    <x v="318"/>
    <x v="0"/>
    <x v="0"/>
    <x v="2"/>
    <s v="Tennsco Commercial Shelving"/>
    <n v="48.82"/>
    <n v="3"/>
    <x v="3609"/>
    <x v="4"/>
    <x v="3"/>
  </r>
  <r>
    <n v="45435"/>
    <x v="318"/>
    <x v="0"/>
    <x v="0"/>
    <x v="3"/>
    <s v="Storex Dura Pro Binders"/>
    <n v="1.19"/>
    <n v="1"/>
    <x v="4344"/>
    <x v="4"/>
    <x v="3"/>
  </r>
  <r>
    <n v="45437"/>
    <x v="772"/>
    <x v="4"/>
    <x v="0"/>
    <x v="3"/>
    <s v="Recycled Easel Ring Binders"/>
    <n v="29.84"/>
    <n v="2"/>
    <x v="970"/>
    <x v="4"/>
    <x v="3"/>
  </r>
  <r>
    <n v="45437"/>
    <x v="335"/>
    <x v="20"/>
    <x v="0"/>
    <x v="3"/>
    <s v="GBC DocuBind P100 Manual Binding Machine"/>
    <n v="663.92"/>
    <n v="5"/>
    <x v="4345"/>
    <x v="4"/>
    <x v="3"/>
  </r>
  <r>
    <n v="45437"/>
    <x v="335"/>
    <x v="20"/>
    <x v="2"/>
    <x v="9"/>
    <s v="ImationÂ 8gb Micro Traveldrive Usb 2.0Â Flash Drive"/>
    <n v="120"/>
    <n v="8"/>
    <x v="966"/>
    <x v="4"/>
    <x v="3"/>
  </r>
  <r>
    <n v="45437"/>
    <x v="335"/>
    <x v="20"/>
    <x v="0"/>
    <x v="7"/>
    <s v="Acco Hot Clips Clips to Go"/>
    <n v="3.29"/>
    <n v="1"/>
    <x v="9"/>
    <x v="4"/>
    <x v="3"/>
  </r>
  <r>
    <n v="45437"/>
    <x v="335"/>
    <x v="20"/>
    <x v="1"/>
    <x v="8"/>
    <s v="Eldon 200 Class Desk Accessories"/>
    <n v="18.84"/>
    <n v="3"/>
    <x v="1175"/>
    <x v="4"/>
    <x v="3"/>
  </r>
  <r>
    <n v="45437"/>
    <x v="506"/>
    <x v="0"/>
    <x v="0"/>
    <x v="2"/>
    <s v="Iris 3-Drawer Stacking Bin, Black"/>
    <n v="50.14"/>
    <n v="3"/>
    <x v="4346"/>
    <x v="4"/>
    <x v="3"/>
  </r>
  <r>
    <n v="45438"/>
    <x v="566"/>
    <x v="5"/>
    <x v="0"/>
    <x v="12"/>
    <s v="Belkin 8-Outlet Premiere SurgeMaster II Surge Protectors"/>
    <n v="208.44"/>
    <n v="3"/>
    <x v="4347"/>
    <x v="4"/>
    <x v="3"/>
  </r>
  <r>
    <n v="45438"/>
    <x v="566"/>
    <x v="5"/>
    <x v="0"/>
    <x v="14"/>
    <s v="Martin-Yale Premier Letter Opener"/>
    <n v="25.76"/>
    <n v="2"/>
    <x v="4260"/>
    <x v="4"/>
    <x v="3"/>
  </r>
  <r>
    <n v="45438"/>
    <x v="240"/>
    <x v="6"/>
    <x v="2"/>
    <x v="9"/>
    <s v="Verbatim Slim CD and DVD Storage Cases, 50/Pack"/>
    <n v="23.08"/>
    <n v="2"/>
    <x v="1028"/>
    <x v="4"/>
    <x v="3"/>
  </r>
  <r>
    <n v="45438"/>
    <x v="101"/>
    <x v="3"/>
    <x v="0"/>
    <x v="0"/>
    <s v="Xerox 201"/>
    <n v="12.96"/>
    <n v="2"/>
    <x v="113"/>
    <x v="4"/>
    <x v="3"/>
  </r>
  <r>
    <n v="45439"/>
    <x v="233"/>
    <x v="5"/>
    <x v="0"/>
    <x v="3"/>
    <s v="Binding Machine Supplies"/>
    <n v="58.34"/>
    <n v="2"/>
    <x v="3305"/>
    <x v="4"/>
    <x v="3"/>
  </r>
  <r>
    <n v="45439"/>
    <x v="233"/>
    <x v="5"/>
    <x v="2"/>
    <x v="6"/>
    <s v="Google Nexus 5"/>
    <n v="539.97"/>
    <n v="3"/>
    <x v="4315"/>
    <x v="4"/>
    <x v="3"/>
  </r>
  <r>
    <n v="45439"/>
    <x v="281"/>
    <x v="15"/>
    <x v="0"/>
    <x v="0"/>
    <s v="Xerox 2"/>
    <n v="25.92"/>
    <n v="5"/>
    <x v="278"/>
    <x v="4"/>
    <x v="3"/>
  </r>
  <r>
    <n v="45439"/>
    <x v="132"/>
    <x v="22"/>
    <x v="2"/>
    <x v="9"/>
    <s v="Logitech Desktop MK120 Mouse and keyboard Combo"/>
    <n v="98.16"/>
    <n v="6"/>
    <x v="1199"/>
    <x v="4"/>
    <x v="3"/>
  </r>
  <r>
    <n v="45439"/>
    <x v="132"/>
    <x v="22"/>
    <x v="0"/>
    <x v="4"/>
    <s v="Staples in misc. colors"/>
    <n v="31.44"/>
    <n v="3"/>
    <x v="4348"/>
    <x v="4"/>
    <x v="3"/>
  </r>
  <r>
    <n v="45439"/>
    <x v="229"/>
    <x v="34"/>
    <x v="1"/>
    <x v="8"/>
    <s v="Eldon 400 Class Desk Accessories, Black Carbon"/>
    <n v="35"/>
    <n v="4"/>
    <x v="4349"/>
    <x v="4"/>
    <x v="3"/>
  </r>
  <r>
    <n v="45439"/>
    <x v="229"/>
    <x v="34"/>
    <x v="0"/>
    <x v="2"/>
    <s v="Fellowes Stor/Drawer Steel Plus Storage Drawers"/>
    <n v="477.15"/>
    <n v="5"/>
    <x v="4350"/>
    <x v="4"/>
    <x v="3"/>
  </r>
  <r>
    <n v="45439"/>
    <x v="229"/>
    <x v="34"/>
    <x v="2"/>
    <x v="6"/>
    <s v="Nokia Lumia 925"/>
    <n v="302.38"/>
    <n v="3"/>
    <x v="248"/>
    <x v="4"/>
    <x v="3"/>
  </r>
  <r>
    <n v="45439"/>
    <x v="416"/>
    <x v="39"/>
    <x v="1"/>
    <x v="8"/>
    <s v="Electrix Architect's Clamp-On Swing Arm Lamp, Black"/>
    <n v="477.3"/>
    <n v="5"/>
    <x v="4351"/>
    <x v="4"/>
    <x v="3"/>
  </r>
  <r>
    <n v="45439"/>
    <x v="620"/>
    <x v="25"/>
    <x v="2"/>
    <x v="9"/>
    <s v="Sony 8GB Class 10 Micro SDHC R40 Memory Card"/>
    <n v="27.19"/>
    <n v="3"/>
    <x v="2809"/>
    <x v="4"/>
    <x v="3"/>
  </r>
  <r>
    <n v="45439"/>
    <x v="620"/>
    <x v="25"/>
    <x v="0"/>
    <x v="3"/>
    <s v="Fellowes Twister Kit, Gray/Clear, 3/pkg"/>
    <n v="12.06"/>
    <n v="5"/>
    <x v="137"/>
    <x v="4"/>
    <x v="3"/>
  </r>
  <r>
    <n v="45440"/>
    <x v="99"/>
    <x v="9"/>
    <x v="1"/>
    <x v="5"/>
    <s v="Novimex Swivel Fabric Task Chair"/>
    <n v="301.95999999999998"/>
    <n v="2"/>
    <x v="3789"/>
    <x v="4"/>
    <x v="3"/>
  </r>
  <r>
    <n v="45440"/>
    <x v="657"/>
    <x v="0"/>
    <x v="2"/>
    <x v="6"/>
    <s v="Spigen Samsung Galaxy S5 Case Wallet"/>
    <n v="54.37"/>
    <n v="4"/>
    <x v="562"/>
    <x v="4"/>
    <x v="3"/>
  </r>
  <r>
    <n v="45440"/>
    <x v="604"/>
    <x v="38"/>
    <x v="1"/>
    <x v="8"/>
    <s v="Advantus Employee of the Month Certificate Frame, 11 x 13-1/2"/>
    <n v="247.44"/>
    <n v="8"/>
    <x v="4352"/>
    <x v="4"/>
    <x v="3"/>
  </r>
  <r>
    <n v="45440"/>
    <x v="495"/>
    <x v="1"/>
    <x v="1"/>
    <x v="5"/>
    <s v="Global Task Chair, Black"/>
    <n v="106.87"/>
    <n v="3"/>
    <x v="4353"/>
    <x v="4"/>
    <x v="3"/>
  </r>
  <r>
    <n v="45440"/>
    <x v="495"/>
    <x v="1"/>
    <x v="0"/>
    <x v="3"/>
    <s v="Storex Dura Pro Binders"/>
    <n v="3.56"/>
    <n v="3"/>
    <x v="1987"/>
    <x v="4"/>
    <x v="3"/>
  </r>
  <r>
    <n v="45440"/>
    <x v="507"/>
    <x v="12"/>
    <x v="2"/>
    <x v="6"/>
    <s v="Panasonic KX TS208W Corded phone"/>
    <n v="195.96"/>
    <n v="5"/>
    <x v="4354"/>
    <x v="4"/>
    <x v="3"/>
  </r>
  <r>
    <n v="45440"/>
    <x v="507"/>
    <x v="12"/>
    <x v="0"/>
    <x v="0"/>
    <s v="Xerox 230"/>
    <n v="15.55"/>
    <n v="3"/>
    <x v="192"/>
    <x v="4"/>
    <x v="3"/>
  </r>
  <r>
    <n v="45440"/>
    <x v="507"/>
    <x v="12"/>
    <x v="2"/>
    <x v="9"/>
    <s v="LogitechÂ Gaming G510s - Keyboard"/>
    <n v="271.97000000000003"/>
    <n v="4"/>
    <x v="4355"/>
    <x v="4"/>
    <x v="3"/>
  </r>
  <r>
    <n v="45440"/>
    <x v="548"/>
    <x v="36"/>
    <x v="1"/>
    <x v="8"/>
    <s v="DAX Wood Document Frame"/>
    <n v="27.46"/>
    <n v="2"/>
    <x v="385"/>
    <x v="4"/>
    <x v="3"/>
  </r>
  <r>
    <n v="45440"/>
    <x v="548"/>
    <x v="36"/>
    <x v="0"/>
    <x v="12"/>
    <s v="Fellowes 8 Outlet Superior Workstation Surge Protector"/>
    <n v="125.13"/>
    <n v="3"/>
    <x v="992"/>
    <x v="4"/>
    <x v="3"/>
  </r>
  <r>
    <n v="45440"/>
    <x v="450"/>
    <x v="10"/>
    <x v="0"/>
    <x v="0"/>
    <s v="HP Office Recycled Paper (20Lb. and 87 Bright)"/>
    <n v="13.87"/>
    <n v="3"/>
    <x v="1766"/>
    <x v="4"/>
    <x v="3"/>
  </r>
  <r>
    <n v="45440"/>
    <x v="450"/>
    <x v="10"/>
    <x v="1"/>
    <x v="11"/>
    <s v="Bush Westfield Collection Bookcases, Medium Cherry Finish"/>
    <n v="115.96"/>
    <n v="4"/>
    <x v="4356"/>
    <x v="4"/>
    <x v="3"/>
  </r>
  <r>
    <n v="45441"/>
    <x v="606"/>
    <x v="0"/>
    <x v="0"/>
    <x v="0"/>
    <s v="Xerox 1930"/>
    <n v="25.92"/>
    <n v="5"/>
    <x v="3222"/>
    <x v="4"/>
    <x v="3"/>
  </r>
  <r>
    <n v="45441"/>
    <x v="606"/>
    <x v="0"/>
    <x v="0"/>
    <x v="2"/>
    <s v="File Shuttle I and Handi-File"/>
    <n v="53.42"/>
    <n v="3"/>
    <x v="1444"/>
    <x v="4"/>
    <x v="3"/>
  </r>
  <r>
    <n v="45441"/>
    <x v="742"/>
    <x v="0"/>
    <x v="1"/>
    <x v="8"/>
    <s v="Eldon Executive Woodline II Cherry Finish Desk Accessories"/>
    <n v="65.42"/>
    <n v="4"/>
    <x v="1482"/>
    <x v="4"/>
    <x v="3"/>
  </r>
  <r>
    <n v="45441"/>
    <x v="618"/>
    <x v="40"/>
    <x v="0"/>
    <x v="7"/>
    <s v="Plymouth Boxed Rubber Bands by Plymouth"/>
    <n v="23.55"/>
    <n v="5"/>
    <x v="1212"/>
    <x v="4"/>
    <x v="3"/>
  </r>
  <r>
    <n v="45441"/>
    <x v="505"/>
    <x v="18"/>
    <x v="0"/>
    <x v="3"/>
    <s v="Satellite Sectional Post Binders"/>
    <n v="43.41"/>
    <n v="1"/>
    <x v="613"/>
    <x v="4"/>
    <x v="3"/>
  </r>
  <r>
    <n v="45441"/>
    <x v="505"/>
    <x v="18"/>
    <x v="1"/>
    <x v="8"/>
    <s v="Eldon Wave Desk Accessories"/>
    <n v="6.24"/>
    <n v="3"/>
    <x v="557"/>
    <x v="4"/>
    <x v="3"/>
  </r>
  <r>
    <n v="45441"/>
    <x v="505"/>
    <x v="18"/>
    <x v="0"/>
    <x v="12"/>
    <s v="Hoover Commercial Lightweight Upright Vacuum with E-Z Empty Dirt Cup"/>
    <n v="465.16"/>
    <n v="2"/>
    <x v="4125"/>
    <x v="4"/>
    <x v="3"/>
  </r>
  <r>
    <n v="45441"/>
    <x v="505"/>
    <x v="18"/>
    <x v="0"/>
    <x v="0"/>
    <s v="Adams Telephone Message Book w/Frequently-Called Numbers Space, 400 Messages per Book"/>
    <n v="7.98"/>
    <n v="1"/>
    <x v="211"/>
    <x v="4"/>
    <x v="3"/>
  </r>
  <r>
    <n v="45442"/>
    <x v="664"/>
    <x v="8"/>
    <x v="1"/>
    <x v="11"/>
    <s v="Sauder Camden County Barrister Bookcase, Planked Cherry Finish"/>
    <n v="241.96"/>
    <n v="2"/>
    <x v="4357"/>
    <x v="4"/>
    <x v="3"/>
  </r>
  <r>
    <n v="45442"/>
    <x v="664"/>
    <x v="8"/>
    <x v="0"/>
    <x v="3"/>
    <s v="Avery Binder Labels"/>
    <n v="3.89"/>
    <n v="1"/>
    <x v="2461"/>
    <x v="4"/>
    <x v="3"/>
  </r>
  <r>
    <n v="45442"/>
    <x v="664"/>
    <x v="8"/>
    <x v="1"/>
    <x v="8"/>
    <s v="Acrylic Self-Standing Desk Frames"/>
    <n v="8.01"/>
    <n v="3"/>
    <x v="602"/>
    <x v="4"/>
    <x v="3"/>
  </r>
  <r>
    <n v="45442"/>
    <x v="588"/>
    <x v="11"/>
    <x v="2"/>
    <x v="6"/>
    <s v="LG G3"/>
    <n v="156.79"/>
    <n v="1"/>
    <x v="2551"/>
    <x v="4"/>
    <x v="3"/>
  </r>
  <r>
    <n v="45442"/>
    <x v="588"/>
    <x v="11"/>
    <x v="2"/>
    <x v="9"/>
    <s v="SanDisk Ultra 32 GB MicroSDHC Class 10 Memory Card"/>
    <n v="35.36"/>
    <n v="2"/>
    <x v="2512"/>
    <x v="4"/>
    <x v="3"/>
  </r>
  <r>
    <n v="45442"/>
    <x v="588"/>
    <x v="11"/>
    <x v="1"/>
    <x v="8"/>
    <s v="Tensor Brushed Steel Torchiere Floor Lamp"/>
    <n v="13.59"/>
    <n v="1"/>
    <x v="1900"/>
    <x v="4"/>
    <x v="3"/>
  </r>
  <r>
    <n v="45442"/>
    <x v="436"/>
    <x v="3"/>
    <x v="0"/>
    <x v="0"/>
    <s v="Rediform S.O.S. 1-Up Phone Message Bk, 4-1/4x3-1/16 Bk, 1 Form/Pg, 40 Messages/Bk, 3/Pk"/>
    <n v="37.520000000000003"/>
    <n v="4"/>
    <x v="3415"/>
    <x v="4"/>
    <x v="3"/>
  </r>
  <r>
    <n v="45442"/>
    <x v="73"/>
    <x v="0"/>
    <x v="1"/>
    <x v="11"/>
    <s v="Atlantic Metals Mobile 5-Shelf Bookcases, Custom Colors"/>
    <n v="204.67"/>
    <n v="1"/>
    <x v="809"/>
    <x v="4"/>
    <x v="3"/>
  </r>
  <r>
    <n v="45442"/>
    <x v="75"/>
    <x v="3"/>
    <x v="0"/>
    <x v="4"/>
    <s v="Dixon My First Ticonderoga Pencil, #2"/>
    <n v="35.1"/>
    <n v="6"/>
    <x v="4358"/>
    <x v="4"/>
    <x v="3"/>
  </r>
  <r>
    <n v="45444"/>
    <x v="323"/>
    <x v="10"/>
    <x v="0"/>
    <x v="12"/>
    <s v="Eureka Sanitaire  Multi-Pro Heavy-Duty Upright, Disposable Bags"/>
    <n v="17.48"/>
    <n v="5"/>
    <x v="660"/>
    <x v="5"/>
    <x v="3"/>
  </r>
  <r>
    <n v="45444"/>
    <x v="681"/>
    <x v="10"/>
    <x v="0"/>
    <x v="3"/>
    <s v="Cardinal HOLDit! Binder Insert Strips,Extra Strips"/>
    <n v="3.8"/>
    <n v="2"/>
    <x v="4359"/>
    <x v="5"/>
    <x v="3"/>
  </r>
  <r>
    <n v="45444"/>
    <x v="681"/>
    <x v="10"/>
    <x v="0"/>
    <x v="0"/>
    <s v="Xerox 1924"/>
    <n v="27.74"/>
    <n v="6"/>
    <x v="3554"/>
    <x v="5"/>
    <x v="3"/>
  </r>
  <r>
    <n v="45444"/>
    <x v="681"/>
    <x v="10"/>
    <x v="2"/>
    <x v="6"/>
    <s v="Panasonic KX-TG6844B Expandable Digital Cordless Telephone"/>
    <n v="158.38"/>
    <n v="4"/>
    <x v="4360"/>
    <x v="5"/>
    <x v="3"/>
  </r>
  <r>
    <n v="45444"/>
    <x v="755"/>
    <x v="40"/>
    <x v="0"/>
    <x v="3"/>
    <s v="GBC Standard Recycled Report Covers, Clear Plastic Sheets"/>
    <n v="53.9"/>
    <n v="5"/>
    <x v="4361"/>
    <x v="5"/>
    <x v="3"/>
  </r>
  <r>
    <n v="45444"/>
    <x v="220"/>
    <x v="2"/>
    <x v="0"/>
    <x v="2"/>
    <s v="Tennsco Stur-D-Stor Boltless Shelving, 5 Shelves, 24&quot; Deep, Sand"/>
    <n v="324.74"/>
    <n v="3"/>
    <x v="4362"/>
    <x v="5"/>
    <x v="3"/>
  </r>
  <r>
    <n v="45444"/>
    <x v="698"/>
    <x v="18"/>
    <x v="1"/>
    <x v="5"/>
    <s v="Hon 4070 Series Pagoda Round Back Stacking Chairs"/>
    <n v="1925.88"/>
    <n v="6"/>
    <x v="4363"/>
    <x v="5"/>
    <x v="3"/>
  </r>
  <r>
    <n v="45444"/>
    <x v="698"/>
    <x v="18"/>
    <x v="0"/>
    <x v="12"/>
    <s v="Honeywell Enviracaire Portable HEPA Air Cleaner for 17' x 22' Room"/>
    <n v="2405.1999999999998"/>
    <n v="8"/>
    <x v="4364"/>
    <x v="5"/>
    <x v="3"/>
  </r>
  <r>
    <n v="45444"/>
    <x v="698"/>
    <x v="18"/>
    <x v="2"/>
    <x v="9"/>
    <s v="MaxellÂ LTO Ultrium - 800 GB"/>
    <n v="83.97"/>
    <n v="3"/>
    <x v="3109"/>
    <x v="5"/>
    <x v="3"/>
  </r>
  <r>
    <n v="45444"/>
    <x v="698"/>
    <x v="18"/>
    <x v="2"/>
    <x v="9"/>
    <s v="LogitechÂ MX Performance Wireless Mouse"/>
    <n v="39.89"/>
    <n v="1"/>
    <x v="878"/>
    <x v="5"/>
    <x v="3"/>
  </r>
  <r>
    <n v="45444"/>
    <x v="698"/>
    <x v="18"/>
    <x v="0"/>
    <x v="3"/>
    <s v="Cardinal Slant-D Ring Binders"/>
    <n v="17.38"/>
    <n v="2"/>
    <x v="1061"/>
    <x v="5"/>
    <x v="3"/>
  </r>
  <r>
    <n v="45445"/>
    <x v="314"/>
    <x v="10"/>
    <x v="2"/>
    <x v="6"/>
    <s v="Cush Cases Heavy Duty Rugged Cover Case for Samsung Galaxy S5 - Purple"/>
    <n v="2.97"/>
    <n v="1"/>
    <x v="4365"/>
    <x v="5"/>
    <x v="3"/>
  </r>
  <r>
    <n v="45445"/>
    <x v="314"/>
    <x v="10"/>
    <x v="0"/>
    <x v="2"/>
    <s v="Advantus Rolling Storage Box"/>
    <n v="27.44"/>
    <n v="2"/>
    <x v="426"/>
    <x v="5"/>
    <x v="3"/>
  </r>
  <r>
    <n v="45445"/>
    <x v="445"/>
    <x v="12"/>
    <x v="0"/>
    <x v="0"/>
    <s v="Xerox 4200 Series MultiUse Premium Copy Paper (20Lb. and 84 Bright)"/>
    <n v="25.34"/>
    <n v="6"/>
    <x v="1271"/>
    <x v="5"/>
    <x v="3"/>
  </r>
  <r>
    <n v="45445"/>
    <x v="445"/>
    <x v="12"/>
    <x v="0"/>
    <x v="10"/>
    <s v="Manila Recycled Extra-Heavyweight Clasp Envelopes, 6&quot; x 9&quot;"/>
    <n v="43.92"/>
    <n v="5"/>
    <x v="240"/>
    <x v="5"/>
    <x v="3"/>
  </r>
  <r>
    <n v="45445"/>
    <x v="178"/>
    <x v="25"/>
    <x v="0"/>
    <x v="0"/>
    <s v="Things To Do Today Spiral Book"/>
    <n v="25.34"/>
    <n v="4"/>
    <x v="3138"/>
    <x v="5"/>
    <x v="3"/>
  </r>
  <r>
    <n v="45445"/>
    <x v="628"/>
    <x v="0"/>
    <x v="0"/>
    <x v="0"/>
    <s v="Xerox 1977"/>
    <n v="10.69"/>
    <n v="2"/>
    <x v="1048"/>
    <x v="5"/>
    <x v="3"/>
  </r>
  <r>
    <n v="45446"/>
    <x v="252"/>
    <x v="15"/>
    <x v="1"/>
    <x v="8"/>
    <s v="Eldon 200 Class Desk Accessories, Burgundy"/>
    <n v="35.17"/>
    <n v="7"/>
    <x v="1369"/>
    <x v="5"/>
    <x v="3"/>
  </r>
  <r>
    <n v="45446"/>
    <x v="186"/>
    <x v="22"/>
    <x v="2"/>
    <x v="9"/>
    <s v="Plantronics Audio 995 Wireless Stereo Headset"/>
    <n v="1099.5"/>
    <n v="10"/>
    <x v="1059"/>
    <x v="5"/>
    <x v="3"/>
  </r>
  <r>
    <n v="45446"/>
    <x v="531"/>
    <x v="3"/>
    <x v="2"/>
    <x v="9"/>
    <s v="Kingston Digital DataTraveler 16GB USB 2.0"/>
    <n v="44.75"/>
    <n v="5"/>
    <x v="838"/>
    <x v="5"/>
    <x v="3"/>
  </r>
  <r>
    <n v="45446"/>
    <x v="531"/>
    <x v="3"/>
    <x v="0"/>
    <x v="0"/>
    <s v="Xerox 1947"/>
    <n v="11.96"/>
    <n v="2"/>
    <x v="1907"/>
    <x v="5"/>
    <x v="3"/>
  </r>
  <r>
    <n v="45446"/>
    <x v="531"/>
    <x v="3"/>
    <x v="0"/>
    <x v="3"/>
    <s v="UniKeep View Case Binders"/>
    <n v="3.91"/>
    <n v="1"/>
    <x v="818"/>
    <x v="5"/>
    <x v="3"/>
  </r>
  <r>
    <n v="45446"/>
    <x v="245"/>
    <x v="16"/>
    <x v="0"/>
    <x v="3"/>
    <s v="Wilson Jones Standard D-Ring Binders"/>
    <n v="4.55"/>
    <n v="3"/>
    <x v="4366"/>
    <x v="5"/>
    <x v="3"/>
  </r>
  <r>
    <n v="45446"/>
    <x v="245"/>
    <x v="16"/>
    <x v="0"/>
    <x v="12"/>
    <s v="Bravo II Megaboss 12-Amp Hard Body Upright, Replacement Belts, 2 Belts per Pack"/>
    <n v="5.2"/>
    <n v="2"/>
    <x v="1908"/>
    <x v="5"/>
    <x v="3"/>
  </r>
  <r>
    <n v="45446"/>
    <x v="245"/>
    <x v="16"/>
    <x v="2"/>
    <x v="9"/>
    <s v="LogitechÂ P710e Mobile Speakerphone"/>
    <n v="205.99"/>
    <n v="1"/>
    <x v="2282"/>
    <x v="5"/>
    <x v="3"/>
  </r>
  <r>
    <n v="45446"/>
    <x v="245"/>
    <x v="16"/>
    <x v="0"/>
    <x v="0"/>
    <s v="Xerox 206"/>
    <n v="15.55"/>
    <n v="3"/>
    <x v="192"/>
    <x v="5"/>
    <x v="3"/>
  </r>
  <r>
    <n v="45446"/>
    <x v="245"/>
    <x v="16"/>
    <x v="2"/>
    <x v="6"/>
    <s v="VTech DS6151"/>
    <n v="503.96"/>
    <n v="5"/>
    <x v="780"/>
    <x v="5"/>
    <x v="3"/>
  </r>
  <r>
    <n v="45446"/>
    <x v="245"/>
    <x v="16"/>
    <x v="0"/>
    <x v="12"/>
    <s v="Eureka Sanitaire  Multi-Pro Heavy-Duty Upright, Disposable Bags"/>
    <n v="24.47"/>
    <n v="7"/>
    <x v="4367"/>
    <x v="5"/>
    <x v="3"/>
  </r>
  <r>
    <n v="45446"/>
    <x v="245"/>
    <x v="16"/>
    <x v="1"/>
    <x v="11"/>
    <s v="Bush Mission Pointe Library"/>
    <n v="241.57"/>
    <n v="2"/>
    <x v="62"/>
    <x v="5"/>
    <x v="3"/>
  </r>
  <r>
    <n v="45446"/>
    <x v="245"/>
    <x v="16"/>
    <x v="2"/>
    <x v="9"/>
    <s v="WD My Passport Ultra 1TB Portable External Hard Drive"/>
    <n v="110.4"/>
    <n v="2"/>
    <x v="4368"/>
    <x v="5"/>
    <x v="3"/>
  </r>
  <r>
    <n v="45446"/>
    <x v="549"/>
    <x v="20"/>
    <x v="1"/>
    <x v="13"/>
    <s v="Chromcraft 48&quot; x 96&quot; Racetrack Double Pedestal Table"/>
    <n v="384.77"/>
    <n v="2"/>
    <x v="4369"/>
    <x v="5"/>
    <x v="3"/>
  </r>
  <r>
    <n v="45446"/>
    <x v="549"/>
    <x v="20"/>
    <x v="2"/>
    <x v="15"/>
    <s v="Hewlett-Packard 300S Scientific Calculator"/>
    <n v="78.66"/>
    <n v="6"/>
    <x v="708"/>
    <x v="5"/>
    <x v="3"/>
  </r>
  <r>
    <n v="45446"/>
    <x v="549"/>
    <x v="20"/>
    <x v="0"/>
    <x v="0"/>
    <s v="Xerox 188"/>
    <n v="45.36"/>
    <n v="4"/>
    <x v="4370"/>
    <x v="5"/>
    <x v="3"/>
  </r>
  <r>
    <n v="45446"/>
    <x v="690"/>
    <x v="22"/>
    <x v="0"/>
    <x v="2"/>
    <s v="Eldon Gobal File Keepers"/>
    <n v="136.26"/>
    <n v="9"/>
    <x v="1027"/>
    <x v="5"/>
    <x v="3"/>
  </r>
  <r>
    <n v="45447"/>
    <x v="754"/>
    <x v="25"/>
    <x v="1"/>
    <x v="8"/>
    <s v="Telescoping Adjustable Floor Lamp"/>
    <n v="31.98"/>
    <n v="2"/>
    <x v="866"/>
    <x v="5"/>
    <x v="3"/>
  </r>
  <r>
    <n v="45447"/>
    <x v="754"/>
    <x v="25"/>
    <x v="2"/>
    <x v="6"/>
    <s v="Innergie mMini Combo Duo USB Travel Charging Kit"/>
    <n v="71.98"/>
    <n v="2"/>
    <x v="3781"/>
    <x v="5"/>
    <x v="3"/>
  </r>
  <r>
    <n v="45447"/>
    <x v="284"/>
    <x v="33"/>
    <x v="0"/>
    <x v="0"/>
    <s v="Ampad Phone Message Book, Recycled, 400 Message Capacity, 5 Â¾Â” x 11Â”"/>
    <n v="12.48"/>
    <n v="2"/>
    <x v="3297"/>
    <x v="5"/>
    <x v="3"/>
  </r>
  <r>
    <n v="45447"/>
    <x v="189"/>
    <x v="28"/>
    <x v="0"/>
    <x v="4"/>
    <s v="Newell 346"/>
    <n v="8.64"/>
    <n v="3"/>
    <x v="368"/>
    <x v="5"/>
    <x v="3"/>
  </r>
  <r>
    <n v="45447"/>
    <x v="783"/>
    <x v="0"/>
    <x v="0"/>
    <x v="3"/>
    <s v="Presstex Flexible Ring Binders"/>
    <n v="6.37"/>
    <n v="7"/>
    <x v="2036"/>
    <x v="5"/>
    <x v="3"/>
  </r>
  <r>
    <n v="45447"/>
    <x v="200"/>
    <x v="13"/>
    <x v="0"/>
    <x v="3"/>
    <s v="GBC VeloBind Cover Sets"/>
    <n v="108.08"/>
    <n v="7"/>
    <x v="4371"/>
    <x v="5"/>
    <x v="3"/>
  </r>
  <r>
    <n v="45447"/>
    <x v="200"/>
    <x v="13"/>
    <x v="0"/>
    <x v="3"/>
    <s v="Insertable Tab Indexes For Data Binders"/>
    <n v="9.5399999999999991"/>
    <n v="3"/>
    <x v="652"/>
    <x v="5"/>
    <x v="3"/>
  </r>
  <r>
    <n v="45447"/>
    <x v="313"/>
    <x v="0"/>
    <x v="1"/>
    <x v="8"/>
    <s v="Nu-Dell Executive Frame"/>
    <n v="30.34"/>
    <n v="6"/>
    <x v="4372"/>
    <x v="5"/>
    <x v="3"/>
  </r>
  <r>
    <n v="45448"/>
    <x v="579"/>
    <x v="0"/>
    <x v="2"/>
    <x v="6"/>
    <s v="LG G3"/>
    <n v="470.38"/>
    <n v="3"/>
    <x v="4373"/>
    <x v="5"/>
    <x v="3"/>
  </r>
  <r>
    <n v="45448"/>
    <x v="270"/>
    <x v="16"/>
    <x v="0"/>
    <x v="0"/>
    <s v="Xerox 227"/>
    <n v="20.74"/>
    <n v="4"/>
    <x v="416"/>
    <x v="5"/>
    <x v="3"/>
  </r>
  <r>
    <n v="45449"/>
    <x v="292"/>
    <x v="3"/>
    <x v="1"/>
    <x v="8"/>
    <s v="Eldon 300 Class Desk Accessories, Black"/>
    <n v="4.95"/>
    <n v="1"/>
    <x v="614"/>
    <x v="5"/>
    <x v="3"/>
  </r>
  <r>
    <n v="45449"/>
    <x v="292"/>
    <x v="3"/>
    <x v="0"/>
    <x v="2"/>
    <s v="Sterilite Show Offs Storage Containers"/>
    <n v="26.4"/>
    <n v="5"/>
    <x v="62"/>
    <x v="5"/>
    <x v="3"/>
  </r>
  <r>
    <n v="45451"/>
    <x v="112"/>
    <x v="0"/>
    <x v="0"/>
    <x v="12"/>
    <s v="Eureka Disposable Bags for Sanitaire Vibra Groomer I Upright Vac"/>
    <n v="1.62"/>
    <n v="2"/>
    <x v="4374"/>
    <x v="5"/>
    <x v="3"/>
  </r>
  <r>
    <n v="45451"/>
    <x v="495"/>
    <x v="0"/>
    <x v="0"/>
    <x v="14"/>
    <s v="Acme Tagit Stainless Steel Antibacterial Scissors"/>
    <n v="23.76"/>
    <n v="3"/>
    <x v="4375"/>
    <x v="5"/>
    <x v="3"/>
  </r>
  <r>
    <n v="45451"/>
    <x v="495"/>
    <x v="0"/>
    <x v="0"/>
    <x v="0"/>
    <s v="Easy-staple paper"/>
    <n v="85.06"/>
    <n v="3"/>
    <x v="1975"/>
    <x v="5"/>
    <x v="3"/>
  </r>
  <r>
    <n v="45451"/>
    <x v="495"/>
    <x v="0"/>
    <x v="2"/>
    <x v="6"/>
    <s v="ClearOne Communications CHAT 70 OCÂ Speaker Phone"/>
    <n v="381.58"/>
    <n v="3"/>
    <x v="2858"/>
    <x v="5"/>
    <x v="3"/>
  </r>
  <r>
    <n v="45451"/>
    <x v="395"/>
    <x v="37"/>
    <x v="0"/>
    <x v="3"/>
    <s v="Wilson Jones Impact Binders"/>
    <n v="10.36"/>
    <n v="2"/>
    <x v="2011"/>
    <x v="5"/>
    <x v="3"/>
  </r>
  <r>
    <n v="45451"/>
    <x v="346"/>
    <x v="1"/>
    <x v="0"/>
    <x v="3"/>
    <s v="GBC Twin Loop Wire Binding Elements, 9/16&quot; Spine, Black"/>
    <n v="12.18"/>
    <n v="4"/>
    <x v="1883"/>
    <x v="5"/>
    <x v="3"/>
  </r>
  <r>
    <n v="45451"/>
    <x v="473"/>
    <x v="3"/>
    <x v="1"/>
    <x v="11"/>
    <s v="Riverside Palais Royal Lawyers Bookcase, Royale Cherry Finish"/>
    <n v="1497.67"/>
    <n v="2"/>
    <x v="4376"/>
    <x v="5"/>
    <x v="3"/>
  </r>
  <r>
    <n v="45451"/>
    <x v="473"/>
    <x v="3"/>
    <x v="2"/>
    <x v="6"/>
    <s v="Shocksock Galaxy S4 Armband"/>
    <n v="17.52"/>
    <n v="2"/>
    <x v="4377"/>
    <x v="5"/>
    <x v="3"/>
  </r>
  <r>
    <n v="45451"/>
    <x v="251"/>
    <x v="12"/>
    <x v="2"/>
    <x v="9"/>
    <s v="Memorex Micro Travel Drive 16 GB"/>
    <n v="89.54"/>
    <n v="7"/>
    <x v="1378"/>
    <x v="5"/>
    <x v="3"/>
  </r>
  <r>
    <n v="45451"/>
    <x v="251"/>
    <x v="12"/>
    <x v="0"/>
    <x v="2"/>
    <s v="Rogers Deluxe File Chest"/>
    <n v="35.17"/>
    <n v="2"/>
    <x v="1450"/>
    <x v="5"/>
    <x v="3"/>
  </r>
  <r>
    <n v="45451"/>
    <x v="251"/>
    <x v="12"/>
    <x v="0"/>
    <x v="3"/>
    <s v="GBC VeloBinder Electric Binding Machine"/>
    <n v="72.59"/>
    <n v="2"/>
    <x v="2388"/>
    <x v="5"/>
    <x v="3"/>
  </r>
  <r>
    <n v="45452"/>
    <x v="690"/>
    <x v="1"/>
    <x v="1"/>
    <x v="8"/>
    <s v="12-1/2 Diameter Round Wall Clock"/>
    <n v="23.98"/>
    <n v="3"/>
    <x v="1443"/>
    <x v="5"/>
    <x v="3"/>
  </r>
  <r>
    <n v="45452"/>
    <x v="690"/>
    <x v="1"/>
    <x v="1"/>
    <x v="13"/>
    <s v="Chromcraft Bull-Nose Wood Round Conference Table Top, Wood Base"/>
    <n v="108.93"/>
    <n v="1"/>
    <x v="4378"/>
    <x v="5"/>
    <x v="3"/>
  </r>
  <r>
    <n v="45452"/>
    <x v="690"/>
    <x v="1"/>
    <x v="0"/>
    <x v="0"/>
    <s v="Adams Telephone Message Book W/Dividers/Space For Phone Numbers, 5 1/4&quot;X8 1/2&quot;, 200/Messages"/>
    <n v="36.35"/>
    <n v="8"/>
    <x v="4379"/>
    <x v="5"/>
    <x v="3"/>
  </r>
  <r>
    <n v="45452"/>
    <x v="479"/>
    <x v="0"/>
    <x v="0"/>
    <x v="2"/>
    <s v="Standard Rollaway File with Lock"/>
    <n v="720.76"/>
    <n v="5"/>
    <x v="4380"/>
    <x v="5"/>
    <x v="3"/>
  </r>
  <r>
    <n v="45452"/>
    <x v="643"/>
    <x v="6"/>
    <x v="0"/>
    <x v="0"/>
    <s v="Easy-staple paper"/>
    <n v="49.12"/>
    <n v="4"/>
    <x v="641"/>
    <x v="5"/>
    <x v="3"/>
  </r>
  <r>
    <n v="45453"/>
    <x v="428"/>
    <x v="3"/>
    <x v="0"/>
    <x v="1"/>
    <s v="Alphabetical Labels for Top Tab Filing"/>
    <n v="29.6"/>
    <n v="2"/>
    <x v="267"/>
    <x v="5"/>
    <x v="3"/>
  </r>
  <r>
    <n v="45453"/>
    <x v="428"/>
    <x v="3"/>
    <x v="1"/>
    <x v="11"/>
    <s v="O'Sullivan Living Dimensions 2-Shelf Bookcases"/>
    <n v="514.16999999999996"/>
    <n v="5"/>
    <x v="4381"/>
    <x v="5"/>
    <x v="3"/>
  </r>
  <r>
    <n v="45453"/>
    <x v="428"/>
    <x v="3"/>
    <x v="2"/>
    <x v="6"/>
    <s v="iHome FM Clock Radio with Lightning Dock"/>
    <n v="279.95999999999998"/>
    <n v="5"/>
    <x v="4382"/>
    <x v="5"/>
    <x v="3"/>
  </r>
  <r>
    <n v="45453"/>
    <x v="573"/>
    <x v="14"/>
    <x v="2"/>
    <x v="9"/>
    <s v="ImationÂ 16GB Mini TravelDrive USB 2.0Â Flash Drive"/>
    <n v="132.52000000000001"/>
    <n v="4"/>
    <x v="4383"/>
    <x v="5"/>
    <x v="3"/>
  </r>
  <r>
    <n v="45453"/>
    <x v="346"/>
    <x v="3"/>
    <x v="0"/>
    <x v="4"/>
    <s v="Newell 351"/>
    <n v="16.399999999999999"/>
    <n v="5"/>
    <x v="2401"/>
    <x v="5"/>
    <x v="3"/>
  </r>
  <r>
    <n v="45453"/>
    <x v="319"/>
    <x v="2"/>
    <x v="0"/>
    <x v="0"/>
    <s v="REDIFORM Incoming/Outgoing Call Register, 11&quot; X 8 1/2&quot;, 100 Messages"/>
    <n v="40.03"/>
    <n v="6"/>
    <x v="4384"/>
    <x v="5"/>
    <x v="3"/>
  </r>
  <r>
    <n v="45453"/>
    <x v="37"/>
    <x v="16"/>
    <x v="0"/>
    <x v="2"/>
    <s v="24 Capacity Maxi Data Binder Racks, Pearl"/>
    <n v="1347.52"/>
    <n v="8"/>
    <x v="4385"/>
    <x v="5"/>
    <x v="3"/>
  </r>
  <r>
    <n v="45453"/>
    <x v="49"/>
    <x v="20"/>
    <x v="0"/>
    <x v="4"/>
    <s v="Prang Dustless Chalk Sticks"/>
    <n v="8.4"/>
    <n v="5"/>
    <x v="783"/>
    <x v="5"/>
    <x v="3"/>
  </r>
  <r>
    <n v="45453"/>
    <x v="649"/>
    <x v="22"/>
    <x v="2"/>
    <x v="6"/>
    <s v="Logitech B530 USBÂ HeadsetÂ -Â headsetÂ - Full size, Binaural"/>
    <n v="88.78"/>
    <n v="3"/>
    <x v="1182"/>
    <x v="5"/>
    <x v="3"/>
  </r>
  <r>
    <n v="45453"/>
    <x v="649"/>
    <x v="22"/>
    <x v="0"/>
    <x v="1"/>
    <s v="Avery 512"/>
    <n v="11.56"/>
    <n v="4"/>
    <x v="776"/>
    <x v="5"/>
    <x v="3"/>
  </r>
  <r>
    <n v="45453"/>
    <x v="649"/>
    <x v="22"/>
    <x v="0"/>
    <x v="2"/>
    <s v="Personal File Boxes with Fold-Down Carry Handle"/>
    <n v="15.58"/>
    <n v="1"/>
    <x v="388"/>
    <x v="5"/>
    <x v="3"/>
  </r>
  <r>
    <n v="45453"/>
    <x v="434"/>
    <x v="3"/>
    <x v="0"/>
    <x v="4"/>
    <s v="Sanford EarthWrite Recycled Pencils, Medium Soft, #2"/>
    <n v="14.7"/>
    <n v="7"/>
    <x v="1012"/>
    <x v="5"/>
    <x v="3"/>
  </r>
  <r>
    <n v="45453"/>
    <x v="22"/>
    <x v="20"/>
    <x v="0"/>
    <x v="7"/>
    <s v="Plymouth Boxed Rubber Bands by Plymouth"/>
    <n v="14.13"/>
    <n v="3"/>
    <x v="2841"/>
    <x v="5"/>
    <x v="3"/>
  </r>
  <r>
    <n v="45454"/>
    <x v="265"/>
    <x v="3"/>
    <x v="0"/>
    <x v="0"/>
    <s v="White Dual Perf Computer Printout Paper, 2700 Sheets, 1 Part, Heavyweight, 20 lbs., 14 7/8 x 11"/>
    <n v="122.97"/>
    <n v="3"/>
    <x v="221"/>
    <x v="5"/>
    <x v="3"/>
  </r>
  <r>
    <n v="45454"/>
    <x v="288"/>
    <x v="12"/>
    <x v="1"/>
    <x v="5"/>
    <s v="Global Leather Executive Chair"/>
    <n v="280.79000000000002"/>
    <n v="1"/>
    <x v="2441"/>
    <x v="5"/>
    <x v="3"/>
  </r>
  <r>
    <n v="45454"/>
    <x v="288"/>
    <x v="12"/>
    <x v="0"/>
    <x v="2"/>
    <s v="Sortfiler Multipurpose Personal File Organizer, Black"/>
    <n v="68.45"/>
    <n v="4"/>
    <x v="472"/>
    <x v="5"/>
    <x v="3"/>
  </r>
  <r>
    <n v="45454"/>
    <x v="288"/>
    <x v="12"/>
    <x v="0"/>
    <x v="4"/>
    <s v="Boston 16801 Nautilus Battery Pencil Sharpener"/>
    <n v="88.04"/>
    <n v="5"/>
    <x v="2079"/>
    <x v="5"/>
    <x v="3"/>
  </r>
  <r>
    <n v="45454"/>
    <x v="288"/>
    <x v="12"/>
    <x v="0"/>
    <x v="4"/>
    <s v="Newell 319"/>
    <n v="15.87"/>
    <n v="1"/>
    <x v="1340"/>
    <x v="5"/>
    <x v="3"/>
  </r>
  <r>
    <n v="45454"/>
    <x v="288"/>
    <x v="12"/>
    <x v="0"/>
    <x v="2"/>
    <s v="Fellowes Officeware Wire Shelving"/>
    <n v="215.59"/>
    <n v="3"/>
    <x v="4386"/>
    <x v="5"/>
    <x v="3"/>
  </r>
  <r>
    <n v="45454"/>
    <x v="61"/>
    <x v="33"/>
    <x v="0"/>
    <x v="4"/>
    <s v="OIC #2 Pencils, Medium Soft"/>
    <n v="3.76"/>
    <n v="2"/>
    <x v="570"/>
    <x v="5"/>
    <x v="3"/>
  </r>
  <r>
    <n v="45454"/>
    <x v="23"/>
    <x v="22"/>
    <x v="0"/>
    <x v="0"/>
    <s v="Xerox 1939"/>
    <n v="37.94"/>
    <n v="2"/>
    <x v="1912"/>
    <x v="5"/>
    <x v="3"/>
  </r>
  <r>
    <n v="45454"/>
    <x v="23"/>
    <x v="22"/>
    <x v="0"/>
    <x v="3"/>
    <s v="Acco Pressboard Covers with Storage Hooks, 14 7/8&quot; x 11&quot;, Dark Blue"/>
    <n v="18.29"/>
    <n v="6"/>
    <x v="824"/>
    <x v="5"/>
    <x v="3"/>
  </r>
  <r>
    <n v="45454"/>
    <x v="23"/>
    <x v="22"/>
    <x v="2"/>
    <x v="15"/>
    <s v="Cisco Desktop Collaboration Experience DX650 IP Video Phone"/>
    <n v="385.8"/>
    <n v="5"/>
    <x v="4387"/>
    <x v="5"/>
    <x v="3"/>
  </r>
  <r>
    <n v="45454"/>
    <x v="23"/>
    <x v="22"/>
    <x v="0"/>
    <x v="2"/>
    <s v="Belkin 19&quot; Vented Equipment Shelf, Black"/>
    <n v="102.96"/>
    <n v="2"/>
    <x v="812"/>
    <x v="5"/>
    <x v="3"/>
  </r>
  <r>
    <n v="45454"/>
    <x v="23"/>
    <x v="22"/>
    <x v="1"/>
    <x v="11"/>
    <s v="O'Sullivan 3-Shelf Heavy-Duty Bookcases"/>
    <n v="174.42"/>
    <n v="3"/>
    <x v="4388"/>
    <x v="5"/>
    <x v="3"/>
  </r>
  <r>
    <n v="45454"/>
    <x v="368"/>
    <x v="3"/>
    <x v="0"/>
    <x v="12"/>
    <s v="Kensington 6 Outlet Guardian Standard Surge Protector"/>
    <n v="61.44"/>
    <n v="3"/>
    <x v="2364"/>
    <x v="5"/>
    <x v="3"/>
  </r>
  <r>
    <n v="45454"/>
    <x v="456"/>
    <x v="25"/>
    <x v="0"/>
    <x v="3"/>
    <s v="Acco Pressboard Covers with Storage Hooks, 14 7/8&quot; x 11&quot;, Executive Red"/>
    <n v="4.57"/>
    <n v="4"/>
    <x v="4389"/>
    <x v="5"/>
    <x v="3"/>
  </r>
  <r>
    <n v="45455"/>
    <x v="5"/>
    <x v="4"/>
    <x v="0"/>
    <x v="3"/>
    <s v="Ibico Plastic Spiral Binding Combs"/>
    <n v="91.2"/>
    <n v="3"/>
    <x v="4390"/>
    <x v="5"/>
    <x v="3"/>
  </r>
  <r>
    <n v="45455"/>
    <x v="5"/>
    <x v="4"/>
    <x v="1"/>
    <x v="13"/>
    <s v="Iceberg OfficeWorks 42&quot; Round Tables"/>
    <n v="452.94"/>
    <n v="3"/>
    <x v="4391"/>
    <x v="5"/>
    <x v="3"/>
  </r>
  <r>
    <n v="45455"/>
    <x v="242"/>
    <x v="20"/>
    <x v="0"/>
    <x v="0"/>
    <s v="TOPS Voice Message Log Book, Flash Format"/>
    <n v="19.04"/>
    <n v="4"/>
    <x v="5"/>
    <x v="5"/>
    <x v="3"/>
  </r>
  <r>
    <n v="45455"/>
    <x v="242"/>
    <x v="20"/>
    <x v="0"/>
    <x v="3"/>
    <s v="Angle-D Ring Binders"/>
    <n v="13.13"/>
    <n v="3"/>
    <x v="1"/>
    <x v="5"/>
    <x v="3"/>
  </r>
  <r>
    <n v="45455"/>
    <x v="242"/>
    <x v="20"/>
    <x v="0"/>
    <x v="4"/>
    <s v="Boston 1730 StandUp Electric Pencil Sharpener"/>
    <n v="64.14"/>
    <n v="3"/>
    <x v="1760"/>
    <x v="5"/>
    <x v="3"/>
  </r>
  <r>
    <n v="45455"/>
    <x v="242"/>
    <x v="20"/>
    <x v="1"/>
    <x v="5"/>
    <s v="Safco Contoured Stacking Chairs"/>
    <n v="858.24"/>
    <n v="4"/>
    <x v="4392"/>
    <x v="5"/>
    <x v="3"/>
  </r>
  <r>
    <n v="45455"/>
    <x v="164"/>
    <x v="16"/>
    <x v="1"/>
    <x v="8"/>
    <s v="Dana Swing-Arm Lamps"/>
    <n v="17.09"/>
    <n v="2"/>
    <x v="130"/>
    <x v="5"/>
    <x v="3"/>
  </r>
  <r>
    <n v="45455"/>
    <x v="459"/>
    <x v="10"/>
    <x v="2"/>
    <x v="9"/>
    <s v="Microsoft Sculpt Comfort Mouse"/>
    <n v="63.92"/>
    <n v="2"/>
    <x v="412"/>
    <x v="5"/>
    <x v="3"/>
  </r>
  <r>
    <n v="45455"/>
    <x v="417"/>
    <x v="22"/>
    <x v="2"/>
    <x v="6"/>
    <s v="OtterBox Defender Series Case - Samsung Galaxy S4"/>
    <n v="71.98"/>
    <n v="3"/>
    <x v="246"/>
    <x v="5"/>
    <x v="3"/>
  </r>
  <r>
    <n v="45455"/>
    <x v="417"/>
    <x v="22"/>
    <x v="0"/>
    <x v="0"/>
    <s v="Xerox 203"/>
    <n v="19.440000000000001"/>
    <n v="3"/>
    <x v="5"/>
    <x v="5"/>
    <x v="3"/>
  </r>
  <r>
    <n v="45455"/>
    <x v="350"/>
    <x v="1"/>
    <x v="1"/>
    <x v="8"/>
    <s v="Eldon Expressions Wood Desk Accessories, Oak"/>
    <n v="8.86"/>
    <n v="3"/>
    <x v="116"/>
    <x v="5"/>
    <x v="3"/>
  </r>
  <r>
    <n v="45456"/>
    <x v="26"/>
    <x v="1"/>
    <x v="0"/>
    <x v="2"/>
    <s v="Belkin 19&quot; Vented Equipment Shelf, Black"/>
    <n v="164.74"/>
    <n v="4"/>
    <x v="4393"/>
    <x v="5"/>
    <x v="3"/>
  </r>
  <r>
    <n v="45456"/>
    <x v="26"/>
    <x v="1"/>
    <x v="1"/>
    <x v="5"/>
    <s v="Global Super Steno Chair"/>
    <n v="470.3"/>
    <n v="7"/>
    <x v="4394"/>
    <x v="5"/>
    <x v="3"/>
  </r>
  <r>
    <n v="45456"/>
    <x v="26"/>
    <x v="1"/>
    <x v="2"/>
    <x v="6"/>
    <s v="OtterBox Defender Series Case - Samsung Galaxy S4"/>
    <n v="47.98"/>
    <n v="2"/>
    <x v="1964"/>
    <x v="5"/>
    <x v="3"/>
  </r>
  <r>
    <n v="45456"/>
    <x v="194"/>
    <x v="6"/>
    <x v="0"/>
    <x v="4"/>
    <s v="Boston 1799 Powerhouse Electric Pencil Sharpener"/>
    <n v="181.86"/>
    <n v="7"/>
    <x v="4395"/>
    <x v="5"/>
    <x v="3"/>
  </r>
  <r>
    <n v="45456"/>
    <x v="581"/>
    <x v="22"/>
    <x v="1"/>
    <x v="5"/>
    <s v="Global Wood Trimmed Manager's Task Chair, Khaki"/>
    <n v="291.14"/>
    <n v="4"/>
    <x v="4396"/>
    <x v="5"/>
    <x v="3"/>
  </r>
  <r>
    <n v="45458"/>
    <x v="786"/>
    <x v="3"/>
    <x v="2"/>
    <x v="6"/>
    <s v="Anker 36W 4-Port USB Wall Charger Travel Power Adapter for iPhone 5s 5c 5"/>
    <n v="47.98"/>
    <n v="3"/>
    <x v="2808"/>
    <x v="5"/>
    <x v="3"/>
  </r>
  <r>
    <n v="45458"/>
    <x v="210"/>
    <x v="1"/>
    <x v="0"/>
    <x v="4"/>
    <s v="Newell 331"/>
    <n v="19.559999999999999"/>
    <n v="5"/>
    <x v="3125"/>
    <x v="5"/>
    <x v="3"/>
  </r>
  <r>
    <n v="45458"/>
    <x v="723"/>
    <x v="3"/>
    <x v="0"/>
    <x v="4"/>
    <s v="Dixon Prang Watercolor Pencils, 10-Color Set with Brush"/>
    <n v="4.26"/>
    <n v="1"/>
    <x v="589"/>
    <x v="5"/>
    <x v="3"/>
  </r>
  <r>
    <n v="45458"/>
    <x v="222"/>
    <x v="28"/>
    <x v="0"/>
    <x v="1"/>
    <s v="Avery 490"/>
    <n v="44.4"/>
    <n v="3"/>
    <x v="224"/>
    <x v="5"/>
    <x v="3"/>
  </r>
  <r>
    <n v="45458"/>
    <x v="222"/>
    <x v="28"/>
    <x v="0"/>
    <x v="2"/>
    <s v="Tenex Personal Self-Stacking Standard File Box, Black/Gray"/>
    <n v="84.55"/>
    <n v="5"/>
    <x v="4397"/>
    <x v="5"/>
    <x v="3"/>
  </r>
  <r>
    <n v="45458"/>
    <x v="222"/>
    <x v="28"/>
    <x v="0"/>
    <x v="0"/>
    <s v="Xerox 1992"/>
    <n v="17.940000000000001"/>
    <n v="3"/>
    <x v="450"/>
    <x v="5"/>
    <x v="3"/>
  </r>
  <r>
    <n v="45458"/>
    <x v="94"/>
    <x v="3"/>
    <x v="2"/>
    <x v="6"/>
    <s v="Panasonic KX T7736-B Digital phone"/>
    <n v="119.96"/>
    <n v="1"/>
    <x v="2977"/>
    <x v="5"/>
    <x v="3"/>
  </r>
  <r>
    <n v="45458"/>
    <x v="93"/>
    <x v="15"/>
    <x v="2"/>
    <x v="6"/>
    <s v="HTC One"/>
    <n v="239.98"/>
    <n v="3"/>
    <x v="2618"/>
    <x v="5"/>
    <x v="3"/>
  </r>
  <r>
    <n v="45458"/>
    <x v="93"/>
    <x v="15"/>
    <x v="1"/>
    <x v="8"/>
    <s v="Staple-based wall hangings"/>
    <n v="31.17"/>
    <n v="4"/>
    <x v="273"/>
    <x v="5"/>
    <x v="3"/>
  </r>
  <r>
    <n v="45458"/>
    <x v="93"/>
    <x v="15"/>
    <x v="1"/>
    <x v="13"/>
    <s v="Barricks 18&quot; x 48&quot; Non-Folding Utility Table with Bottom Storage Shelf"/>
    <n v="120.96"/>
    <n v="2"/>
    <x v="1693"/>
    <x v="5"/>
    <x v="3"/>
  </r>
  <r>
    <n v="45458"/>
    <x v="93"/>
    <x v="15"/>
    <x v="2"/>
    <x v="6"/>
    <s v="Samsung Galaxy S III - 16GB - pebble blue (T-Mobile)"/>
    <n v="2239.94"/>
    <n v="8"/>
    <x v="4398"/>
    <x v="5"/>
    <x v="3"/>
  </r>
  <r>
    <n v="45458"/>
    <x v="93"/>
    <x v="15"/>
    <x v="0"/>
    <x v="12"/>
    <s v="Staple holder"/>
    <n v="76.61"/>
    <n v="8"/>
    <x v="516"/>
    <x v="5"/>
    <x v="3"/>
  </r>
  <r>
    <n v="45458"/>
    <x v="93"/>
    <x v="15"/>
    <x v="0"/>
    <x v="2"/>
    <s v="Hot File 7-Pocket, Floor Stand"/>
    <n v="142.78"/>
    <n v="1"/>
    <x v="174"/>
    <x v="5"/>
    <x v="3"/>
  </r>
  <r>
    <n v="45458"/>
    <x v="93"/>
    <x v="15"/>
    <x v="0"/>
    <x v="0"/>
    <s v="Xerox 1955"/>
    <n v="91.36"/>
    <n v="5"/>
    <x v="791"/>
    <x v="5"/>
    <x v="3"/>
  </r>
  <r>
    <n v="45458"/>
    <x v="364"/>
    <x v="25"/>
    <x v="1"/>
    <x v="5"/>
    <s v="Global Executive Mid-Back Manager's Chair"/>
    <n v="698.35"/>
    <n v="3"/>
    <x v="2855"/>
    <x v="5"/>
    <x v="3"/>
  </r>
  <r>
    <n v="45458"/>
    <x v="364"/>
    <x v="25"/>
    <x v="1"/>
    <x v="11"/>
    <s v="O'Sullivan 2-Shelf Heavy-Duty Bookcases"/>
    <n v="77.73"/>
    <n v="2"/>
    <x v="4399"/>
    <x v="5"/>
    <x v="3"/>
  </r>
  <r>
    <n v="45459"/>
    <x v="595"/>
    <x v="25"/>
    <x v="0"/>
    <x v="4"/>
    <s v="Quartet Omega Colored Chalk, 12/Pack"/>
    <n v="14.02"/>
    <n v="3"/>
    <x v="2559"/>
    <x v="5"/>
    <x v="3"/>
  </r>
  <r>
    <n v="45459"/>
    <x v="264"/>
    <x v="5"/>
    <x v="1"/>
    <x v="5"/>
    <s v="Global Airflow Leather Mesh Back Chair, Black"/>
    <n v="301.95999999999998"/>
    <n v="2"/>
    <x v="4400"/>
    <x v="5"/>
    <x v="3"/>
  </r>
  <r>
    <n v="45459"/>
    <x v="264"/>
    <x v="5"/>
    <x v="0"/>
    <x v="12"/>
    <s v="Fellowes Smart Surge Ten-Outlet Protector, Platinum"/>
    <n v="180.66"/>
    <n v="3"/>
    <x v="4401"/>
    <x v="5"/>
    <x v="3"/>
  </r>
  <r>
    <n v="45459"/>
    <x v="264"/>
    <x v="5"/>
    <x v="2"/>
    <x v="6"/>
    <s v="Pyle PMP37LED"/>
    <n v="191.98"/>
    <n v="2"/>
    <x v="1860"/>
    <x v="5"/>
    <x v="3"/>
  </r>
  <r>
    <n v="45459"/>
    <x v="264"/>
    <x v="5"/>
    <x v="2"/>
    <x v="6"/>
    <s v="Clarity 53712"/>
    <n v="65.989999999999995"/>
    <n v="1"/>
    <x v="3599"/>
    <x v="5"/>
    <x v="3"/>
  </r>
  <r>
    <n v="45459"/>
    <x v="350"/>
    <x v="3"/>
    <x v="1"/>
    <x v="5"/>
    <s v="Hon Multipurpose Stacking Arm Chairs"/>
    <n v="1212.96"/>
    <n v="7"/>
    <x v="4402"/>
    <x v="5"/>
    <x v="3"/>
  </r>
  <r>
    <n v="45459"/>
    <x v="350"/>
    <x v="3"/>
    <x v="0"/>
    <x v="0"/>
    <s v="Wirebound Message Books, Four 2 3/4&quot; x 5&quot; Forms per Page, 600 Sets per Book"/>
    <n v="18.54"/>
    <n v="2"/>
    <x v="2341"/>
    <x v="5"/>
    <x v="3"/>
  </r>
  <r>
    <n v="45459"/>
    <x v="314"/>
    <x v="31"/>
    <x v="0"/>
    <x v="14"/>
    <s v="Acme Elite Stainless Steel Scissors"/>
    <n v="16.68"/>
    <n v="2"/>
    <x v="2342"/>
    <x v="5"/>
    <x v="3"/>
  </r>
  <r>
    <n v="45459"/>
    <x v="314"/>
    <x v="31"/>
    <x v="0"/>
    <x v="0"/>
    <s v="Xerox 215"/>
    <n v="19.440000000000001"/>
    <n v="3"/>
    <x v="5"/>
    <x v="5"/>
    <x v="3"/>
  </r>
  <r>
    <n v="45459"/>
    <x v="314"/>
    <x v="31"/>
    <x v="0"/>
    <x v="0"/>
    <s v="Xerox 1885"/>
    <n v="192.16"/>
    <n v="4"/>
    <x v="3505"/>
    <x v="5"/>
    <x v="3"/>
  </r>
  <r>
    <n v="45459"/>
    <x v="521"/>
    <x v="1"/>
    <x v="0"/>
    <x v="3"/>
    <s v="Storex DuraTech Recycled Plastic Frosted Binders"/>
    <n v="5.94"/>
    <n v="7"/>
    <x v="4403"/>
    <x v="5"/>
    <x v="3"/>
  </r>
  <r>
    <n v="45459"/>
    <x v="349"/>
    <x v="10"/>
    <x v="2"/>
    <x v="9"/>
    <s v="Logitech Wireless Performance Mouse MX for PC and Mac"/>
    <n v="479.95"/>
    <n v="6"/>
    <x v="4404"/>
    <x v="5"/>
    <x v="3"/>
  </r>
  <r>
    <n v="45459"/>
    <x v="349"/>
    <x v="10"/>
    <x v="0"/>
    <x v="4"/>
    <s v="Newell 330"/>
    <n v="23.92"/>
    <n v="5"/>
    <x v="46"/>
    <x v="5"/>
    <x v="3"/>
  </r>
  <r>
    <n v="45460"/>
    <x v="375"/>
    <x v="3"/>
    <x v="0"/>
    <x v="3"/>
    <s v="Trimflex Flexible Post Binders"/>
    <n v="51.31"/>
    <n v="3"/>
    <x v="1845"/>
    <x v="5"/>
    <x v="3"/>
  </r>
  <r>
    <n v="45460"/>
    <x v="413"/>
    <x v="22"/>
    <x v="1"/>
    <x v="8"/>
    <s v="Howard Miller 13-3/4&quot; Diameter Brushed Chrome Round Wall Clock"/>
    <n v="155.25"/>
    <n v="3"/>
    <x v="4405"/>
    <x v="5"/>
    <x v="3"/>
  </r>
  <r>
    <n v="45460"/>
    <x v="413"/>
    <x v="22"/>
    <x v="0"/>
    <x v="2"/>
    <s v="Project Tote Personal File"/>
    <n v="14.03"/>
    <n v="1"/>
    <x v="403"/>
    <x v="5"/>
    <x v="3"/>
  </r>
  <r>
    <n v="45460"/>
    <x v="465"/>
    <x v="1"/>
    <x v="0"/>
    <x v="0"/>
    <s v="Rediform Wirebound &quot;Phone Memo&quot; Message Book, 11 x 5-3/4"/>
    <n v="12.22"/>
    <n v="2"/>
    <x v="97"/>
    <x v="5"/>
    <x v="3"/>
  </r>
  <r>
    <n v="45460"/>
    <x v="465"/>
    <x v="1"/>
    <x v="0"/>
    <x v="3"/>
    <s v="Avery Durable Binders"/>
    <n v="2.2999999999999998"/>
    <n v="4"/>
    <x v="4406"/>
    <x v="5"/>
    <x v="3"/>
  </r>
  <r>
    <n v="45460"/>
    <x v="465"/>
    <x v="1"/>
    <x v="0"/>
    <x v="3"/>
    <s v="Fellowes Binding Cases"/>
    <n v="9.36"/>
    <n v="4"/>
    <x v="4407"/>
    <x v="5"/>
    <x v="3"/>
  </r>
  <r>
    <n v="45460"/>
    <x v="371"/>
    <x v="26"/>
    <x v="0"/>
    <x v="2"/>
    <s v="Carina Media Storage Towers in Natural &amp; Black"/>
    <n v="146.35"/>
    <n v="3"/>
    <x v="4408"/>
    <x v="5"/>
    <x v="3"/>
  </r>
  <r>
    <n v="45460"/>
    <x v="50"/>
    <x v="20"/>
    <x v="2"/>
    <x v="15"/>
    <s v="Hewlett-Packard Desktjet 6988DT Refurbished Printer"/>
    <n v="3404.5"/>
    <n v="5"/>
    <x v="4409"/>
    <x v="5"/>
    <x v="3"/>
  </r>
  <r>
    <n v="45460"/>
    <x v="50"/>
    <x v="20"/>
    <x v="2"/>
    <x v="9"/>
    <s v="Kingston Digital DataTraveler 64GB USB 2.0"/>
    <n v="101.34"/>
    <n v="3"/>
    <x v="1778"/>
    <x v="5"/>
    <x v="3"/>
  </r>
  <r>
    <n v="45461"/>
    <x v="583"/>
    <x v="3"/>
    <x v="1"/>
    <x v="11"/>
    <s v="Bush Andora Bookcase, Maple/Graphite Gray Finish"/>
    <n v="917.92"/>
    <n v="9"/>
    <x v="4410"/>
    <x v="5"/>
    <x v="3"/>
  </r>
  <r>
    <n v="45461"/>
    <x v="583"/>
    <x v="3"/>
    <x v="0"/>
    <x v="0"/>
    <s v="Xerox 1930"/>
    <n v="38.880000000000003"/>
    <n v="6"/>
    <x v="4411"/>
    <x v="5"/>
    <x v="3"/>
  </r>
  <r>
    <n v="45461"/>
    <x v="646"/>
    <x v="0"/>
    <x v="0"/>
    <x v="0"/>
    <s v="Xerox 1925"/>
    <n v="74.349999999999994"/>
    <n v="3"/>
    <x v="229"/>
    <x v="5"/>
    <x v="3"/>
  </r>
  <r>
    <n v="45462"/>
    <x v="444"/>
    <x v="20"/>
    <x v="0"/>
    <x v="0"/>
    <s v="Xerox 1943"/>
    <n v="97.82"/>
    <n v="2"/>
    <x v="146"/>
    <x v="5"/>
    <x v="3"/>
  </r>
  <r>
    <n v="45462"/>
    <x v="444"/>
    <x v="20"/>
    <x v="2"/>
    <x v="9"/>
    <s v="Sony 16GB Class 10 Micro SDHC R40 Memory Card"/>
    <n v="103.12"/>
    <n v="8"/>
    <x v="1848"/>
    <x v="5"/>
    <x v="3"/>
  </r>
  <r>
    <n v="45462"/>
    <x v="251"/>
    <x v="0"/>
    <x v="0"/>
    <x v="14"/>
    <s v="Fiskars Spring-Action Scissors"/>
    <n v="11.18"/>
    <n v="1"/>
    <x v="243"/>
    <x v="5"/>
    <x v="3"/>
  </r>
  <r>
    <n v="45462"/>
    <x v="251"/>
    <x v="0"/>
    <x v="0"/>
    <x v="2"/>
    <s v="Safco Industrial Wire Shelving"/>
    <n v="153.58000000000001"/>
    <n v="2"/>
    <x v="4412"/>
    <x v="5"/>
    <x v="3"/>
  </r>
  <r>
    <n v="45462"/>
    <x v="456"/>
    <x v="0"/>
    <x v="0"/>
    <x v="12"/>
    <s v="Holmes Visible Mist Ultrasonic Humidifier with 2.3-Gallon Output per Day, Replacement Filter"/>
    <n v="2.2599999999999998"/>
    <n v="1"/>
    <x v="4413"/>
    <x v="5"/>
    <x v="3"/>
  </r>
  <r>
    <n v="45462"/>
    <x v="456"/>
    <x v="0"/>
    <x v="0"/>
    <x v="12"/>
    <s v="Hoover Replacement Belt for Commercial Guardsman Heavy-Duty Upright Vacuum"/>
    <n v="0.44"/>
    <n v="1"/>
    <x v="4414"/>
    <x v="5"/>
    <x v="3"/>
  </r>
  <r>
    <n v="45462"/>
    <x v="456"/>
    <x v="0"/>
    <x v="0"/>
    <x v="0"/>
    <s v="Xerox 1982"/>
    <n v="146.18"/>
    <n v="8"/>
    <x v="4415"/>
    <x v="5"/>
    <x v="3"/>
  </r>
  <r>
    <n v="45462"/>
    <x v="121"/>
    <x v="10"/>
    <x v="1"/>
    <x v="5"/>
    <s v="Global Ergonomic Managers Chair"/>
    <n v="760.12"/>
    <n v="6"/>
    <x v="4416"/>
    <x v="5"/>
    <x v="3"/>
  </r>
  <r>
    <n v="45462"/>
    <x v="121"/>
    <x v="10"/>
    <x v="1"/>
    <x v="8"/>
    <s v="Contemporary Wood/Metal Frame"/>
    <n v="38.78"/>
    <n v="3"/>
    <x v="3994"/>
    <x v="5"/>
    <x v="3"/>
  </r>
  <r>
    <n v="45462"/>
    <x v="121"/>
    <x v="10"/>
    <x v="2"/>
    <x v="9"/>
    <s v="Memorex 25GB 6X Branded Blu-Ray Recordable Disc, 15/Pack"/>
    <n v="122.33"/>
    <n v="9"/>
    <x v="1657"/>
    <x v="5"/>
    <x v="3"/>
  </r>
  <r>
    <n v="45462"/>
    <x v="35"/>
    <x v="0"/>
    <x v="0"/>
    <x v="3"/>
    <s v="GBC Plasticlear Binding Covers"/>
    <n v="6.89"/>
    <n v="3"/>
    <x v="4417"/>
    <x v="5"/>
    <x v="3"/>
  </r>
  <r>
    <n v="45462"/>
    <x v="35"/>
    <x v="0"/>
    <x v="1"/>
    <x v="13"/>
    <s v="Chromcraft Bull-Nose Wood Round Conference Table Top, Wood Base"/>
    <n v="457.49"/>
    <n v="3"/>
    <x v="4418"/>
    <x v="5"/>
    <x v="3"/>
  </r>
  <r>
    <n v="45462"/>
    <x v="763"/>
    <x v="20"/>
    <x v="0"/>
    <x v="2"/>
    <s v="Space Solutions Commercial Steel Shelving"/>
    <n v="129.30000000000001"/>
    <n v="2"/>
    <x v="257"/>
    <x v="5"/>
    <x v="3"/>
  </r>
  <r>
    <n v="45462"/>
    <x v="763"/>
    <x v="20"/>
    <x v="0"/>
    <x v="3"/>
    <s v="Wilson Jones Turn Tabs Binder Tool for Ring Binders"/>
    <n v="11.57"/>
    <n v="3"/>
    <x v="3504"/>
    <x v="5"/>
    <x v="3"/>
  </r>
  <r>
    <n v="45462"/>
    <x v="208"/>
    <x v="3"/>
    <x v="1"/>
    <x v="8"/>
    <s v="DAX Copper Panel Document Frame, 5 x 7 Size"/>
    <n v="50.32"/>
    <n v="4"/>
    <x v="4419"/>
    <x v="5"/>
    <x v="3"/>
  </r>
  <r>
    <n v="45462"/>
    <x v="208"/>
    <x v="3"/>
    <x v="0"/>
    <x v="0"/>
    <s v="Xerox 1907"/>
    <n v="24.56"/>
    <n v="2"/>
    <x v="391"/>
    <x v="5"/>
    <x v="3"/>
  </r>
  <r>
    <n v="45463"/>
    <x v="546"/>
    <x v="23"/>
    <x v="2"/>
    <x v="9"/>
    <s v="Razer Kraken PRO Over Ear PC and Music Headset"/>
    <n v="239.97"/>
    <n v="3"/>
    <x v="611"/>
    <x v="5"/>
    <x v="3"/>
  </r>
  <r>
    <n v="45463"/>
    <x v="546"/>
    <x v="23"/>
    <x v="0"/>
    <x v="1"/>
    <s v="Avery 508"/>
    <n v="9.82"/>
    <n v="2"/>
    <x v="1636"/>
    <x v="5"/>
    <x v="3"/>
  </r>
  <r>
    <n v="45463"/>
    <x v="617"/>
    <x v="20"/>
    <x v="2"/>
    <x v="9"/>
    <s v="Anker Ultrathin Bluetooth Wireless Keyboard Aluminum Cover with Stand"/>
    <n v="149.94999999999999"/>
    <n v="5"/>
    <x v="4420"/>
    <x v="5"/>
    <x v="3"/>
  </r>
  <r>
    <n v="45463"/>
    <x v="617"/>
    <x v="20"/>
    <x v="0"/>
    <x v="3"/>
    <s v="Acco D-Ring Binder w/DublLock"/>
    <n v="51.31"/>
    <n v="3"/>
    <x v="2654"/>
    <x v="5"/>
    <x v="3"/>
  </r>
  <r>
    <n v="45463"/>
    <x v="43"/>
    <x v="10"/>
    <x v="0"/>
    <x v="0"/>
    <s v="Xerox 203"/>
    <n v="31.1"/>
    <n v="6"/>
    <x v="782"/>
    <x v="5"/>
    <x v="3"/>
  </r>
  <r>
    <n v="45463"/>
    <x v="43"/>
    <x v="10"/>
    <x v="0"/>
    <x v="4"/>
    <s v="Newell 35"/>
    <n v="5.25"/>
    <n v="2"/>
    <x v="1908"/>
    <x v="5"/>
    <x v="3"/>
  </r>
  <r>
    <n v="45463"/>
    <x v="137"/>
    <x v="16"/>
    <x v="0"/>
    <x v="2"/>
    <s v="Plastic Stacking Crates &amp; Casters"/>
    <n v="4.46"/>
    <n v="1"/>
    <x v="190"/>
    <x v="5"/>
    <x v="3"/>
  </r>
  <r>
    <n v="45463"/>
    <x v="194"/>
    <x v="6"/>
    <x v="0"/>
    <x v="0"/>
    <s v="Xerox 230"/>
    <n v="32.4"/>
    <n v="5"/>
    <x v="327"/>
    <x v="5"/>
    <x v="3"/>
  </r>
  <r>
    <n v="45463"/>
    <x v="194"/>
    <x v="6"/>
    <x v="2"/>
    <x v="6"/>
    <s v="BlackBerry Q10"/>
    <n v="503.96"/>
    <n v="4"/>
    <x v="2518"/>
    <x v="5"/>
    <x v="3"/>
  </r>
  <r>
    <n v="45464"/>
    <x v="83"/>
    <x v="10"/>
    <x v="1"/>
    <x v="8"/>
    <s v="Stacking Tray, Side-Loading, Legal, Smoke"/>
    <n v="17.920000000000002"/>
    <n v="5"/>
    <x v="4421"/>
    <x v="5"/>
    <x v="3"/>
  </r>
  <r>
    <n v="45464"/>
    <x v="83"/>
    <x v="10"/>
    <x v="0"/>
    <x v="3"/>
    <s v="Deluxe Heavy-Duty Vinyl Round Ring Binder"/>
    <n v="41.26"/>
    <n v="6"/>
    <x v="4422"/>
    <x v="5"/>
    <x v="3"/>
  </r>
  <r>
    <n v="45464"/>
    <x v="469"/>
    <x v="48"/>
    <x v="0"/>
    <x v="3"/>
    <s v="Ibico Standard Transparent Covers"/>
    <n v="82.4"/>
    <n v="5"/>
    <x v="4423"/>
    <x v="5"/>
    <x v="3"/>
  </r>
  <r>
    <n v="45464"/>
    <x v="469"/>
    <x v="48"/>
    <x v="0"/>
    <x v="3"/>
    <s v="Zipper Ring Binder Pockets"/>
    <n v="6.24"/>
    <n v="2"/>
    <x v="269"/>
    <x v="5"/>
    <x v="3"/>
  </r>
  <r>
    <n v="45464"/>
    <x v="469"/>
    <x v="48"/>
    <x v="0"/>
    <x v="0"/>
    <s v="Xerox 1908"/>
    <n v="447.84"/>
    <n v="8"/>
    <x v="737"/>
    <x v="5"/>
    <x v="3"/>
  </r>
  <r>
    <n v="45465"/>
    <x v="284"/>
    <x v="16"/>
    <x v="0"/>
    <x v="10"/>
    <s v="#10 White Business Envelopes,4 1/8 x 9 1/2"/>
    <n v="37.61"/>
    <n v="3"/>
    <x v="2308"/>
    <x v="5"/>
    <x v="3"/>
  </r>
  <r>
    <n v="45465"/>
    <x v="485"/>
    <x v="2"/>
    <x v="0"/>
    <x v="3"/>
    <s v="GBC Plasticlear Binding Covers"/>
    <n v="10.33"/>
    <n v="3"/>
    <x v="2760"/>
    <x v="5"/>
    <x v="3"/>
  </r>
  <r>
    <n v="45465"/>
    <x v="485"/>
    <x v="2"/>
    <x v="0"/>
    <x v="3"/>
    <s v="Wilson Jones Century Plastic Molded Ring Binders"/>
    <n v="31.16"/>
    <n v="5"/>
    <x v="1321"/>
    <x v="5"/>
    <x v="3"/>
  </r>
  <r>
    <n v="45465"/>
    <x v="485"/>
    <x v="2"/>
    <x v="0"/>
    <x v="2"/>
    <s v="Plastic Stacking Crates &amp; Casters"/>
    <n v="8.93"/>
    <n v="2"/>
    <x v="1494"/>
    <x v="5"/>
    <x v="3"/>
  </r>
  <r>
    <n v="45465"/>
    <x v="519"/>
    <x v="1"/>
    <x v="0"/>
    <x v="3"/>
    <s v="Wilson Jones Standard D-Ring Binders"/>
    <n v="3.04"/>
    <n v="3"/>
    <x v="4424"/>
    <x v="5"/>
    <x v="3"/>
  </r>
  <r>
    <n v="45465"/>
    <x v="81"/>
    <x v="14"/>
    <x v="1"/>
    <x v="5"/>
    <s v="Hon Deluxe Fabric Upholstered Stacking Chairs, Rounded Back"/>
    <n v="487.96"/>
    <n v="2"/>
    <x v="3054"/>
    <x v="5"/>
    <x v="3"/>
  </r>
  <r>
    <n v="45467"/>
    <x v="337"/>
    <x v="10"/>
    <x v="0"/>
    <x v="0"/>
    <s v="Southworth 25% Cotton Linen-Finish Paper &amp; Envelopes"/>
    <n v="21.74"/>
    <n v="3"/>
    <x v="1054"/>
    <x v="5"/>
    <x v="3"/>
  </r>
  <r>
    <n v="45467"/>
    <x v="740"/>
    <x v="3"/>
    <x v="0"/>
    <x v="4"/>
    <s v="Bulldog Vacuum Base Pencil Sharpener"/>
    <n v="95.92"/>
    <n v="8"/>
    <x v="4425"/>
    <x v="5"/>
    <x v="3"/>
  </r>
  <r>
    <n v="45467"/>
    <x v="62"/>
    <x v="3"/>
    <x v="0"/>
    <x v="4"/>
    <s v="Boston Heavy-Duty Trimline Electric Pencil Sharpeners"/>
    <n v="385.6"/>
    <n v="8"/>
    <x v="4426"/>
    <x v="5"/>
    <x v="3"/>
  </r>
  <r>
    <n v="45467"/>
    <x v="62"/>
    <x v="3"/>
    <x v="0"/>
    <x v="4"/>
    <s v="4009 Highlighters by Sanford"/>
    <n v="35.82"/>
    <n v="9"/>
    <x v="4427"/>
    <x v="5"/>
    <x v="3"/>
  </r>
  <r>
    <n v="45467"/>
    <x v="208"/>
    <x v="20"/>
    <x v="1"/>
    <x v="8"/>
    <s v="Deflect-o RollaMat Studded, Beveled Mat for Medium Pile Carpeting"/>
    <n v="276.69"/>
    <n v="3"/>
    <x v="4428"/>
    <x v="5"/>
    <x v="3"/>
  </r>
  <r>
    <n v="45467"/>
    <x v="208"/>
    <x v="20"/>
    <x v="1"/>
    <x v="5"/>
    <s v="Global Deluxe Office Fabric Chairs"/>
    <n v="172.76"/>
    <n v="2"/>
    <x v="2749"/>
    <x v="5"/>
    <x v="3"/>
  </r>
  <r>
    <n v="45467"/>
    <x v="543"/>
    <x v="1"/>
    <x v="0"/>
    <x v="3"/>
    <s v="Ibico Hi-Tech Manual Binding System"/>
    <n v="182.99"/>
    <n v="3"/>
    <x v="4139"/>
    <x v="5"/>
    <x v="3"/>
  </r>
  <r>
    <n v="45467"/>
    <x v="543"/>
    <x v="1"/>
    <x v="0"/>
    <x v="0"/>
    <s v="Xerox 1971"/>
    <n v="10.27"/>
    <n v="3"/>
    <x v="2194"/>
    <x v="5"/>
    <x v="3"/>
  </r>
  <r>
    <n v="45467"/>
    <x v="73"/>
    <x v="3"/>
    <x v="0"/>
    <x v="7"/>
    <s v="Acco Banker's Clasps, 5 3/4&quot;-Long"/>
    <n v="2.88"/>
    <n v="1"/>
    <x v="2877"/>
    <x v="5"/>
    <x v="3"/>
  </r>
  <r>
    <n v="45467"/>
    <x v="256"/>
    <x v="43"/>
    <x v="0"/>
    <x v="3"/>
    <s v="GBC Prestige Therm-A-Bind Covers"/>
    <n v="102.93"/>
    <n v="3"/>
    <x v="4429"/>
    <x v="5"/>
    <x v="3"/>
  </r>
  <r>
    <n v="45468"/>
    <x v="770"/>
    <x v="11"/>
    <x v="0"/>
    <x v="1"/>
    <s v="Alphabetical Labels for Top Tab Filing"/>
    <n v="71.040000000000006"/>
    <n v="6"/>
    <x v="4430"/>
    <x v="5"/>
    <x v="3"/>
  </r>
  <r>
    <n v="45468"/>
    <x v="770"/>
    <x v="11"/>
    <x v="0"/>
    <x v="4"/>
    <s v="Eldon Spacemaker Box, Quick-Snap Lid, Clear"/>
    <n v="5.34"/>
    <n v="2"/>
    <x v="1881"/>
    <x v="5"/>
    <x v="3"/>
  </r>
  <r>
    <n v="45468"/>
    <x v="770"/>
    <x v="11"/>
    <x v="0"/>
    <x v="7"/>
    <s v="Plymouth Boxed Rubber Bands by Plymouth"/>
    <n v="11.3"/>
    <n v="3"/>
    <x v="4431"/>
    <x v="5"/>
    <x v="3"/>
  </r>
  <r>
    <n v="45468"/>
    <x v="481"/>
    <x v="22"/>
    <x v="1"/>
    <x v="13"/>
    <s v="Chromcraft Bull-Nose Wood Round Conference Table Top, Wood Base"/>
    <n v="871.4"/>
    <n v="4"/>
    <x v="4432"/>
    <x v="5"/>
    <x v="3"/>
  </r>
  <r>
    <n v="45468"/>
    <x v="667"/>
    <x v="1"/>
    <x v="2"/>
    <x v="6"/>
    <s v="Geemarc AmpliPOWER60"/>
    <n v="148.47999999999999"/>
    <n v="2"/>
    <x v="1269"/>
    <x v="5"/>
    <x v="3"/>
  </r>
  <r>
    <n v="45468"/>
    <x v="417"/>
    <x v="20"/>
    <x v="1"/>
    <x v="11"/>
    <s v="DMI Eclipse Executive Suite Bookcases"/>
    <n v="400.78"/>
    <n v="1"/>
    <x v="4424"/>
    <x v="5"/>
    <x v="3"/>
  </r>
  <r>
    <n v="45469"/>
    <x v="635"/>
    <x v="3"/>
    <x v="0"/>
    <x v="2"/>
    <s v="Eldon Shelf Savers Cubes and Bins"/>
    <n v="83.76"/>
    <n v="12"/>
    <x v="967"/>
    <x v="5"/>
    <x v="3"/>
  </r>
  <r>
    <n v="45469"/>
    <x v="128"/>
    <x v="14"/>
    <x v="0"/>
    <x v="0"/>
    <s v="Ampad Poly Cover Wirebound Steno Book, 6&quot; x 9&quot; Assorted Colors, Gregg Ruled"/>
    <n v="4.54"/>
    <n v="1"/>
    <x v="2118"/>
    <x v="5"/>
    <x v="3"/>
  </r>
  <r>
    <n v="45469"/>
    <x v="128"/>
    <x v="14"/>
    <x v="0"/>
    <x v="4"/>
    <s v="Fluorescent Highlighters by Dixon"/>
    <n v="15.92"/>
    <n v="4"/>
    <x v="2116"/>
    <x v="5"/>
    <x v="3"/>
  </r>
  <r>
    <n v="45469"/>
    <x v="128"/>
    <x v="14"/>
    <x v="2"/>
    <x v="6"/>
    <s v="Nortel Networks T7316 E Nt8 B27"/>
    <n v="543.91999999999996"/>
    <n v="8"/>
    <x v="4433"/>
    <x v="5"/>
    <x v="3"/>
  </r>
  <r>
    <n v="45469"/>
    <x v="674"/>
    <x v="18"/>
    <x v="1"/>
    <x v="8"/>
    <s v="Eldon Antistatic Chair Mats for Low to Medium Pile Carpets"/>
    <n v="526.45000000000005"/>
    <n v="5"/>
    <x v="4434"/>
    <x v="5"/>
    <x v="3"/>
  </r>
  <r>
    <n v="45469"/>
    <x v="377"/>
    <x v="26"/>
    <x v="2"/>
    <x v="9"/>
    <s v="Kensington Orbit Wireless Mobile Trackball for PC and Mac"/>
    <n v="431.93"/>
    <n v="9"/>
    <x v="1678"/>
    <x v="5"/>
    <x v="3"/>
  </r>
  <r>
    <n v="45469"/>
    <x v="236"/>
    <x v="20"/>
    <x v="2"/>
    <x v="6"/>
    <s v="Mophie Juice Pack Helium for iPhone"/>
    <n v="239.97"/>
    <n v="3"/>
    <x v="506"/>
    <x v="5"/>
    <x v="3"/>
  </r>
  <r>
    <n v="45469"/>
    <x v="393"/>
    <x v="2"/>
    <x v="2"/>
    <x v="6"/>
    <s v="Bose SoundLink Bluetooth Speaker"/>
    <n v="358.2"/>
    <n v="3"/>
    <x v="3931"/>
    <x v="5"/>
    <x v="3"/>
  </r>
  <r>
    <n v="45469"/>
    <x v="393"/>
    <x v="2"/>
    <x v="2"/>
    <x v="6"/>
    <s v="Plantronics Voyager Pro HD - Bluetooth Headset"/>
    <n v="545.91999999999996"/>
    <n v="14"/>
    <x v="4435"/>
    <x v="5"/>
    <x v="3"/>
  </r>
  <r>
    <n v="45469"/>
    <x v="696"/>
    <x v="16"/>
    <x v="0"/>
    <x v="1"/>
    <s v="Avery 512"/>
    <n v="13.87"/>
    <n v="6"/>
    <x v="658"/>
    <x v="5"/>
    <x v="3"/>
  </r>
  <r>
    <n v="45469"/>
    <x v="696"/>
    <x v="16"/>
    <x v="1"/>
    <x v="5"/>
    <s v="Hon Comfortask Task/Swivel Chairs"/>
    <n v="273.55"/>
    <n v="3"/>
    <x v="961"/>
    <x v="5"/>
    <x v="3"/>
  </r>
  <r>
    <n v="45469"/>
    <x v="445"/>
    <x v="20"/>
    <x v="0"/>
    <x v="2"/>
    <s v="Safco Industrial Wire Shelving System"/>
    <n v="272.94"/>
    <n v="3"/>
    <x v="62"/>
    <x v="5"/>
    <x v="3"/>
  </r>
  <r>
    <n v="45469"/>
    <x v="134"/>
    <x v="20"/>
    <x v="0"/>
    <x v="3"/>
    <s v="GBC ProClick Punch Binding System"/>
    <n v="102.37"/>
    <n v="2"/>
    <x v="4436"/>
    <x v="5"/>
    <x v="3"/>
  </r>
  <r>
    <n v="45469"/>
    <x v="134"/>
    <x v="20"/>
    <x v="0"/>
    <x v="14"/>
    <s v="Acme Preferred Stainless Steel Scissors"/>
    <n v="28.4"/>
    <n v="5"/>
    <x v="4437"/>
    <x v="5"/>
    <x v="3"/>
  </r>
  <r>
    <n v="45469"/>
    <x v="134"/>
    <x v="20"/>
    <x v="0"/>
    <x v="2"/>
    <s v="Hot File 7-Pocket, Floor Stand"/>
    <n v="713.88"/>
    <n v="4"/>
    <x v="4438"/>
    <x v="5"/>
    <x v="3"/>
  </r>
  <r>
    <n v="45469"/>
    <x v="134"/>
    <x v="20"/>
    <x v="0"/>
    <x v="0"/>
    <s v="Xerox 1991"/>
    <n v="68.52"/>
    <n v="3"/>
    <x v="2845"/>
    <x v="5"/>
    <x v="3"/>
  </r>
  <r>
    <n v="45470"/>
    <x v="415"/>
    <x v="20"/>
    <x v="1"/>
    <x v="5"/>
    <s v="Situations Contoured Folding Chairs, 4/Set"/>
    <n v="191.65"/>
    <n v="3"/>
    <x v="4439"/>
    <x v="5"/>
    <x v="3"/>
  </r>
  <r>
    <n v="45470"/>
    <x v="217"/>
    <x v="40"/>
    <x v="0"/>
    <x v="0"/>
    <s v="Wirebound Message Books, Four 2 3/4 x 5 White Forms per Page"/>
    <n v="20.07"/>
    <n v="3"/>
    <x v="439"/>
    <x v="5"/>
    <x v="3"/>
  </r>
  <r>
    <n v="45470"/>
    <x v="203"/>
    <x v="22"/>
    <x v="0"/>
    <x v="0"/>
    <s v="Xerox 1997"/>
    <n v="19.440000000000001"/>
    <n v="3"/>
    <x v="5"/>
    <x v="5"/>
    <x v="3"/>
  </r>
  <r>
    <n v="45470"/>
    <x v="203"/>
    <x v="22"/>
    <x v="1"/>
    <x v="8"/>
    <s v="Executive Impressions Supervisor Wall Clock"/>
    <n v="126.3"/>
    <n v="3"/>
    <x v="4440"/>
    <x v="5"/>
    <x v="3"/>
  </r>
  <r>
    <n v="45470"/>
    <x v="203"/>
    <x v="22"/>
    <x v="2"/>
    <x v="9"/>
    <s v="LogitechÂ P710e Mobile Speakerphone"/>
    <n v="1287.45"/>
    <n v="5"/>
    <x v="3028"/>
    <x v="5"/>
    <x v="3"/>
  </r>
  <r>
    <n v="45472"/>
    <x v="78"/>
    <x v="3"/>
    <x v="0"/>
    <x v="2"/>
    <s v="Tennsco 16-Compartment Lockers with Coat Rack"/>
    <n v="1295.78"/>
    <n v="2"/>
    <x v="4441"/>
    <x v="5"/>
    <x v="3"/>
  </r>
  <r>
    <n v="45472"/>
    <x v="116"/>
    <x v="28"/>
    <x v="0"/>
    <x v="12"/>
    <s v="Belkin 325VA UPS Surge Protector, 6'"/>
    <n v="362.94"/>
    <n v="3"/>
    <x v="4442"/>
    <x v="5"/>
    <x v="3"/>
  </r>
  <r>
    <n v="45472"/>
    <x v="116"/>
    <x v="28"/>
    <x v="0"/>
    <x v="3"/>
    <s v="Avery Binding System Hidden Tab Executive Style Index Sets"/>
    <n v="11.54"/>
    <n v="2"/>
    <x v="169"/>
    <x v="5"/>
    <x v="3"/>
  </r>
  <r>
    <n v="45472"/>
    <x v="189"/>
    <x v="3"/>
    <x v="0"/>
    <x v="3"/>
    <s v="Satellite Sectional Post Binders"/>
    <n v="312.55"/>
    <n v="9"/>
    <x v="4443"/>
    <x v="5"/>
    <x v="3"/>
  </r>
  <r>
    <n v="45472"/>
    <x v="452"/>
    <x v="0"/>
    <x v="0"/>
    <x v="0"/>
    <s v="Xerox 218"/>
    <n v="5.18"/>
    <n v="1"/>
    <x v="1534"/>
    <x v="5"/>
    <x v="3"/>
  </r>
  <r>
    <n v="45472"/>
    <x v="494"/>
    <x v="3"/>
    <x v="0"/>
    <x v="3"/>
    <s v="GBC DocuBind TL200 Manual Binding Machine"/>
    <n v="895.92"/>
    <n v="5"/>
    <x v="4216"/>
    <x v="5"/>
    <x v="3"/>
  </r>
  <r>
    <n v="45472"/>
    <x v="494"/>
    <x v="3"/>
    <x v="0"/>
    <x v="2"/>
    <s v="Trav-L-File Heavy-Duty Shuttle II, Black"/>
    <n v="130.71"/>
    <n v="3"/>
    <x v="4444"/>
    <x v="5"/>
    <x v="3"/>
  </r>
  <r>
    <n v="45472"/>
    <x v="494"/>
    <x v="3"/>
    <x v="0"/>
    <x v="4"/>
    <s v="Newell 328"/>
    <n v="11.68"/>
    <n v="2"/>
    <x v="602"/>
    <x v="5"/>
    <x v="3"/>
  </r>
  <r>
    <n v="45472"/>
    <x v="494"/>
    <x v="3"/>
    <x v="2"/>
    <x v="9"/>
    <s v="Enermax Briskie RF Wireless Keyboard and Mouse Combo"/>
    <n v="62.31"/>
    <n v="3"/>
    <x v="111"/>
    <x v="5"/>
    <x v="3"/>
  </r>
  <r>
    <n v="45472"/>
    <x v="696"/>
    <x v="37"/>
    <x v="1"/>
    <x v="11"/>
    <s v="Hon Metal Bookcases, Putty"/>
    <n v="638.82000000000005"/>
    <n v="9"/>
    <x v="4445"/>
    <x v="5"/>
    <x v="3"/>
  </r>
  <r>
    <n v="45472"/>
    <x v="696"/>
    <x v="37"/>
    <x v="0"/>
    <x v="14"/>
    <s v="Acme Box Cutter Scissors"/>
    <n v="30.69"/>
    <n v="3"/>
    <x v="1374"/>
    <x v="5"/>
    <x v="3"/>
  </r>
  <r>
    <n v="45472"/>
    <x v="696"/>
    <x v="37"/>
    <x v="1"/>
    <x v="8"/>
    <s v="DAX Executive Solid Wood Document Frame, Desktop or Hang, Mahogany, 5 x 7"/>
    <n v="25.16"/>
    <n v="2"/>
    <x v="3585"/>
    <x v="5"/>
    <x v="3"/>
  </r>
  <r>
    <n v="45472"/>
    <x v="297"/>
    <x v="0"/>
    <x v="0"/>
    <x v="12"/>
    <s v="Belkin F9G930V10-GRY 9 Outlet Surge"/>
    <n v="21.39"/>
    <n v="2"/>
    <x v="4446"/>
    <x v="5"/>
    <x v="3"/>
  </r>
  <r>
    <n v="45472"/>
    <x v="297"/>
    <x v="0"/>
    <x v="1"/>
    <x v="13"/>
    <s v="Bevis Round Conference Table Top &amp; Single Column Base"/>
    <n v="307.31"/>
    <n v="3"/>
    <x v="4447"/>
    <x v="5"/>
    <x v="3"/>
  </r>
  <r>
    <n v="45472"/>
    <x v="297"/>
    <x v="0"/>
    <x v="1"/>
    <x v="11"/>
    <s v="O'Sullivan Plantations 2-Door Library in Landvery Oak"/>
    <n v="410"/>
    <n v="3"/>
    <x v="4448"/>
    <x v="5"/>
    <x v="3"/>
  </r>
  <r>
    <n v="45473"/>
    <x v="665"/>
    <x v="17"/>
    <x v="0"/>
    <x v="3"/>
    <s v="Tuf-Vin Binders"/>
    <n v="75.790000000000006"/>
    <n v="3"/>
    <x v="4449"/>
    <x v="5"/>
    <x v="3"/>
  </r>
  <r>
    <n v="45473"/>
    <x v="320"/>
    <x v="20"/>
    <x v="1"/>
    <x v="13"/>
    <s v="Bretford CR4500 Series Slim Rectangular Table"/>
    <n v="1044.6300000000001"/>
    <n v="5"/>
    <x v="4450"/>
    <x v="5"/>
    <x v="3"/>
  </r>
  <r>
    <n v="45473"/>
    <x v="565"/>
    <x v="20"/>
    <x v="0"/>
    <x v="2"/>
    <s v="Steel Personal Filing/Posting Tote"/>
    <n v="248.57"/>
    <n v="7"/>
    <x v="4451"/>
    <x v="5"/>
    <x v="3"/>
  </r>
  <r>
    <n v="45473"/>
    <x v="565"/>
    <x v="20"/>
    <x v="1"/>
    <x v="8"/>
    <s v="Executive Impressions 14&quot;"/>
    <n v="22.23"/>
    <n v="1"/>
    <x v="2686"/>
    <x v="5"/>
    <x v="3"/>
  </r>
  <r>
    <n v="45473"/>
    <x v="292"/>
    <x v="1"/>
    <x v="2"/>
    <x v="6"/>
    <s v="Samsung Galaxy S4"/>
    <n v="1001.58"/>
    <n v="2"/>
    <x v="3612"/>
    <x v="5"/>
    <x v="3"/>
  </r>
  <r>
    <n v="45473"/>
    <x v="292"/>
    <x v="1"/>
    <x v="1"/>
    <x v="5"/>
    <s v="Global Enterprise Series Seating High-Back Swivel/Tilt Chairs"/>
    <n v="569.05999999999995"/>
    <n v="3"/>
    <x v="4452"/>
    <x v="5"/>
    <x v="3"/>
  </r>
  <r>
    <n v="45473"/>
    <x v="292"/>
    <x v="1"/>
    <x v="1"/>
    <x v="8"/>
    <s v="Seth Thomas 13 1/2&quot; Wall Clock"/>
    <n v="14.22"/>
    <n v="2"/>
    <x v="4453"/>
    <x v="5"/>
    <x v="3"/>
  </r>
  <r>
    <n v="45473"/>
    <x v="762"/>
    <x v="15"/>
    <x v="1"/>
    <x v="8"/>
    <s v="Advantus Panel Wall Certificate Holder - 8.5x11"/>
    <n v="19.52"/>
    <n v="2"/>
    <x v="193"/>
    <x v="5"/>
    <x v="3"/>
  </r>
  <r>
    <n v="45473"/>
    <x v="405"/>
    <x v="3"/>
    <x v="1"/>
    <x v="11"/>
    <s v="Sauder Facets Collection Library, Sky Alder Finish"/>
    <n v="436"/>
    <n v="3"/>
    <x v="3229"/>
    <x v="5"/>
    <x v="3"/>
  </r>
  <r>
    <n v="45473"/>
    <x v="426"/>
    <x v="3"/>
    <x v="0"/>
    <x v="0"/>
    <s v="Xerox 1919"/>
    <n v="204.95"/>
    <n v="5"/>
    <x v="3844"/>
    <x v="5"/>
    <x v="3"/>
  </r>
  <r>
    <n v="45473"/>
    <x v="37"/>
    <x v="20"/>
    <x v="0"/>
    <x v="2"/>
    <s v="Dual Level, Single-Width Filing Carts"/>
    <n v="1085.42"/>
    <n v="7"/>
    <x v="1768"/>
    <x v="5"/>
    <x v="3"/>
  </r>
  <r>
    <n v="45474"/>
    <x v="432"/>
    <x v="18"/>
    <x v="0"/>
    <x v="2"/>
    <s v="Carina Mini System Audio Rack, Model AR050B"/>
    <n v="443.92"/>
    <n v="4"/>
    <x v="1260"/>
    <x v="6"/>
    <x v="3"/>
  </r>
  <r>
    <n v="45474"/>
    <x v="432"/>
    <x v="18"/>
    <x v="0"/>
    <x v="3"/>
    <s v="Fellowes PB200 Plastic Comb Binding Machine"/>
    <n v="169.99"/>
    <n v="1"/>
    <x v="4454"/>
    <x v="6"/>
    <x v="3"/>
  </r>
  <r>
    <n v="45474"/>
    <x v="432"/>
    <x v="18"/>
    <x v="0"/>
    <x v="0"/>
    <s v="Xerox 226"/>
    <n v="25.92"/>
    <n v="4"/>
    <x v="496"/>
    <x v="6"/>
    <x v="3"/>
  </r>
  <r>
    <n v="45475"/>
    <x v="303"/>
    <x v="0"/>
    <x v="0"/>
    <x v="0"/>
    <s v="White Dual Perf Computer Printout Paper, 2700 Sheets, 1 Part, Heavyweight, 20 lbs., 14 7/8 x 11"/>
    <n v="163.96"/>
    <n v="5"/>
    <x v="4455"/>
    <x v="6"/>
    <x v="3"/>
  </r>
  <r>
    <n v="45475"/>
    <x v="303"/>
    <x v="0"/>
    <x v="0"/>
    <x v="3"/>
    <s v="Wilson Jones Four-Pocket Poly Binders"/>
    <n v="5.23"/>
    <n v="4"/>
    <x v="4456"/>
    <x v="6"/>
    <x v="3"/>
  </r>
  <r>
    <n v="45476"/>
    <x v="787"/>
    <x v="4"/>
    <x v="1"/>
    <x v="8"/>
    <s v="Westinghouse Floor Lamp with Metal Mesh Shade, Black"/>
    <n v="23.99"/>
    <n v="1"/>
    <x v="1547"/>
    <x v="6"/>
    <x v="3"/>
  </r>
  <r>
    <n v="45476"/>
    <x v="787"/>
    <x v="4"/>
    <x v="2"/>
    <x v="6"/>
    <s v="Pyle PMP37LED"/>
    <n v="287.97000000000003"/>
    <n v="3"/>
    <x v="1856"/>
    <x v="6"/>
    <x v="3"/>
  </r>
  <r>
    <n v="45476"/>
    <x v="598"/>
    <x v="25"/>
    <x v="0"/>
    <x v="4"/>
    <s v="4009 Highlighters by Sanford"/>
    <n v="9.5500000000000007"/>
    <n v="3"/>
    <x v="839"/>
    <x v="6"/>
    <x v="3"/>
  </r>
  <r>
    <n v="45476"/>
    <x v="122"/>
    <x v="0"/>
    <x v="2"/>
    <x v="6"/>
    <s v="netTALK DUO VoIP Telephone Service"/>
    <n v="167.97"/>
    <n v="4"/>
    <x v="1432"/>
    <x v="6"/>
    <x v="3"/>
  </r>
  <r>
    <n v="45476"/>
    <x v="136"/>
    <x v="0"/>
    <x v="0"/>
    <x v="0"/>
    <s v="Xerox 1891"/>
    <n v="273.89999999999998"/>
    <n v="7"/>
    <x v="4457"/>
    <x v="6"/>
    <x v="3"/>
  </r>
  <r>
    <n v="45476"/>
    <x v="136"/>
    <x v="0"/>
    <x v="2"/>
    <x v="15"/>
    <s v="Hewlett-Packard Deskjet 5550 Printer"/>
    <n v="597.13"/>
    <n v="3"/>
    <x v="4458"/>
    <x v="6"/>
    <x v="3"/>
  </r>
  <r>
    <n v="45476"/>
    <x v="103"/>
    <x v="31"/>
    <x v="1"/>
    <x v="8"/>
    <s v="Tenex Traditional Chairmats for Medium Pile Carpet, Standard Lip, 36&quot; x 48&quot;"/>
    <n v="545.85"/>
    <n v="9"/>
    <x v="4459"/>
    <x v="6"/>
    <x v="3"/>
  </r>
  <r>
    <n v="45476"/>
    <x v="381"/>
    <x v="10"/>
    <x v="0"/>
    <x v="0"/>
    <s v="Message Book, Wirebound, Four 5 1/2&quot; X 4&quot; Forms/Pg., 200 Dupl. Sets/Book"/>
    <n v="32.9"/>
    <n v="4"/>
    <x v="117"/>
    <x v="6"/>
    <x v="3"/>
  </r>
  <r>
    <n v="45476"/>
    <x v="381"/>
    <x v="10"/>
    <x v="1"/>
    <x v="13"/>
    <s v="Bevis Round Conference Table Top, X-Base"/>
    <n v="215.15"/>
    <n v="2"/>
    <x v="4460"/>
    <x v="6"/>
    <x v="3"/>
  </r>
  <r>
    <n v="45476"/>
    <x v="381"/>
    <x v="10"/>
    <x v="0"/>
    <x v="0"/>
    <s v="Wirebound Four 2-3/4 x 5 Forms per Page, 400 Sets per Book"/>
    <n v="30.96"/>
    <n v="6"/>
    <x v="3490"/>
    <x v="6"/>
    <x v="3"/>
  </r>
  <r>
    <n v="45476"/>
    <x v="412"/>
    <x v="22"/>
    <x v="2"/>
    <x v="9"/>
    <s v="Logitech 910-002974 M325 Wireless Mouse for Web Scrolling"/>
    <n v="59.98"/>
    <n v="2"/>
    <x v="485"/>
    <x v="6"/>
    <x v="3"/>
  </r>
  <r>
    <n v="45476"/>
    <x v="412"/>
    <x v="22"/>
    <x v="2"/>
    <x v="15"/>
    <s v="Okidata MB491 Multifunction Printer"/>
    <n v="2395.1999999999998"/>
    <n v="6"/>
    <x v="4461"/>
    <x v="6"/>
    <x v="3"/>
  </r>
  <r>
    <n v="45476"/>
    <x v="412"/>
    <x v="22"/>
    <x v="2"/>
    <x v="9"/>
    <s v="Plantronics Savi W720 Multi-Device Wireless Headset System"/>
    <n v="1687.8"/>
    <n v="4"/>
    <x v="1603"/>
    <x v="6"/>
    <x v="3"/>
  </r>
  <r>
    <n v="45476"/>
    <x v="412"/>
    <x v="22"/>
    <x v="2"/>
    <x v="6"/>
    <s v="Square Credit Card Reader, 4 1/2&quot; x 4 1/2&quot; x 1&quot;, White"/>
    <n v="7.99"/>
    <n v="1"/>
    <x v="222"/>
    <x v="6"/>
    <x v="3"/>
  </r>
  <r>
    <n v="45476"/>
    <x v="365"/>
    <x v="32"/>
    <x v="2"/>
    <x v="9"/>
    <s v="TRENDnet 56K USB 2.0 Phone, Internet and Fax Modem"/>
    <n v="258.89999999999998"/>
    <n v="10"/>
    <x v="4462"/>
    <x v="6"/>
    <x v="3"/>
  </r>
  <r>
    <n v="45476"/>
    <x v="365"/>
    <x v="32"/>
    <x v="0"/>
    <x v="0"/>
    <s v="Xerox 1881"/>
    <n v="24.56"/>
    <n v="2"/>
    <x v="391"/>
    <x v="6"/>
    <x v="3"/>
  </r>
  <r>
    <n v="45476"/>
    <x v="337"/>
    <x v="3"/>
    <x v="1"/>
    <x v="8"/>
    <s v="Howard Miller 11-1/2&quot; Diameter Brentwood Wall Clock"/>
    <n v="129.38999999999999"/>
    <n v="3"/>
    <x v="4463"/>
    <x v="6"/>
    <x v="3"/>
  </r>
  <r>
    <n v="45476"/>
    <x v="122"/>
    <x v="3"/>
    <x v="0"/>
    <x v="2"/>
    <s v="Rogers Deluxe File Chest"/>
    <n v="87.92"/>
    <n v="4"/>
    <x v="1155"/>
    <x v="6"/>
    <x v="3"/>
  </r>
  <r>
    <n v="45476"/>
    <x v="627"/>
    <x v="25"/>
    <x v="2"/>
    <x v="9"/>
    <s v="ImationÂ 8gb Micro Traveldrive Usb 2.0Â Flash Drive"/>
    <n v="24"/>
    <n v="2"/>
    <x v="2425"/>
    <x v="6"/>
    <x v="3"/>
  </r>
  <r>
    <n v="45476"/>
    <x v="578"/>
    <x v="38"/>
    <x v="1"/>
    <x v="8"/>
    <s v="Luxo Professional Combination Clamp-On Lamps"/>
    <n v="102.3"/>
    <n v="1"/>
    <x v="734"/>
    <x v="6"/>
    <x v="3"/>
  </r>
  <r>
    <n v="45478"/>
    <x v="637"/>
    <x v="0"/>
    <x v="1"/>
    <x v="8"/>
    <s v="Deflect-o RollaMat Studded, Beveled Mat for Medium Pile Carpeting"/>
    <n v="332.03"/>
    <n v="9"/>
    <x v="4464"/>
    <x v="6"/>
    <x v="3"/>
  </r>
  <r>
    <n v="45478"/>
    <x v="637"/>
    <x v="0"/>
    <x v="0"/>
    <x v="3"/>
    <s v="Cardinal HOLDit! Binder Insert Strips,Extra Strips"/>
    <n v="11.39"/>
    <n v="9"/>
    <x v="4465"/>
    <x v="6"/>
    <x v="3"/>
  </r>
  <r>
    <n v="45478"/>
    <x v="637"/>
    <x v="0"/>
    <x v="0"/>
    <x v="0"/>
    <s v="Xerox 1975"/>
    <n v="15.55"/>
    <n v="3"/>
    <x v="1291"/>
    <x v="6"/>
    <x v="3"/>
  </r>
  <r>
    <n v="45478"/>
    <x v="637"/>
    <x v="0"/>
    <x v="0"/>
    <x v="0"/>
    <s v="Xerox 1966"/>
    <n v="31.1"/>
    <n v="6"/>
    <x v="4279"/>
    <x v="6"/>
    <x v="3"/>
  </r>
  <r>
    <n v="45478"/>
    <x v="637"/>
    <x v="0"/>
    <x v="0"/>
    <x v="3"/>
    <s v="Tuf-Vin Binders"/>
    <n v="6.32"/>
    <n v="1"/>
    <x v="2322"/>
    <x v="6"/>
    <x v="3"/>
  </r>
  <r>
    <n v="45478"/>
    <x v="105"/>
    <x v="40"/>
    <x v="2"/>
    <x v="6"/>
    <s v="Anker 36W 4-Port USB Wall Charger Travel Power Adapter for iPhone 5s 5c 5"/>
    <n v="79.959999999999994"/>
    <n v="4"/>
    <x v="4466"/>
    <x v="6"/>
    <x v="3"/>
  </r>
  <r>
    <n v="45479"/>
    <x v="470"/>
    <x v="2"/>
    <x v="0"/>
    <x v="3"/>
    <s v="Pressboard Covers with Storage Hooks, 9 1/2&quot; x 11&quot;, Light Blue"/>
    <n v="2.95"/>
    <n v="2"/>
    <x v="4467"/>
    <x v="6"/>
    <x v="3"/>
  </r>
  <r>
    <n v="45479"/>
    <x v="470"/>
    <x v="2"/>
    <x v="0"/>
    <x v="0"/>
    <s v="Wirebound Message Books, 5-1/2 x 4 Forms, 2 or 4 Forms per Page"/>
    <n v="16.059999999999999"/>
    <n v="3"/>
    <x v="1244"/>
    <x v="6"/>
    <x v="3"/>
  </r>
  <r>
    <n v="45479"/>
    <x v="475"/>
    <x v="16"/>
    <x v="1"/>
    <x v="5"/>
    <s v="Global Comet Stacking Armless Chair"/>
    <n v="239.24"/>
    <n v="1"/>
    <x v="1916"/>
    <x v="6"/>
    <x v="3"/>
  </r>
  <r>
    <n v="45479"/>
    <x v="487"/>
    <x v="3"/>
    <x v="1"/>
    <x v="5"/>
    <s v="Global Task Chair, Black"/>
    <n v="122.14"/>
    <n v="3"/>
    <x v="4468"/>
    <x v="6"/>
    <x v="3"/>
  </r>
  <r>
    <n v="45480"/>
    <x v="349"/>
    <x v="20"/>
    <x v="0"/>
    <x v="3"/>
    <s v="Wilson Jones Active Use Binders"/>
    <n v="17.47"/>
    <n v="3"/>
    <x v="3853"/>
    <x v="6"/>
    <x v="3"/>
  </r>
  <r>
    <n v="45480"/>
    <x v="634"/>
    <x v="43"/>
    <x v="2"/>
    <x v="9"/>
    <s v="Hypercom P1300 Pinpad"/>
    <n v="252"/>
    <n v="4"/>
    <x v="4469"/>
    <x v="6"/>
    <x v="3"/>
  </r>
  <r>
    <n v="45480"/>
    <x v="556"/>
    <x v="2"/>
    <x v="1"/>
    <x v="11"/>
    <s v="O'Sullivan 3-Shelf Heavy-Duty Bookcases"/>
    <n v="87.21"/>
    <n v="3"/>
    <x v="4470"/>
    <x v="6"/>
    <x v="3"/>
  </r>
  <r>
    <n v="45480"/>
    <x v="556"/>
    <x v="2"/>
    <x v="0"/>
    <x v="0"/>
    <s v="Xerox 216"/>
    <n v="15.55"/>
    <n v="3"/>
    <x v="192"/>
    <x v="6"/>
    <x v="3"/>
  </r>
  <r>
    <n v="45480"/>
    <x v="556"/>
    <x v="2"/>
    <x v="2"/>
    <x v="6"/>
    <s v="Apple iPhone 5S"/>
    <n v="683.99"/>
    <n v="2"/>
    <x v="4471"/>
    <x v="6"/>
    <x v="3"/>
  </r>
  <r>
    <n v="45480"/>
    <x v="556"/>
    <x v="2"/>
    <x v="0"/>
    <x v="2"/>
    <s v="Plastic Stacking Crates &amp; Casters"/>
    <n v="13.39"/>
    <n v="3"/>
    <x v="202"/>
    <x v="6"/>
    <x v="3"/>
  </r>
  <r>
    <n v="45480"/>
    <x v="556"/>
    <x v="2"/>
    <x v="2"/>
    <x v="9"/>
    <s v="AmazonBasics 3-Button USB Wired Mouse"/>
    <n v="16.78"/>
    <n v="3"/>
    <x v="3545"/>
    <x v="6"/>
    <x v="3"/>
  </r>
  <r>
    <n v="45480"/>
    <x v="556"/>
    <x v="2"/>
    <x v="2"/>
    <x v="9"/>
    <s v="Plantronics CS510 - Over-the-Head monaural Wireless Headset System"/>
    <n v="527.91999999999996"/>
    <n v="2"/>
    <x v="4472"/>
    <x v="6"/>
    <x v="3"/>
  </r>
  <r>
    <n v="45480"/>
    <x v="372"/>
    <x v="3"/>
    <x v="0"/>
    <x v="7"/>
    <s v="Brites Rubber Bands, 1 1/2 oz. Box"/>
    <n v="5.94"/>
    <n v="3"/>
    <x v="1552"/>
    <x v="6"/>
    <x v="3"/>
  </r>
  <r>
    <n v="45481"/>
    <x v="210"/>
    <x v="32"/>
    <x v="0"/>
    <x v="4"/>
    <s v="Binney &amp; Smith inkTank Erasable Desk Highlighter, Chisel Tip, Yellow, 12/Box"/>
    <n v="7.56"/>
    <n v="3"/>
    <x v="1040"/>
    <x v="6"/>
    <x v="3"/>
  </r>
  <r>
    <n v="45481"/>
    <x v="210"/>
    <x v="32"/>
    <x v="0"/>
    <x v="0"/>
    <s v="Easy-staple paper"/>
    <n v="24.56"/>
    <n v="2"/>
    <x v="391"/>
    <x v="6"/>
    <x v="3"/>
  </r>
  <r>
    <n v="45481"/>
    <x v="210"/>
    <x v="32"/>
    <x v="0"/>
    <x v="4"/>
    <s v="BIC Brite Liner Highlighters, Chisel Tip"/>
    <n v="12.96"/>
    <n v="2"/>
    <x v="4473"/>
    <x v="6"/>
    <x v="3"/>
  </r>
  <r>
    <n v="45481"/>
    <x v="381"/>
    <x v="3"/>
    <x v="1"/>
    <x v="8"/>
    <s v="Deflect-o SuperTray Unbreakable Stackable Tray, Letter, Black"/>
    <n v="145.9"/>
    <n v="5"/>
    <x v="2433"/>
    <x v="6"/>
    <x v="3"/>
  </r>
  <r>
    <n v="45481"/>
    <x v="788"/>
    <x v="22"/>
    <x v="1"/>
    <x v="8"/>
    <s v="GE 48&quot; Fluorescent Tube, Cool White Energy Saver, 34 Watts, 30/Box"/>
    <n v="198.46"/>
    <n v="2"/>
    <x v="4474"/>
    <x v="6"/>
    <x v="3"/>
  </r>
  <r>
    <n v="45481"/>
    <x v="788"/>
    <x v="22"/>
    <x v="0"/>
    <x v="1"/>
    <s v="Dot Matrix Printer Tape Reel Labels, White, 5000/Box"/>
    <n v="786.48"/>
    <n v="8"/>
    <x v="4475"/>
    <x v="6"/>
    <x v="3"/>
  </r>
  <r>
    <n v="45481"/>
    <x v="788"/>
    <x v="22"/>
    <x v="0"/>
    <x v="3"/>
    <s v="GBC White Gloss Covers, Plain Front"/>
    <n v="23.17"/>
    <n v="2"/>
    <x v="355"/>
    <x v="6"/>
    <x v="3"/>
  </r>
  <r>
    <n v="45481"/>
    <x v="788"/>
    <x v="22"/>
    <x v="2"/>
    <x v="9"/>
    <s v="Micro Innovations USB RF Wireless Keyboard with Mouse"/>
    <n v="50"/>
    <n v="2"/>
    <x v="554"/>
    <x v="6"/>
    <x v="3"/>
  </r>
  <r>
    <n v="45481"/>
    <x v="339"/>
    <x v="3"/>
    <x v="0"/>
    <x v="1"/>
    <s v="Avery 485"/>
    <n v="75.180000000000007"/>
    <n v="6"/>
    <x v="999"/>
    <x v="6"/>
    <x v="3"/>
  </r>
  <r>
    <n v="45481"/>
    <x v="58"/>
    <x v="22"/>
    <x v="1"/>
    <x v="8"/>
    <s v="Master Big Foot Doorstop, Beige"/>
    <n v="15.84"/>
    <n v="3"/>
    <x v="135"/>
    <x v="6"/>
    <x v="3"/>
  </r>
  <r>
    <n v="45481"/>
    <x v="58"/>
    <x v="22"/>
    <x v="0"/>
    <x v="3"/>
    <s v="GBC VeloBinder Manual Binding System"/>
    <n v="86.38"/>
    <n v="3"/>
    <x v="4476"/>
    <x v="6"/>
    <x v="3"/>
  </r>
  <r>
    <n v="45481"/>
    <x v="58"/>
    <x v="22"/>
    <x v="0"/>
    <x v="4"/>
    <s v="Zebra Zazzle Fluorescent Highlighters"/>
    <n v="18.239999999999998"/>
    <n v="3"/>
    <x v="1113"/>
    <x v="6"/>
    <x v="3"/>
  </r>
  <r>
    <n v="45481"/>
    <x v="58"/>
    <x v="22"/>
    <x v="0"/>
    <x v="4"/>
    <s v="Crayola Colored Pencils"/>
    <n v="13.12"/>
    <n v="4"/>
    <x v="1398"/>
    <x v="6"/>
    <x v="3"/>
  </r>
  <r>
    <n v="45481"/>
    <x v="736"/>
    <x v="7"/>
    <x v="1"/>
    <x v="8"/>
    <s v="36X48 HARDFLOOR CHAIRMAT"/>
    <n v="83.92"/>
    <n v="4"/>
    <x v="1243"/>
    <x v="6"/>
    <x v="3"/>
  </r>
  <r>
    <n v="45481"/>
    <x v="736"/>
    <x v="7"/>
    <x v="2"/>
    <x v="9"/>
    <s v="Maxell 4.7GB DVD-R"/>
    <n v="141.9"/>
    <n v="5"/>
    <x v="1947"/>
    <x v="6"/>
    <x v="3"/>
  </r>
  <r>
    <n v="45481"/>
    <x v="736"/>
    <x v="7"/>
    <x v="1"/>
    <x v="8"/>
    <s v="Tensor Track Tree Floor Lamp"/>
    <n v="39.979999999999997"/>
    <n v="2"/>
    <x v="3375"/>
    <x v="6"/>
    <x v="3"/>
  </r>
  <r>
    <n v="45481"/>
    <x v="736"/>
    <x v="7"/>
    <x v="0"/>
    <x v="4"/>
    <s v="Newell 325"/>
    <n v="28.91"/>
    <n v="7"/>
    <x v="1570"/>
    <x v="6"/>
    <x v="3"/>
  </r>
  <r>
    <n v="45481"/>
    <x v="736"/>
    <x v="7"/>
    <x v="0"/>
    <x v="4"/>
    <s v="Hunt Boston Vacuum Mount KS Pencil Sharpener"/>
    <n v="174.95"/>
    <n v="5"/>
    <x v="378"/>
    <x v="6"/>
    <x v="3"/>
  </r>
  <r>
    <n v="45481"/>
    <x v="376"/>
    <x v="22"/>
    <x v="0"/>
    <x v="0"/>
    <s v="Easy-staple paper"/>
    <n v="52.76"/>
    <n v="2"/>
    <x v="1818"/>
    <x v="6"/>
    <x v="3"/>
  </r>
  <r>
    <n v="45482"/>
    <x v="210"/>
    <x v="11"/>
    <x v="0"/>
    <x v="3"/>
    <s v="Wilson Jones Easy Flow II Sheet Lifters"/>
    <n v="1.08"/>
    <n v="2"/>
    <x v="2405"/>
    <x v="6"/>
    <x v="3"/>
  </r>
  <r>
    <n v="45482"/>
    <x v="270"/>
    <x v="1"/>
    <x v="0"/>
    <x v="4"/>
    <s v="Quartet Alpha White Chalk, 12/Pack"/>
    <n v="8.84"/>
    <n v="5"/>
    <x v="1989"/>
    <x v="6"/>
    <x v="3"/>
  </r>
  <r>
    <n v="45482"/>
    <x v="270"/>
    <x v="1"/>
    <x v="0"/>
    <x v="12"/>
    <s v="Belkin F9S820V06 8 Outlet Surge"/>
    <n v="58.46"/>
    <n v="9"/>
    <x v="4477"/>
    <x v="6"/>
    <x v="3"/>
  </r>
  <r>
    <n v="45482"/>
    <x v="209"/>
    <x v="1"/>
    <x v="0"/>
    <x v="2"/>
    <s v="Recycled Steel Personal File for Hanging File Folders"/>
    <n v="228.92"/>
    <n v="5"/>
    <x v="69"/>
    <x v="6"/>
    <x v="3"/>
  </r>
  <r>
    <n v="45482"/>
    <x v="88"/>
    <x v="18"/>
    <x v="1"/>
    <x v="8"/>
    <s v="Eldon Antistatic Chair Mats for Low to Medium Pile Carpets"/>
    <n v="526.45000000000005"/>
    <n v="5"/>
    <x v="4434"/>
    <x v="6"/>
    <x v="3"/>
  </r>
  <r>
    <n v="45482"/>
    <x v="509"/>
    <x v="37"/>
    <x v="0"/>
    <x v="0"/>
    <s v="Xerox 1914"/>
    <n v="274.8"/>
    <n v="5"/>
    <x v="1988"/>
    <x v="6"/>
    <x v="3"/>
  </r>
  <r>
    <n v="45482"/>
    <x v="509"/>
    <x v="37"/>
    <x v="0"/>
    <x v="2"/>
    <s v="Tennsco Industrial Shelving"/>
    <n v="195.64"/>
    <n v="4"/>
    <x v="288"/>
    <x v="6"/>
    <x v="3"/>
  </r>
  <r>
    <n v="45482"/>
    <x v="509"/>
    <x v="37"/>
    <x v="2"/>
    <x v="6"/>
    <s v="Digium D40 VoIP phone"/>
    <n v="257.98"/>
    <n v="2"/>
    <x v="1168"/>
    <x v="6"/>
    <x v="3"/>
  </r>
  <r>
    <n v="45482"/>
    <x v="509"/>
    <x v="37"/>
    <x v="0"/>
    <x v="4"/>
    <s v="Prismacolor Color Pencil Set"/>
    <n v="119.04"/>
    <n v="6"/>
    <x v="4478"/>
    <x v="6"/>
    <x v="3"/>
  </r>
  <r>
    <n v="45483"/>
    <x v="652"/>
    <x v="4"/>
    <x v="1"/>
    <x v="8"/>
    <s v="Eldon 200 Class Desk Accessories, Smoke"/>
    <n v="18.84"/>
    <n v="3"/>
    <x v="399"/>
    <x v="6"/>
    <x v="3"/>
  </r>
  <r>
    <n v="45483"/>
    <x v="215"/>
    <x v="1"/>
    <x v="0"/>
    <x v="2"/>
    <s v="Fellowes Mobile File Cart, Black"/>
    <n v="298.45999999999998"/>
    <n v="6"/>
    <x v="4479"/>
    <x v="6"/>
    <x v="3"/>
  </r>
  <r>
    <n v="45483"/>
    <x v="97"/>
    <x v="4"/>
    <x v="0"/>
    <x v="12"/>
    <s v="Belkin 7-Outlet SurgeMaster Home Series"/>
    <n v="41.91"/>
    <n v="3"/>
    <x v="2325"/>
    <x v="6"/>
    <x v="3"/>
  </r>
  <r>
    <n v="45484"/>
    <x v="549"/>
    <x v="3"/>
    <x v="0"/>
    <x v="1"/>
    <s v="Avery 482"/>
    <n v="8.67"/>
    <n v="3"/>
    <x v="403"/>
    <x v="6"/>
    <x v="3"/>
  </r>
  <r>
    <n v="45484"/>
    <x v="448"/>
    <x v="20"/>
    <x v="2"/>
    <x v="9"/>
    <s v="SanDisk Ultra 32 GB MicroSDHC Class 10 Memory Card"/>
    <n v="132.6"/>
    <n v="6"/>
    <x v="4480"/>
    <x v="6"/>
    <x v="3"/>
  </r>
  <r>
    <n v="45484"/>
    <x v="262"/>
    <x v="30"/>
    <x v="0"/>
    <x v="4"/>
    <s v="Staples in misc. colors"/>
    <n v="30.32"/>
    <n v="4"/>
    <x v="4427"/>
    <x v="6"/>
    <x v="3"/>
  </r>
  <r>
    <n v="45484"/>
    <x v="119"/>
    <x v="3"/>
    <x v="2"/>
    <x v="9"/>
    <s v="LogitechÂ P710e Mobile Speakerphone"/>
    <n v="1287.45"/>
    <n v="5"/>
    <x v="3028"/>
    <x v="6"/>
    <x v="3"/>
  </r>
  <r>
    <n v="45484"/>
    <x v="119"/>
    <x v="3"/>
    <x v="0"/>
    <x v="12"/>
    <s v="Fellowes 8 Outlet Superior Workstation Surge Protector w/o Phone/Fax/Modem Protection"/>
    <n v="168.1"/>
    <n v="5"/>
    <x v="4481"/>
    <x v="6"/>
    <x v="3"/>
  </r>
  <r>
    <n v="45484"/>
    <x v="324"/>
    <x v="3"/>
    <x v="2"/>
    <x v="6"/>
    <s v="Belkin iPhone and iPad Lightning Cable"/>
    <n v="71.95"/>
    <n v="6"/>
    <x v="144"/>
    <x v="6"/>
    <x v="3"/>
  </r>
  <r>
    <n v="45484"/>
    <x v="324"/>
    <x v="3"/>
    <x v="0"/>
    <x v="3"/>
    <s v="Acco Four Pocket Poly Ring Binder with Label Holder, Smoke, 1&quot;"/>
    <n v="29.8"/>
    <n v="5"/>
    <x v="2503"/>
    <x v="6"/>
    <x v="3"/>
  </r>
  <r>
    <n v="45485"/>
    <x v="178"/>
    <x v="10"/>
    <x v="0"/>
    <x v="0"/>
    <s v="Wirebound Message Books, Four 2 3/4 x 5 Forms per Page, 200 Sets per Book"/>
    <n v="3.82"/>
    <n v="1"/>
    <x v="3647"/>
    <x v="6"/>
    <x v="3"/>
  </r>
  <r>
    <n v="45486"/>
    <x v="294"/>
    <x v="2"/>
    <x v="2"/>
    <x v="6"/>
    <s v="Cisco SPA508G"/>
    <n v="39.590000000000003"/>
    <n v="1"/>
    <x v="4482"/>
    <x v="6"/>
    <x v="3"/>
  </r>
  <r>
    <n v="45486"/>
    <x v="294"/>
    <x v="2"/>
    <x v="1"/>
    <x v="8"/>
    <s v="Nu-Dell Executive Frame"/>
    <n v="91.01"/>
    <n v="9"/>
    <x v="4483"/>
    <x v="6"/>
    <x v="3"/>
  </r>
  <r>
    <n v="45486"/>
    <x v="390"/>
    <x v="42"/>
    <x v="0"/>
    <x v="2"/>
    <s v="Standard Rollaway File with Lock"/>
    <n v="360.38"/>
    <n v="2"/>
    <x v="2769"/>
    <x v="6"/>
    <x v="3"/>
  </r>
  <r>
    <n v="45486"/>
    <x v="390"/>
    <x v="42"/>
    <x v="0"/>
    <x v="0"/>
    <s v="Strathmore Photo Mount Cards"/>
    <n v="13.56"/>
    <n v="2"/>
    <x v="3184"/>
    <x v="6"/>
    <x v="3"/>
  </r>
  <r>
    <n v="45487"/>
    <x v="460"/>
    <x v="3"/>
    <x v="0"/>
    <x v="3"/>
    <s v="Acco Suede Grain Vinyl Round Ring Binder"/>
    <n v="4.45"/>
    <n v="2"/>
    <x v="1777"/>
    <x v="6"/>
    <x v="3"/>
  </r>
  <r>
    <n v="45487"/>
    <x v="460"/>
    <x v="3"/>
    <x v="1"/>
    <x v="8"/>
    <s v="Deflect-o RollaMat Studded, Beveled Mat for Medium Pile Carpeting"/>
    <n v="276.69"/>
    <n v="3"/>
    <x v="4428"/>
    <x v="6"/>
    <x v="3"/>
  </r>
  <r>
    <n v="45487"/>
    <x v="460"/>
    <x v="3"/>
    <x v="0"/>
    <x v="7"/>
    <s v="OIC Binder Clips, Mini, 1/4&quot; Capacity, Black"/>
    <n v="4.96"/>
    <n v="4"/>
    <x v="141"/>
    <x v="6"/>
    <x v="3"/>
  </r>
  <r>
    <n v="45487"/>
    <x v="460"/>
    <x v="3"/>
    <x v="0"/>
    <x v="4"/>
    <s v="BOSTON Model 1800 Electric Pencil Sharpeners, Putty/Woodgrain"/>
    <n v="71.92"/>
    <n v="4"/>
    <x v="4484"/>
    <x v="6"/>
    <x v="3"/>
  </r>
  <r>
    <n v="45487"/>
    <x v="460"/>
    <x v="3"/>
    <x v="1"/>
    <x v="8"/>
    <s v="Eldon 200 Class Desk Accessories, Burgundy"/>
    <n v="18.84"/>
    <n v="3"/>
    <x v="399"/>
    <x v="6"/>
    <x v="3"/>
  </r>
  <r>
    <n v="45487"/>
    <x v="460"/>
    <x v="3"/>
    <x v="2"/>
    <x v="9"/>
    <s v="Sony Micro Vault Click 8 GB USB 2.0 Flash Drive"/>
    <n v="140.97"/>
    <n v="3"/>
    <x v="4485"/>
    <x v="6"/>
    <x v="3"/>
  </r>
  <r>
    <n v="45487"/>
    <x v="460"/>
    <x v="3"/>
    <x v="2"/>
    <x v="6"/>
    <s v="GE 30524EE4"/>
    <n v="470.38"/>
    <n v="3"/>
    <x v="4373"/>
    <x v="6"/>
    <x v="3"/>
  </r>
  <r>
    <n v="45487"/>
    <x v="154"/>
    <x v="10"/>
    <x v="0"/>
    <x v="0"/>
    <s v="Xerox 1950"/>
    <n v="9.25"/>
    <n v="2"/>
    <x v="318"/>
    <x v="6"/>
    <x v="3"/>
  </r>
  <r>
    <n v="45487"/>
    <x v="154"/>
    <x v="10"/>
    <x v="2"/>
    <x v="6"/>
    <s v="Samsung Galaxy S III - 16GB - pebble blue (T-Mobile)"/>
    <n v="1889.95"/>
    <n v="9"/>
    <x v="4486"/>
    <x v="6"/>
    <x v="3"/>
  </r>
  <r>
    <n v="45487"/>
    <x v="154"/>
    <x v="10"/>
    <x v="0"/>
    <x v="2"/>
    <s v="Tenex File Box, Personal Filing Tote with Lid, Black"/>
    <n v="62.04"/>
    <n v="5"/>
    <x v="633"/>
    <x v="6"/>
    <x v="3"/>
  </r>
  <r>
    <n v="45487"/>
    <x v="154"/>
    <x v="10"/>
    <x v="1"/>
    <x v="8"/>
    <s v="GE 48&quot; Fluorescent Tube, Cool White Energy Saver, 34 Watts, 30/Box"/>
    <n v="396.92"/>
    <n v="5"/>
    <x v="4487"/>
    <x v="6"/>
    <x v="3"/>
  </r>
  <r>
    <n v="45487"/>
    <x v="154"/>
    <x v="10"/>
    <x v="0"/>
    <x v="2"/>
    <s v="SAFCO Mobile Desk Side File, Wire Frame"/>
    <n v="239.46"/>
    <n v="7"/>
    <x v="1845"/>
    <x v="6"/>
    <x v="3"/>
  </r>
  <r>
    <n v="45487"/>
    <x v="154"/>
    <x v="10"/>
    <x v="0"/>
    <x v="4"/>
    <s v="Crayola Colored Pencils"/>
    <n v="13.12"/>
    <n v="5"/>
    <x v="1642"/>
    <x v="6"/>
    <x v="3"/>
  </r>
  <r>
    <n v="45488"/>
    <x v="226"/>
    <x v="7"/>
    <x v="0"/>
    <x v="3"/>
    <s v="GBC Standard Plastic Binding Systems Combs"/>
    <n v="26.55"/>
    <n v="3"/>
    <x v="4488"/>
    <x v="6"/>
    <x v="3"/>
  </r>
  <r>
    <n v="45488"/>
    <x v="226"/>
    <x v="7"/>
    <x v="1"/>
    <x v="13"/>
    <s v="Hon 2111 Invitation Series Straight Table"/>
    <n v="310.44"/>
    <n v="3"/>
    <x v="4489"/>
    <x v="6"/>
    <x v="3"/>
  </r>
  <r>
    <n v="45488"/>
    <x v="147"/>
    <x v="20"/>
    <x v="0"/>
    <x v="4"/>
    <s v="Newell 349"/>
    <n v="6.56"/>
    <n v="2"/>
    <x v="238"/>
    <x v="6"/>
    <x v="3"/>
  </r>
  <r>
    <n v="45488"/>
    <x v="147"/>
    <x v="20"/>
    <x v="0"/>
    <x v="1"/>
    <s v="Avery 509"/>
    <n v="7.83"/>
    <n v="3"/>
    <x v="333"/>
    <x v="6"/>
    <x v="3"/>
  </r>
  <r>
    <n v="45488"/>
    <x v="147"/>
    <x v="20"/>
    <x v="2"/>
    <x v="9"/>
    <s v="Sony 32GB Class 10 Micro SDHC R40 Memory Card"/>
    <n v="41.9"/>
    <n v="2"/>
    <x v="1357"/>
    <x v="6"/>
    <x v="3"/>
  </r>
  <r>
    <n v="45488"/>
    <x v="147"/>
    <x v="20"/>
    <x v="1"/>
    <x v="5"/>
    <s v="Hon Mobius Operator's Chair"/>
    <n v="664.15"/>
    <n v="6"/>
    <x v="4490"/>
    <x v="6"/>
    <x v="3"/>
  </r>
  <r>
    <n v="45488"/>
    <x v="147"/>
    <x v="20"/>
    <x v="0"/>
    <x v="0"/>
    <s v="Spiral Phone Message Books with Labels by Adams"/>
    <n v="8.9600000000000009"/>
    <n v="2"/>
    <x v="652"/>
    <x v="6"/>
    <x v="3"/>
  </r>
  <r>
    <n v="45488"/>
    <x v="332"/>
    <x v="6"/>
    <x v="0"/>
    <x v="12"/>
    <s v="Belkin 8 Outlet SurgeMaster II Gold Surge Protector"/>
    <n v="179.94"/>
    <n v="3"/>
    <x v="1958"/>
    <x v="6"/>
    <x v="3"/>
  </r>
  <r>
    <n v="45488"/>
    <x v="332"/>
    <x v="6"/>
    <x v="1"/>
    <x v="13"/>
    <s v="Hon 5100 Series Wood Tables"/>
    <n v="872.94"/>
    <n v="3"/>
    <x v="4491"/>
    <x v="6"/>
    <x v="3"/>
  </r>
  <r>
    <n v="45488"/>
    <x v="332"/>
    <x v="6"/>
    <x v="0"/>
    <x v="0"/>
    <s v="Xerox 1999"/>
    <n v="12.96"/>
    <n v="2"/>
    <x v="113"/>
    <x v="6"/>
    <x v="3"/>
  </r>
  <r>
    <n v="45489"/>
    <x v="394"/>
    <x v="2"/>
    <x v="1"/>
    <x v="5"/>
    <s v="Global Deluxe Stacking Chair, Gray"/>
    <n v="71.37"/>
    <n v="2"/>
    <x v="4492"/>
    <x v="6"/>
    <x v="3"/>
  </r>
  <r>
    <n v="45489"/>
    <x v="139"/>
    <x v="1"/>
    <x v="0"/>
    <x v="4"/>
    <s v="Crayola Anti Dust Chalk, 12/Pack"/>
    <n v="2.91"/>
    <n v="2"/>
    <x v="3542"/>
    <x v="6"/>
    <x v="3"/>
  </r>
  <r>
    <n v="45489"/>
    <x v="40"/>
    <x v="25"/>
    <x v="1"/>
    <x v="5"/>
    <s v="Global Fabric Manager's Chair, Dark Gray"/>
    <n v="242.35"/>
    <n v="3"/>
    <x v="1656"/>
    <x v="6"/>
    <x v="3"/>
  </r>
  <r>
    <n v="45490"/>
    <x v="661"/>
    <x v="16"/>
    <x v="1"/>
    <x v="8"/>
    <s v="C-Line Magnetic Cubicle Keepers, Clear Polypropylene"/>
    <n v="7.9"/>
    <n v="2"/>
    <x v="1733"/>
    <x v="6"/>
    <x v="3"/>
  </r>
  <r>
    <n v="45490"/>
    <x v="734"/>
    <x v="20"/>
    <x v="2"/>
    <x v="6"/>
    <s v="Avaya 5420 Digital phone"/>
    <n v="269.98"/>
    <n v="2"/>
    <x v="4493"/>
    <x v="6"/>
    <x v="3"/>
  </r>
  <r>
    <n v="45490"/>
    <x v="734"/>
    <x v="20"/>
    <x v="0"/>
    <x v="0"/>
    <s v="Southworth 25% Cotton Premium Laser Paper and Envelopes"/>
    <n v="99.9"/>
    <n v="5"/>
    <x v="4494"/>
    <x v="6"/>
    <x v="3"/>
  </r>
  <r>
    <n v="45490"/>
    <x v="734"/>
    <x v="20"/>
    <x v="1"/>
    <x v="8"/>
    <s v="DAX Solid Wood Frames"/>
    <n v="39.08"/>
    <n v="4"/>
    <x v="2784"/>
    <x v="6"/>
    <x v="3"/>
  </r>
  <r>
    <n v="45490"/>
    <x v="314"/>
    <x v="3"/>
    <x v="2"/>
    <x v="16"/>
    <s v="Brother DCP1000 Digital 3 in 1 Multifunction Machine"/>
    <n v="479.98"/>
    <n v="2"/>
    <x v="380"/>
    <x v="6"/>
    <x v="3"/>
  </r>
  <r>
    <n v="45490"/>
    <x v="202"/>
    <x v="3"/>
    <x v="0"/>
    <x v="0"/>
    <s v="Xerox 221"/>
    <n v="32.4"/>
    <n v="5"/>
    <x v="327"/>
    <x v="6"/>
    <x v="3"/>
  </r>
  <r>
    <n v="45490"/>
    <x v="202"/>
    <x v="3"/>
    <x v="0"/>
    <x v="10"/>
    <s v="Peel &amp; Seel Recycled Catalog Envelopes, Brown"/>
    <n v="57.9"/>
    <n v="5"/>
    <x v="4495"/>
    <x v="6"/>
    <x v="3"/>
  </r>
  <r>
    <n v="45490"/>
    <x v="202"/>
    <x v="3"/>
    <x v="0"/>
    <x v="2"/>
    <s v="Sterilite Show Offs Storage Containers"/>
    <n v="10.56"/>
    <n v="2"/>
    <x v="62"/>
    <x v="6"/>
    <x v="3"/>
  </r>
  <r>
    <n v="45490"/>
    <x v="202"/>
    <x v="3"/>
    <x v="1"/>
    <x v="11"/>
    <s v="Atlantic Metals Mobile 4-Shelf Bookcases, Custom Colors"/>
    <n v="1194.17"/>
    <n v="5"/>
    <x v="4496"/>
    <x v="6"/>
    <x v="3"/>
  </r>
  <r>
    <n v="45491"/>
    <x v="505"/>
    <x v="12"/>
    <x v="1"/>
    <x v="13"/>
    <s v="Chromcraft 48&quot; x 96&quot; Racetrack Double Pedestal Table"/>
    <n v="801.6"/>
    <n v="5"/>
    <x v="4497"/>
    <x v="6"/>
    <x v="3"/>
  </r>
  <r>
    <n v="45491"/>
    <x v="505"/>
    <x v="12"/>
    <x v="1"/>
    <x v="5"/>
    <s v="Global Fabric Manager's Chair, Dark Gray"/>
    <n v="161.57"/>
    <n v="2"/>
    <x v="1816"/>
    <x v="6"/>
    <x v="3"/>
  </r>
  <r>
    <n v="45491"/>
    <x v="505"/>
    <x v="12"/>
    <x v="0"/>
    <x v="0"/>
    <s v="Riverleaf Stik-Withit Designer Note Cubes"/>
    <n v="16.100000000000001"/>
    <n v="2"/>
    <x v="1292"/>
    <x v="6"/>
    <x v="3"/>
  </r>
  <r>
    <n v="45491"/>
    <x v="505"/>
    <x v="12"/>
    <x v="0"/>
    <x v="3"/>
    <s v="Acco Expandable Hanging Binders"/>
    <n v="7.66"/>
    <n v="4"/>
    <x v="2259"/>
    <x v="6"/>
    <x v="3"/>
  </r>
  <r>
    <n v="45491"/>
    <x v="505"/>
    <x v="12"/>
    <x v="1"/>
    <x v="5"/>
    <s v="High-Back Leather Manager's Chair"/>
    <n v="311.98"/>
    <n v="3"/>
    <x v="4498"/>
    <x v="6"/>
    <x v="3"/>
  </r>
  <r>
    <n v="45491"/>
    <x v="9"/>
    <x v="2"/>
    <x v="2"/>
    <x v="16"/>
    <s v="Canon PC-428 Personal Copier"/>
    <n v="599.97"/>
    <n v="5"/>
    <x v="3208"/>
    <x v="6"/>
    <x v="3"/>
  </r>
  <r>
    <n v="45491"/>
    <x v="9"/>
    <x v="2"/>
    <x v="1"/>
    <x v="5"/>
    <s v="Situations Contoured Folding Chairs, 4/Set"/>
    <n v="198.74"/>
    <n v="4"/>
    <x v="3005"/>
    <x v="6"/>
    <x v="3"/>
  </r>
  <r>
    <n v="45491"/>
    <x v="9"/>
    <x v="2"/>
    <x v="0"/>
    <x v="14"/>
    <s v="Acme Kleencut Forged Steel Scissors"/>
    <n v="9.18"/>
    <n v="2"/>
    <x v="805"/>
    <x v="6"/>
    <x v="3"/>
  </r>
  <r>
    <n v="45493"/>
    <x v="246"/>
    <x v="1"/>
    <x v="0"/>
    <x v="2"/>
    <s v="Trav-L-File Heavy-Duty Shuttle II, Black"/>
    <n v="69.709999999999994"/>
    <n v="2"/>
    <x v="2341"/>
    <x v="6"/>
    <x v="3"/>
  </r>
  <r>
    <n v="45493"/>
    <x v="246"/>
    <x v="1"/>
    <x v="1"/>
    <x v="8"/>
    <s v="Contract Clock, 14&quot;, Brown"/>
    <n v="8.7899999999999991"/>
    <n v="1"/>
    <x v="693"/>
    <x v="6"/>
    <x v="3"/>
  </r>
  <r>
    <n v="45493"/>
    <x v="551"/>
    <x v="19"/>
    <x v="0"/>
    <x v="1"/>
    <s v="Avery 486"/>
    <n v="14.62"/>
    <n v="2"/>
    <x v="96"/>
    <x v="6"/>
    <x v="3"/>
  </r>
  <r>
    <n v="45493"/>
    <x v="551"/>
    <x v="19"/>
    <x v="0"/>
    <x v="12"/>
    <s v="1.7 Cubic Foot Compact &quot;Cube&quot; Office Refrigerators"/>
    <n v="416.32"/>
    <n v="2"/>
    <x v="4499"/>
    <x v="6"/>
    <x v="3"/>
  </r>
  <r>
    <n v="45493"/>
    <x v="551"/>
    <x v="19"/>
    <x v="0"/>
    <x v="3"/>
    <s v="Avery Printable Repositionable Plastic Tabs"/>
    <n v="43"/>
    <n v="5"/>
    <x v="4500"/>
    <x v="6"/>
    <x v="3"/>
  </r>
  <r>
    <n v="45493"/>
    <x v="551"/>
    <x v="19"/>
    <x v="1"/>
    <x v="5"/>
    <s v="Novimex Fabric Task Chair"/>
    <n v="182.94"/>
    <n v="3"/>
    <x v="3369"/>
    <x v="6"/>
    <x v="3"/>
  </r>
  <r>
    <n v="45493"/>
    <x v="551"/>
    <x v="19"/>
    <x v="0"/>
    <x v="3"/>
    <s v="Cardinal Slant-D Ring Binders"/>
    <n v="60.83"/>
    <n v="7"/>
    <x v="4501"/>
    <x v="6"/>
    <x v="3"/>
  </r>
  <r>
    <n v="45493"/>
    <x v="551"/>
    <x v="19"/>
    <x v="2"/>
    <x v="9"/>
    <s v="Logitech G35 7.1-Channel Surround Sound Headset"/>
    <n v="389.97"/>
    <n v="3"/>
    <x v="3247"/>
    <x v="6"/>
    <x v="3"/>
  </r>
  <r>
    <n v="45493"/>
    <x v="436"/>
    <x v="28"/>
    <x v="0"/>
    <x v="3"/>
    <s v="Ibico Ibimaster 300 Manual Binding System"/>
    <n v="735.98"/>
    <n v="2"/>
    <x v="3621"/>
    <x v="6"/>
    <x v="3"/>
  </r>
  <r>
    <n v="45493"/>
    <x v="278"/>
    <x v="20"/>
    <x v="0"/>
    <x v="0"/>
    <s v="Xerox 1977"/>
    <n v="13.36"/>
    <n v="2"/>
    <x v="846"/>
    <x v="6"/>
    <x v="3"/>
  </r>
  <r>
    <n v="45493"/>
    <x v="278"/>
    <x v="20"/>
    <x v="1"/>
    <x v="5"/>
    <s v="Office Star - Task Chair with Contemporary Loop Arms"/>
    <n v="163.76"/>
    <n v="2"/>
    <x v="22"/>
    <x v="6"/>
    <x v="3"/>
  </r>
  <r>
    <n v="45493"/>
    <x v="278"/>
    <x v="20"/>
    <x v="1"/>
    <x v="8"/>
    <s v="Tenex B1-RE Series Chair Mats for Low Pile Carpets"/>
    <n v="183.92"/>
    <n v="4"/>
    <x v="2387"/>
    <x v="6"/>
    <x v="3"/>
  </r>
  <r>
    <n v="45494"/>
    <x v="581"/>
    <x v="23"/>
    <x v="0"/>
    <x v="0"/>
    <s v="Xerox 1993"/>
    <n v="6.48"/>
    <n v="1"/>
    <x v="474"/>
    <x v="6"/>
    <x v="3"/>
  </r>
  <r>
    <n v="45494"/>
    <x v="582"/>
    <x v="27"/>
    <x v="2"/>
    <x v="6"/>
    <s v="PayAnywhere Card Reader"/>
    <n v="71.930000000000007"/>
    <n v="9"/>
    <x v="655"/>
    <x v="6"/>
    <x v="3"/>
  </r>
  <r>
    <n v="45494"/>
    <x v="582"/>
    <x v="27"/>
    <x v="0"/>
    <x v="4"/>
    <s v="BOSTON Ranger #55 Pencil Sharpener, Black"/>
    <n v="25.99"/>
    <n v="1"/>
    <x v="1864"/>
    <x v="6"/>
    <x v="3"/>
  </r>
  <r>
    <n v="45494"/>
    <x v="746"/>
    <x v="10"/>
    <x v="0"/>
    <x v="3"/>
    <s v="Vinyl Sectional Post Binders"/>
    <n v="33.93"/>
    <n v="3"/>
    <x v="2399"/>
    <x v="6"/>
    <x v="3"/>
  </r>
  <r>
    <n v="45494"/>
    <x v="746"/>
    <x v="10"/>
    <x v="0"/>
    <x v="2"/>
    <s v="Letter Size File"/>
    <n v="222.32"/>
    <n v="7"/>
    <x v="4502"/>
    <x v="6"/>
    <x v="3"/>
  </r>
  <r>
    <n v="45494"/>
    <x v="746"/>
    <x v="10"/>
    <x v="2"/>
    <x v="6"/>
    <s v="Dexim XPower Skin Super-Thin Power Case for iPhone 5 - Black"/>
    <n v="210.56"/>
    <n v="6"/>
    <x v="4503"/>
    <x v="6"/>
    <x v="3"/>
  </r>
  <r>
    <n v="45494"/>
    <x v="481"/>
    <x v="6"/>
    <x v="0"/>
    <x v="4"/>
    <s v="Berol Giant Pencil Sharpener"/>
    <n v="101.94"/>
    <n v="6"/>
    <x v="4504"/>
    <x v="6"/>
    <x v="3"/>
  </r>
  <r>
    <n v="45494"/>
    <x v="481"/>
    <x v="6"/>
    <x v="2"/>
    <x v="6"/>
    <s v="Nortel Networks T7316 E Nt8 B27"/>
    <n v="271.95999999999998"/>
    <n v="4"/>
    <x v="2456"/>
    <x v="6"/>
    <x v="3"/>
  </r>
  <r>
    <n v="45494"/>
    <x v="481"/>
    <x v="6"/>
    <x v="1"/>
    <x v="8"/>
    <s v="Regeneration Desk Collection"/>
    <n v="8.8000000000000007"/>
    <n v="5"/>
    <x v="1977"/>
    <x v="6"/>
    <x v="3"/>
  </r>
  <r>
    <n v="45494"/>
    <x v="481"/>
    <x v="6"/>
    <x v="0"/>
    <x v="4"/>
    <s v="Newell 35"/>
    <n v="19.68"/>
    <n v="6"/>
    <x v="182"/>
    <x v="6"/>
    <x v="3"/>
  </r>
  <r>
    <n v="45494"/>
    <x v="481"/>
    <x v="6"/>
    <x v="1"/>
    <x v="11"/>
    <s v="Bush Westfield Collection Bookcases, Fully Assembled"/>
    <n v="302.94"/>
    <n v="3"/>
    <x v="4505"/>
    <x v="6"/>
    <x v="3"/>
  </r>
  <r>
    <n v="45494"/>
    <x v="481"/>
    <x v="6"/>
    <x v="0"/>
    <x v="3"/>
    <s v="Cardinal Holdit Business Card Pockets"/>
    <n v="14.94"/>
    <n v="3"/>
    <x v="4506"/>
    <x v="6"/>
    <x v="3"/>
  </r>
  <r>
    <n v="45494"/>
    <x v="481"/>
    <x v="6"/>
    <x v="0"/>
    <x v="14"/>
    <s v="Premier Electric Letter Opener"/>
    <n v="231.72"/>
    <n v="2"/>
    <x v="3296"/>
    <x v="6"/>
    <x v="3"/>
  </r>
  <r>
    <n v="45494"/>
    <x v="661"/>
    <x v="3"/>
    <x v="0"/>
    <x v="0"/>
    <s v="Wirebound Message Forms, Four 2 3/4 x 5 Forms per Page, Pink Paper"/>
    <n v="16.34"/>
    <n v="2"/>
    <x v="196"/>
    <x v="6"/>
    <x v="3"/>
  </r>
  <r>
    <n v="45494"/>
    <x v="661"/>
    <x v="3"/>
    <x v="1"/>
    <x v="5"/>
    <s v="Hon Olson Stacker Stools"/>
    <n v="225.3"/>
    <n v="2"/>
    <x v="470"/>
    <x v="6"/>
    <x v="3"/>
  </r>
  <r>
    <n v="45494"/>
    <x v="661"/>
    <x v="3"/>
    <x v="0"/>
    <x v="3"/>
    <s v="GBC Premium Transparent Covers with Diagonal Lined Pattern"/>
    <n v="50.35"/>
    <n v="3"/>
    <x v="1875"/>
    <x v="6"/>
    <x v="3"/>
  </r>
  <r>
    <n v="45494"/>
    <x v="178"/>
    <x v="20"/>
    <x v="0"/>
    <x v="12"/>
    <s v="Eureka Sanitaire  Multi-Pro Heavy-Duty Upright, Disposable Bags"/>
    <n v="17.48"/>
    <n v="4"/>
    <x v="406"/>
    <x v="6"/>
    <x v="3"/>
  </r>
  <r>
    <n v="45494"/>
    <x v="278"/>
    <x v="3"/>
    <x v="0"/>
    <x v="4"/>
    <s v="Nontoxic Chalk"/>
    <n v="3.52"/>
    <n v="2"/>
    <x v="566"/>
    <x v="6"/>
    <x v="3"/>
  </r>
  <r>
    <n v="45494"/>
    <x v="278"/>
    <x v="3"/>
    <x v="2"/>
    <x v="6"/>
    <s v="Polycom SoundPoint IP 450 VoIP phone"/>
    <n v="1626.19"/>
    <n v="9"/>
    <x v="4507"/>
    <x v="6"/>
    <x v="3"/>
  </r>
  <r>
    <n v="45494"/>
    <x v="344"/>
    <x v="0"/>
    <x v="1"/>
    <x v="13"/>
    <s v="Hon 61000 Series Interactive Training Tables"/>
    <n v="124.4"/>
    <n v="4"/>
    <x v="4508"/>
    <x v="6"/>
    <x v="3"/>
  </r>
  <r>
    <n v="45494"/>
    <x v="254"/>
    <x v="1"/>
    <x v="0"/>
    <x v="3"/>
    <s v="Avery Poly Binder Pockets"/>
    <n v="2.86"/>
    <n v="4"/>
    <x v="1039"/>
    <x v="6"/>
    <x v="3"/>
  </r>
  <r>
    <n v="45494"/>
    <x v="254"/>
    <x v="1"/>
    <x v="0"/>
    <x v="3"/>
    <s v="Catalog Binders with Expanding Posts"/>
    <n v="94.19"/>
    <n v="7"/>
    <x v="4509"/>
    <x v="6"/>
    <x v="3"/>
  </r>
  <r>
    <n v="45494"/>
    <x v="397"/>
    <x v="1"/>
    <x v="0"/>
    <x v="3"/>
    <s v="Wilson Jones 1&quot; Hanging DublLock Ring Binders"/>
    <n v="2.11"/>
    <n v="2"/>
    <x v="4510"/>
    <x v="6"/>
    <x v="3"/>
  </r>
  <r>
    <n v="45495"/>
    <x v="470"/>
    <x v="20"/>
    <x v="2"/>
    <x v="6"/>
    <s v="Square Credit Card Reader, 4 1/2&quot; x 4 1/2&quot; x 1&quot;, White"/>
    <n v="29.97"/>
    <n v="3"/>
    <x v="4511"/>
    <x v="6"/>
    <x v="3"/>
  </r>
  <r>
    <n v="45495"/>
    <x v="34"/>
    <x v="1"/>
    <x v="1"/>
    <x v="5"/>
    <s v="Hon Every-Day Series Multi-Task Chairs"/>
    <n v="526.34"/>
    <n v="4"/>
    <x v="4512"/>
    <x v="6"/>
    <x v="3"/>
  </r>
  <r>
    <n v="45496"/>
    <x v="85"/>
    <x v="20"/>
    <x v="0"/>
    <x v="3"/>
    <s v="Angle-D Ring Binders"/>
    <n v="13.13"/>
    <n v="3"/>
    <x v="1"/>
    <x v="6"/>
    <x v="3"/>
  </r>
  <r>
    <n v="45496"/>
    <x v="352"/>
    <x v="18"/>
    <x v="0"/>
    <x v="4"/>
    <s v="Quartet Omega Colored Chalk, 12/Pack"/>
    <n v="11.68"/>
    <n v="2"/>
    <x v="2337"/>
    <x v="6"/>
    <x v="3"/>
  </r>
  <r>
    <n v="45496"/>
    <x v="352"/>
    <x v="18"/>
    <x v="2"/>
    <x v="9"/>
    <s v="Memorex 25GB 6X Branded Blu-Ray Recordable Disc, 30/Pack"/>
    <n v="159.75"/>
    <n v="5"/>
    <x v="3032"/>
    <x v="6"/>
    <x v="3"/>
  </r>
  <r>
    <n v="45496"/>
    <x v="382"/>
    <x v="20"/>
    <x v="0"/>
    <x v="1"/>
    <s v="Avery Address/Shipping Labels for Typewriters, 4&quot; x 2&quot;"/>
    <n v="41.4"/>
    <n v="4"/>
    <x v="1400"/>
    <x v="6"/>
    <x v="3"/>
  </r>
  <r>
    <n v="45496"/>
    <x v="39"/>
    <x v="20"/>
    <x v="0"/>
    <x v="3"/>
    <s v="Wilson Jones Â“SnapÂ” Scratch Pad Binder Tool for Ring Binders"/>
    <n v="13.92"/>
    <n v="3"/>
    <x v="1787"/>
    <x v="6"/>
    <x v="3"/>
  </r>
  <r>
    <n v="45496"/>
    <x v="706"/>
    <x v="1"/>
    <x v="0"/>
    <x v="0"/>
    <s v="Xerox 1909"/>
    <n v="63.31"/>
    <n v="3"/>
    <x v="2608"/>
    <x v="6"/>
    <x v="3"/>
  </r>
  <r>
    <n v="45496"/>
    <x v="675"/>
    <x v="21"/>
    <x v="2"/>
    <x v="9"/>
    <s v="Logitech G600 MMO Gaming Mouse"/>
    <n v="399.95"/>
    <n v="5"/>
    <x v="4513"/>
    <x v="6"/>
    <x v="3"/>
  </r>
  <r>
    <n v="45496"/>
    <x v="463"/>
    <x v="3"/>
    <x v="0"/>
    <x v="3"/>
    <s v="Cardinal HOLDit! Binder Insert Strips,Extra Strips"/>
    <n v="15.19"/>
    <n v="3"/>
    <x v="4514"/>
    <x v="6"/>
    <x v="3"/>
  </r>
  <r>
    <n v="45496"/>
    <x v="463"/>
    <x v="3"/>
    <x v="0"/>
    <x v="0"/>
    <s v="Weyerhaeuser First Choice Laser/Copy Paper (20Lb. and 88 Bright)"/>
    <n v="58.32"/>
    <n v="9"/>
    <x v="306"/>
    <x v="6"/>
    <x v="3"/>
  </r>
  <r>
    <n v="45496"/>
    <x v="86"/>
    <x v="1"/>
    <x v="0"/>
    <x v="4"/>
    <s v="Hunt PowerHouse Electric Pencil Sharpener, Blue"/>
    <n v="121.54"/>
    <n v="4"/>
    <x v="2247"/>
    <x v="6"/>
    <x v="3"/>
  </r>
  <r>
    <n v="45497"/>
    <x v="535"/>
    <x v="3"/>
    <x v="2"/>
    <x v="16"/>
    <s v="Hewlett Packard LaserJet 3310 Copier"/>
    <n v="2399.96"/>
    <n v="5"/>
    <x v="4515"/>
    <x v="6"/>
    <x v="3"/>
  </r>
  <r>
    <n v="45498"/>
    <x v="745"/>
    <x v="19"/>
    <x v="0"/>
    <x v="1"/>
    <s v="Avery 498"/>
    <n v="20.23"/>
    <n v="7"/>
    <x v="3623"/>
    <x v="6"/>
    <x v="3"/>
  </r>
  <r>
    <n v="45498"/>
    <x v="118"/>
    <x v="2"/>
    <x v="0"/>
    <x v="1"/>
    <s v="Avery 491"/>
    <n v="3.3"/>
    <n v="1"/>
    <x v="130"/>
    <x v="6"/>
    <x v="3"/>
  </r>
  <r>
    <n v="45498"/>
    <x v="405"/>
    <x v="2"/>
    <x v="1"/>
    <x v="8"/>
    <s v="Eldon 200 Class Desk Accessories"/>
    <n v="20.100000000000001"/>
    <n v="4"/>
    <x v="13"/>
    <x v="6"/>
    <x v="3"/>
  </r>
  <r>
    <n v="45498"/>
    <x v="405"/>
    <x v="2"/>
    <x v="0"/>
    <x v="14"/>
    <s v="Acme Galleria Hot Forged Steel Scissors with Colored Handles"/>
    <n v="37.75"/>
    <n v="3"/>
    <x v="4516"/>
    <x v="6"/>
    <x v="3"/>
  </r>
  <r>
    <n v="45498"/>
    <x v="405"/>
    <x v="2"/>
    <x v="1"/>
    <x v="13"/>
    <s v="Bush Cubix Conference Tables, Fully Assembled"/>
    <n v="138.59"/>
    <n v="1"/>
    <x v="4517"/>
    <x v="6"/>
    <x v="3"/>
  </r>
  <r>
    <n v="45498"/>
    <x v="405"/>
    <x v="2"/>
    <x v="0"/>
    <x v="2"/>
    <s v="Fellowes Bankers Box Staxonsteel Drawer File/Stacking System"/>
    <n v="259.92"/>
    <n v="5"/>
    <x v="4518"/>
    <x v="6"/>
    <x v="3"/>
  </r>
  <r>
    <n v="45498"/>
    <x v="405"/>
    <x v="2"/>
    <x v="0"/>
    <x v="0"/>
    <s v="Xerox 216"/>
    <n v="20.74"/>
    <n v="4"/>
    <x v="416"/>
    <x v="6"/>
    <x v="3"/>
  </r>
  <r>
    <n v="45498"/>
    <x v="726"/>
    <x v="0"/>
    <x v="1"/>
    <x v="13"/>
    <s v="Safco Drafting Table"/>
    <n v="298.12"/>
    <n v="6"/>
    <x v="4519"/>
    <x v="6"/>
    <x v="3"/>
  </r>
  <r>
    <n v="45499"/>
    <x v="434"/>
    <x v="3"/>
    <x v="2"/>
    <x v="9"/>
    <s v="LogitechÂ Z-906 Speaker sys - home theater - 5.1-CH"/>
    <n v="1649.95"/>
    <n v="5"/>
    <x v="3874"/>
    <x v="6"/>
    <x v="3"/>
  </r>
  <r>
    <n v="45499"/>
    <x v="434"/>
    <x v="3"/>
    <x v="1"/>
    <x v="5"/>
    <s v="Global Airflow Leather Mesh Back Chair, Black"/>
    <n v="362.35"/>
    <n v="3"/>
    <x v="1044"/>
    <x v="6"/>
    <x v="3"/>
  </r>
  <r>
    <n v="45500"/>
    <x v="110"/>
    <x v="16"/>
    <x v="1"/>
    <x v="8"/>
    <s v="Eldon Delta Triangular Chair Mat, 52&quot; x 58&quot;, Clear"/>
    <n v="91.03"/>
    <n v="3"/>
    <x v="2381"/>
    <x v="6"/>
    <x v="3"/>
  </r>
  <r>
    <n v="45500"/>
    <x v="784"/>
    <x v="20"/>
    <x v="1"/>
    <x v="8"/>
    <s v="Tensor Computer Mounted Lamp"/>
    <n v="14.89"/>
    <n v="1"/>
    <x v="2035"/>
    <x v="6"/>
    <x v="3"/>
  </r>
  <r>
    <n v="45500"/>
    <x v="784"/>
    <x v="20"/>
    <x v="2"/>
    <x v="6"/>
    <s v="Nortel Networks T7316 E Nt8 B27"/>
    <n v="543.91999999999996"/>
    <n v="8"/>
    <x v="4433"/>
    <x v="6"/>
    <x v="3"/>
  </r>
  <r>
    <n v="45500"/>
    <x v="380"/>
    <x v="22"/>
    <x v="1"/>
    <x v="8"/>
    <s v="Staple-based wall hangings"/>
    <n v="23.88"/>
    <n v="3"/>
    <x v="448"/>
    <x v="6"/>
    <x v="3"/>
  </r>
  <r>
    <n v="45500"/>
    <x v="380"/>
    <x v="22"/>
    <x v="0"/>
    <x v="0"/>
    <s v="Message Book, Phone, Wirebound Standard Line Memo, 2 3/4&quot; X 5&quot;"/>
    <n v="26.2"/>
    <n v="4"/>
    <x v="4520"/>
    <x v="6"/>
    <x v="3"/>
  </r>
  <r>
    <n v="45500"/>
    <x v="380"/>
    <x v="22"/>
    <x v="0"/>
    <x v="0"/>
    <s v="Xerox 227"/>
    <n v="12.96"/>
    <n v="2"/>
    <x v="113"/>
    <x v="6"/>
    <x v="3"/>
  </r>
  <r>
    <n v="45500"/>
    <x v="380"/>
    <x v="22"/>
    <x v="2"/>
    <x v="9"/>
    <s v="Sony Micro Vault Click 8 GB USB 2.0 Flash Drive"/>
    <n v="234.95"/>
    <n v="5"/>
    <x v="4521"/>
    <x v="6"/>
    <x v="3"/>
  </r>
  <r>
    <n v="45500"/>
    <x v="677"/>
    <x v="25"/>
    <x v="1"/>
    <x v="5"/>
    <s v="Global Value Mid-Back Manager's Chair, Gray"/>
    <n v="194.85"/>
    <n v="4"/>
    <x v="3072"/>
    <x v="6"/>
    <x v="3"/>
  </r>
  <r>
    <n v="45501"/>
    <x v="719"/>
    <x v="3"/>
    <x v="0"/>
    <x v="3"/>
    <s v="Zipper Ring Binder Pockets"/>
    <n v="9.98"/>
    <n v="4"/>
    <x v="1561"/>
    <x v="6"/>
    <x v="3"/>
  </r>
  <r>
    <n v="45501"/>
    <x v="719"/>
    <x v="3"/>
    <x v="0"/>
    <x v="2"/>
    <s v="Super Decoflex Portable Personal File"/>
    <n v="14.98"/>
    <n v="1"/>
    <x v="902"/>
    <x v="6"/>
    <x v="3"/>
  </r>
  <r>
    <n v="45501"/>
    <x v="719"/>
    <x v="3"/>
    <x v="2"/>
    <x v="6"/>
    <s v="Wilson Electronics DB Pro Signal Booster"/>
    <n v="1145.5999999999999"/>
    <n v="4"/>
    <x v="4522"/>
    <x v="6"/>
    <x v="3"/>
  </r>
  <r>
    <n v="45502"/>
    <x v="643"/>
    <x v="25"/>
    <x v="0"/>
    <x v="12"/>
    <s v="Holmes HEPA Air Purifier"/>
    <n v="34.85"/>
    <n v="2"/>
    <x v="3189"/>
    <x v="6"/>
    <x v="3"/>
  </r>
  <r>
    <n v="45502"/>
    <x v="643"/>
    <x v="25"/>
    <x v="2"/>
    <x v="6"/>
    <s v="Samsung Replacement EH64AVFWE Premium Headset"/>
    <n v="22"/>
    <n v="5"/>
    <x v="3657"/>
    <x v="6"/>
    <x v="3"/>
  </r>
  <r>
    <n v="45502"/>
    <x v="643"/>
    <x v="25"/>
    <x v="0"/>
    <x v="4"/>
    <s v="Newell 322"/>
    <n v="4.37"/>
    <n v="3"/>
    <x v="622"/>
    <x v="6"/>
    <x v="3"/>
  </r>
  <r>
    <n v="45502"/>
    <x v="60"/>
    <x v="22"/>
    <x v="2"/>
    <x v="9"/>
    <s v="ImationÂ 8GB Mini TravelDrive USB 2.0Â Flash Drive"/>
    <n v="90.57"/>
    <n v="3"/>
    <x v="2882"/>
    <x v="6"/>
    <x v="3"/>
  </r>
  <r>
    <n v="45502"/>
    <x v="174"/>
    <x v="0"/>
    <x v="0"/>
    <x v="7"/>
    <s v="Assorted Color Push Pins"/>
    <n v="2.9"/>
    <n v="2"/>
    <x v="1041"/>
    <x v="6"/>
    <x v="3"/>
  </r>
  <r>
    <n v="45502"/>
    <x v="174"/>
    <x v="0"/>
    <x v="2"/>
    <x v="6"/>
    <s v="Cisco SPA301"/>
    <n v="124.79"/>
    <n v="1"/>
    <x v="2465"/>
    <x v="6"/>
    <x v="3"/>
  </r>
  <r>
    <n v="45502"/>
    <x v="95"/>
    <x v="20"/>
    <x v="0"/>
    <x v="4"/>
    <s v="Sanford Liquid Accent Highlighters"/>
    <n v="60.12"/>
    <n v="9"/>
    <x v="1612"/>
    <x v="6"/>
    <x v="3"/>
  </r>
  <r>
    <n v="45502"/>
    <x v="334"/>
    <x v="39"/>
    <x v="0"/>
    <x v="3"/>
    <s v="GBC Poly Designer Binding Covers"/>
    <n v="33.479999999999997"/>
    <n v="2"/>
    <x v="4523"/>
    <x v="6"/>
    <x v="3"/>
  </r>
  <r>
    <n v="45502"/>
    <x v="334"/>
    <x v="39"/>
    <x v="2"/>
    <x v="6"/>
    <s v="Nortel Meridian M3904 Professional Digital phone"/>
    <n v="461.97"/>
    <n v="3"/>
    <x v="4524"/>
    <x v="6"/>
    <x v="3"/>
  </r>
  <r>
    <n v="45502"/>
    <x v="334"/>
    <x v="39"/>
    <x v="0"/>
    <x v="12"/>
    <s v="Holmes Replacement Filter for HEPA Air Cleaner, Very Large Room, HEPA Filter"/>
    <n v="137.62"/>
    <n v="2"/>
    <x v="2252"/>
    <x v="6"/>
    <x v="3"/>
  </r>
  <r>
    <n v="45502"/>
    <x v="334"/>
    <x v="39"/>
    <x v="1"/>
    <x v="5"/>
    <s v="Office Star Flex Back Scooter Chair with Aluminum Finish Frame"/>
    <n v="302.67"/>
    <n v="3"/>
    <x v="4033"/>
    <x v="6"/>
    <x v="3"/>
  </r>
  <r>
    <n v="45502"/>
    <x v="339"/>
    <x v="22"/>
    <x v="1"/>
    <x v="11"/>
    <s v="Bush Westfield Collection Bookcases, Medium Cherry Finish"/>
    <n v="115.96"/>
    <n v="2"/>
    <x v="4525"/>
    <x v="6"/>
    <x v="3"/>
  </r>
  <r>
    <n v="45503"/>
    <x v="154"/>
    <x v="3"/>
    <x v="0"/>
    <x v="2"/>
    <s v="Economy Rollaway Files"/>
    <n v="330.4"/>
    <n v="2"/>
    <x v="232"/>
    <x v="6"/>
    <x v="3"/>
  </r>
  <r>
    <n v="45503"/>
    <x v="154"/>
    <x v="3"/>
    <x v="0"/>
    <x v="1"/>
    <s v="Avery 480"/>
    <n v="26.25"/>
    <n v="7"/>
    <x v="3302"/>
    <x v="6"/>
    <x v="3"/>
  </r>
  <r>
    <n v="45503"/>
    <x v="529"/>
    <x v="10"/>
    <x v="0"/>
    <x v="3"/>
    <s v="GBC ProClick Punch Binding System"/>
    <n v="76.78"/>
    <n v="4"/>
    <x v="4526"/>
    <x v="6"/>
    <x v="3"/>
  </r>
  <r>
    <n v="45503"/>
    <x v="705"/>
    <x v="36"/>
    <x v="2"/>
    <x v="6"/>
    <s v="invisibleSHIELD by ZAGG Smudge-Free Screen Protector"/>
    <n v="89.95"/>
    <n v="5"/>
    <x v="3351"/>
    <x v="6"/>
    <x v="3"/>
  </r>
  <r>
    <n v="45504"/>
    <x v="400"/>
    <x v="2"/>
    <x v="0"/>
    <x v="0"/>
    <s v="Xerox 1991"/>
    <n v="54.82"/>
    <n v="3"/>
    <x v="1822"/>
    <x v="6"/>
    <x v="3"/>
  </r>
  <r>
    <n v="45504"/>
    <x v="469"/>
    <x v="16"/>
    <x v="2"/>
    <x v="9"/>
    <s v="TRENDnet 56K USB 2.0 Phone, Internet and Fax Modem"/>
    <n v="41.42"/>
    <n v="2"/>
    <x v="1187"/>
    <x v="6"/>
    <x v="3"/>
  </r>
  <r>
    <n v="45504"/>
    <x v="682"/>
    <x v="1"/>
    <x v="2"/>
    <x v="6"/>
    <s v="Motorola L804"/>
    <n v="36.79"/>
    <n v="1"/>
    <x v="3079"/>
    <x v="6"/>
    <x v="3"/>
  </r>
  <r>
    <n v="45504"/>
    <x v="574"/>
    <x v="3"/>
    <x v="0"/>
    <x v="2"/>
    <s v="Eldon Portable Mobile Manager"/>
    <n v="56.56"/>
    <n v="2"/>
    <x v="4527"/>
    <x v="6"/>
    <x v="3"/>
  </r>
  <r>
    <n v="45504"/>
    <x v="574"/>
    <x v="3"/>
    <x v="1"/>
    <x v="8"/>
    <s v="Master Big Foot Doorstop, Beige"/>
    <n v="36.96"/>
    <n v="7"/>
    <x v="4528"/>
    <x v="6"/>
    <x v="3"/>
  </r>
  <r>
    <n v="45504"/>
    <x v="465"/>
    <x v="21"/>
    <x v="0"/>
    <x v="3"/>
    <s v="Acco 3-Hole Punch"/>
    <n v="17.52"/>
    <n v="4"/>
    <x v="286"/>
    <x v="6"/>
    <x v="3"/>
  </r>
  <r>
    <n v="45504"/>
    <x v="465"/>
    <x v="21"/>
    <x v="0"/>
    <x v="12"/>
    <s v="3M Office Air Cleaner"/>
    <n v="155.88"/>
    <n v="6"/>
    <x v="4529"/>
    <x v="6"/>
    <x v="3"/>
  </r>
  <r>
    <n v="45504"/>
    <x v="193"/>
    <x v="2"/>
    <x v="2"/>
    <x v="6"/>
    <s v="Polycom SoundPoint Pro SE-225 Corded phone"/>
    <n v="285.58"/>
    <n v="4"/>
    <x v="4530"/>
    <x v="6"/>
    <x v="3"/>
  </r>
  <r>
    <n v="45504"/>
    <x v="162"/>
    <x v="7"/>
    <x v="0"/>
    <x v="0"/>
    <s v="Avery Personal Creations Heavyweight Cards"/>
    <n v="11.54"/>
    <n v="1"/>
    <x v="2372"/>
    <x v="6"/>
    <x v="3"/>
  </r>
  <r>
    <n v="45504"/>
    <x v="162"/>
    <x v="7"/>
    <x v="0"/>
    <x v="3"/>
    <s v="Fellowes PB200 Plastic Comb Binding Machine"/>
    <n v="849.95"/>
    <n v="5"/>
    <x v="4531"/>
    <x v="6"/>
    <x v="3"/>
  </r>
  <r>
    <n v="45504"/>
    <x v="162"/>
    <x v="7"/>
    <x v="0"/>
    <x v="3"/>
    <s v="Black Avery Memo-Size 3-Ring Binder, 5 1/2&quot; x 8 1/2&quot;"/>
    <n v="11.01"/>
    <n v="3"/>
    <x v="1174"/>
    <x v="6"/>
    <x v="3"/>
  </r>
  <r>
    <n v="45505"/>
    <x v="372"/>
    <x v="1"/>
    <x v="2"/>
    <x v="6"/>
    <s v="JBL Micro Wireless Portable Bluetooth Speaker"/>
    <n v="95.98"/>
    <n v="2"/>
    <x v="1964"/>
    <x v="7"/>
    <x v="3"/>
  </r>
  <r>
    <n v="45505"/>
    <x v="420"/>
    <x v="25"/>
    <x v="2"/>
    <x v="6"/>
    <s v="Nortel Networks T7316 E Nt8 B27"/>
    <n v="271.95999999999998"/>
    <n v="5"/>
    <x v="2791"/>
    <x v="7"/>
    <x v="3"/>
  </r>
  <r>
    <n v="45505"/>
    <x v="322"/>
    <x v="0"/>
    <x v="2"/>
    <x v="15"/>
    <s v="Bady BDG101FRU Card Printer"/>
    <n v="1439.98"/>
    <n v="3"/>
    <x v="4532"/>
    <x v="7"/>
    <x v="3"/>
  </r>
  <r>
    <n v="45505"/>
    <x v="322"/>
    <x v="0"/>
    <x v="0"/>
    <x v="0"/>
    <s v="Xerox 1998"/>
    <n v="36.29"/>
    <n v="7"/>
    <x v="1285"/>
    <x v="7"/>
    <x v="3"/>
  </r>
  <r>
    <n v="45505"/>
    <x v="252"/>
    <x v="3"/>
    <x v="0"/>
    <x v="3"/>
    <s v="GBC Prestige Therm-A-Bind Covers"/>
    <n v="54.9"/>
    <n v="2"/>
    <x v="1159"/>
    <x v="7"/>
    <x v="3"/>
  </r>
  <r>
    <n v="45505"/>
    <x v="699"/>
    <x v="3"/>
    <x v="0"/>
    <x v="2"/>
    <s v="Fellowes Mobile File Cart, Black"/>
    <n v="186.54"/>
    <n v="3"/>
    <x v="2921"/>
    <x v="7"/>
    <x v="3"/>
  </r>
  <r>
    <n v="45507"/>
    <x v="693"/>
    <x v="1"/>
    <x v="1"/>
    <x v="11"/>
    <s v="O'Sullivan Elevations Bookcase, Cherry Finish"/>
    <n v="183.37"/>
    <n v="2"/>
    <x v="4533"/>
    <x v="7"/>
    <x v="3"/>
  </r>
  <r>
    <n v="45507"/>
    <x v="664"/>
    <x v="3"/>
    <x v="0"/>
    <x v="1"/>
    <s v="Avery 473"/>
    <n v="51.75"/>
    <n v="5"/>
    <x v="3727"/>
    <x v="7"/>
    <x v="3"/>
  </r>
  <r>
    <n v="45507"/>
    <x v="664"/>
    <x v="3"/>
    <x v="1"/>
    <x v="8"/>
    <s v="Deflect-o EconoMat Studded, No Bevel Mat for Low Pile Carpeting"/>
    <n v="123.96"/>
    <n v="3"/>
    <x v="1911"/>
    <x v="7"/>
    <x v="3"/>
  </r>
  <r>
    <n v="45507"/>
    <x v="208"/>
    <x v="3"/>
    <x v="0"/>
    <x v="2"/>
    <s v="Fellowes Bases and Tops For Staxonsteel/High-Stak Systems"/>
    <n v="99.87"/>
    <n v="3"/>
    <x v="3649"/>
    <x v="7"/>
    <x v="3"/>
  </r>
  <r>
    <n v="45507"/>
    <x v="579"/>
    <x v="1"/>
    <x v="2"/>
    <x v="9"/>
    <s v="Kensington K72356US Mouse-in-a-Box USB Desktop Mouse"/>
    <n v="39.82"/>
    <n v="3"/>
    <x v="3122"/>
    <x v="7"/>
    <x v="3"/>
  </r>
  <r>
    <n v="45507"/>
    <x v="759"/>
    <x v="22"/>
    <x v="0"/>
    <x v="2"/>
    <s v="Letter/Legal File Tote with Clear Snap-On Lid, Black Granite"/>
    <n v="16.059999999999999"/>
    <n v="1"/>
    <x v="1682"/>
    <x v="7"/>
    <x v="3"/>
  </r>
  <r>
    <n v="45507"/>
    <x v="764"/>
    <x v="10"/>
    <x v="0"/>
    <x v="1"/>
    <s v="Avery 476"/>
    <n v="16.52"/>
    <n v="5"/>
    <x v="193"/>
    <x v="7"/>
    <x v="3"/>
  </r>
  <r>
    <n v="45508"/>
    <x v="312"/>
    <x v="26"/>
    <x v="0"/>
    <x v="0"/>
    <s v="Hammermill CopyPlus Copy Paper (20Lb. and 84 Bright)"/>
    <n v="7.97"/>
    <n v="2"/>
    <x v="1131"/>
    <x v="7"/>
    <x v="3"/>
  </r>
  <r>
    <n v="45508"/>
    <x v="312"/>
    <x v="26"/>
    <x v="0"/>
    <x v="10"/>
    <s v="Manila Recycled Extra-Heavyweight Clasp Envelopes, 6&quot; x 9&quot;"/>
    <n v="8.7799999999999994"/>
    <n v="1"/>
    <x v="474"/>
    <x v="7"/>
    <x v="3"/>
  </r>
  <r>
    <n v="45508"/>
    <x v="312"/>
    <x v="0"/>
    <x v="0"/>
    <x v="3"/>
    <s v="Avery Durable Poly Binders"/>
    <n v="3.32"/>
    <n v="3"/>
    <x v="4534"/>
    <x v="7"/>
    <x v="3"/>
  </r>
  <r>
    <n v="45509"/>
    <x v="203"/>
    <x v="5"/>
    <x v="0"/>
    <x v="0"/>
    <s v="Adams Phone Message Book, 200 Message Capacity, 8 1/16Â” x 11Â”"/>
    <n v="13.76"/>
    <n v="2"/>
    <x v="3853"/>
    <x v="7"/>
    <x v="3"/>
  </r>
  <r>
    <n v="45509"/>
    <x v="327"/>
    <x v="0"/>
    <x v="0"/>
    <x v="2"/>
    <s v="Tennsco Lockers, Sand"/>
    <n v="151.06"/>
    <n v="9"/>
    <x v="4272"/>
    <x v="7"/>
    <x v="3"/>
  </r>
  <r>
    <n v="45509"/>
    <x v="99"/>
    <x v="18"/>
    <x v="0"/>
    <x v="3"/>
    <s v="Premium Transparent Presentation Covers by GBC"/>
    <n v="125.88"/>
    <n v="6"/>
    <x v="4535"/>
    <x v="7"/>
    <x v="3"/>
  </r>
  <r>
    <n v="45509"/>
    <x v="99"/>
    <x v="18"/>
    <x v="2"/>
    <x v="9"/>
    <s v="LogitechÂ MX Performance Wireless Mouse"/>
    <n v="79.78"/>
    <n v="2"/>
    <x v="4536"/>
    <x v="7"/>
    <x v="3"/>
  </r>
  <r>
    <n v="45509"/>
    <x v="99"/>
    <x v="18"/>
    <x v="0"/>
    <x v="1"/>
    <s v="Avery 475"/>
    <n v="133.19999999999999"/>
    <n v="9"/>
    <x v="4537"/>
    <x v="7"/>
    <x v="3"/>
  </r>
  <r>
    <n v="45510"/>
    <x v="9"/>
    <x v="8"/>
    <x v="1"/>
    <x v="11"/>
    <s v="O'Sullivan 2-Shelf Heavy-Duty Bookcases"/>
    <n v="145.74"/>
    <n v="3"/>
    <x v="431"/>
    <x v="7"/>
    <x v="3"/>
  </r>
  <r>
    <n v="45510"/>
    <x v="9"/>
    <x v="8"/>
    <x v="1"/>
    <x v="8"/>
    <s v="Longer-Life Soft White Bulbs"/>
    <n v="15.4"/>
    <n v="5"/>
    <x v="886"/>
    <x v="7"/>
    <x v="3"/>
  </r>
  <r>
    <n v="45510"/>
    <x v="735"/>
    <x v="0"/>
    <x v="0"/>
    <x v="0"/>
    <s v="14-7/8 x 11 Blue Bar Computer Printout Paper"/>
    <n v="115.3"/>
    <n v="3"/>
    <x v="2586"/>
    <x v="7"/>
    <x v="3"/>
  </r>
  <r>
    <n v="45510"/>
    <x v="146"/>
    <x v="38"/>
    <x v="2"/>
    <x v="6"/>
    <s v="Ativa D5772 2-Line 5.8GHz Digital Expandable Corded/Cordless Phone System with Answering &amp; Caller ID/Call Waiting, Black/Silver"/>
    <n v="824.95"/>
    <n v="5"/>
    <x v="4538"/>
    <x v="7"/>
    <x v="3"/>
  </r>
  <r>
    <n v="45510"/>
    <x v="146"/>
    <x v="38"/>
    <x v="0"/>
    <x v="1"/>
    <s v="Avery 481"/>
    <n v="24.64"/>
    <n v="8"/>
    <x v="4539"/>
    <x v="7"/>
    <x v="3"/>
  </r>
  <r>
    <n v="45510"/>
    <x v="146"/>
    <x v="38"/>
    <x v="0"/>
    <x v="4"/>
    <s v="Hunt PowerHouse Electric Pencil Sharpener, Blue"/>
    <n v="227.88"/>
    <n v="6"/>
    <x v="536"/>
    <x v="7"/>
    <x v="3"/>
  </r>
  <r>
    <n v="45510"/>
    <x v="489"/>
    <x v="20"/>
    <x v="0"/>
    <x v="14"/>
    <s v="Acme 10&quot; Easy Grip Assistive Scissors"/>
    <n v="70.12"/>
    <n v="4"/>
    <x v="2500"/>
    <x v="7"/>
    <x v="3"/>
  </r>
  <r>
    <n v="45511"/>
    <x v="667"/>
    <x v="25"/>
    <x v="2"/>
    <x v="9"/>
    <s v="Logitech G700s Rechargeable Gaming Mouse"/>
    <n v="79.989999999999995"/>
    <n v="1"/>
    <x v="504"/>
    <x v="7"/>
    <x v="3"/>
  </r>
  <r>
    <n v="45511"/>
    <x v="677"/>
    <x v="20"/>
    <x v="0"/>
    <x v="4"/>
    <s v="Quartet Omega Colored Chalk, 12/Pack"/>
    <n v="11.68"/>
    <n v="2"/>
    <x v="2337"/>
    <x v="7"/>
    <x v="3"/>
  </r>
  <r>
    <n v="45511"/>
    <x v="677"/>
    <x v="20"/>
    <x v="0"/>
    <x v="4"/>
    <s v="Staples in misc. colors"/>
    <n v="104.8"/>
    <n v="10"/>
    <x v="4540"/>
    <x v="7"/>
    <x v="3"/>
  </r>
  <r>
    <n v="45511"/>
    <x v="144"/>
    <x v="3"/>
    <x v="2"/>
    <x v="6"/>
    <s v="GE DSL Phone Line Filter"/>
    <n v="159.96"/>
    <n v="5"/>
    <x v="1829"/>
    <x v="7"/>
    <x v="3"/>
  </r>
  <r>
    <n v="45511"/>
    <x v="144"/>
    <x v="3"/>
    <x v="0"/>
    <x v="3"/>
    <s v="Avery Printable Repositionable Plastic Tabs"/>
    <n v="13.76"/>
    <n v="2"/>
    <x v="4541"/>
    <x v="7"/>
    <x v="3"/>
  </r>
  <r>
    <n v="45511"/>
    <x v="204"/>
    <x v="28"/>
    <x v="2"/>
    <x v="9"/>
    <s v="Memorex Micro Travel Drive 16 GB"/>
    <n v="63.96"/>
    <n v="4"/>
    <x v="2375"/>
    <x v="7"/>
    <x v="3"/>
  </r>
  <r>
    <n v="45511"/>
    <x v="550"/>
    <x v="3"/>
    <x v="0"/>
    <x v="0"/>
    <s v="Xerox 1891"/>
    <n v="244.55"/>
    <n v="5"/>
    <x v="4205"/>
    <x v="7"/>
    <x v="3"/>
  </r>
  <r>
    <n v="45511"/>
    <x v="74"/>
    <x v="0"/>
    <x v="2"/>
    <x v="9"/>
    <s v="Logitech K350 2.4Ghz Wireless Keyboard"/>
    <n v="119.45"/>
    <n v="3"/>
    <x v="4542"/>
    <x v="7"/>
    <x v="3"/>
  </r>
  <r>
    <n v="45511"/>
    <x v="74"/>
    <x v="0"/>
    <x v="0"/>
    <x v="2"/>
    <s v="Safco Industrial Shelving"/>
    <n v="118.16"/>
    <n v="2"/>
    <x v="1568"/>
    <x v="7"/>
    <x v="3"/>
  </r>
  <r>
    <n v="45511"/>
    <x v="506"/>
    <x v="3"/>
    <x v="2"/>
    <x v="6"/>
    <s v="Polycom VoiceStation 500 ConferenceÂ phone"/>
    <n v="707.88"/>
    <n v="3"/>
    <x v="4543"/>
    <x v="7"/>
    <x v="3"/>
  </r>
  <r>
    <n v="45511"/>
    <x v="506"/>
    <x v="3"/>
    <x v="0"/>
    <x v="3"/>
    <s v="Cardinal Holdit Business Card Pockets"/>
    <n v="11.95"/>
    <n v="3"/>
    <x v="1682"/>
    <x v="7"/>
    <x v="3"/>
  </r>
  <r>
    <n v="45511"/>
    <x v="506"/>
    <x v="3"/>
    <x v="0"/>
    <x v="3"/>
    <s v="Mead 1st Gear 2&quot; Zipper Binder, Asst. Colors"/>
    <n v="31.13"/>
    <n v="3"/>
    <x v="4544"/>
    <x v="7"/>
    <x v="3"/>
  </r>
  <r>
    <n v="45511"/>
    <x v="506"/>
    <x v="3"/>
    <x v="2"/>
    <x v="9"/>
    <s v="Sony Micro Vault Click 4 GB USB 2.0 Flash Drive"/>
    <n v="55.76"/>
    <n v="4"/>
    <x v="4545"/>
    <x v="7"/>
    <x v="3"/>
  </r>
  <r>
    <n v="45511"/>
    <x v="506"/>
    <x v="3"/>
    <x v="0"/>
    <x v="0"/>
    <s v="Xerox 1881"/>
    <n v="24.56"/>
    <n v="2"/>
    <x v="391"/>
    <x v="7"/>
    <x v="3"/>
  </r>
  <r>
    <n v="45511"/>
    <x v="506"/>
    <x v="3"/>
    <x v="1"/>
    <x v="8"/>
    <s v="Howard Miller 13-3/4&quot; Diameter Brushed Chrome Round Wall Clock"/>
    <n v="51.75"/>
    <n v="1"/>
    <x v="1030"/>
    <x v="7"/>
    <x v="3"/>
  </r>
  <r>
    <n v="45511"/>
    <x v="506"/>
    <x v="3"/>
    <x v="1"/>
    <x v="5"/>
    <s v="Global Enterprise Series Seating Low-Back Swivel/Tilt Chairs"/>
    <n v="207.18"/>
    <n v="1"/>
    <x v="4425"/>
    <x v="7"/>
    <x v="3"/>
  </r>
  <r>
    <n v="45511"/>
    <x v="506"/>
    <x v="3"/>
    <x v="0"/>
    <x v="12"/>
    <s v="3.6 Cubic Foot Counter Height Office Refrigerator"/>
    <n v="1473.1"/>
    <n v="5"/>
    <x v="4546"/>
    <x v="7"/>
    <x v="3"/>
  </r>
  <r>
    <n v="45514"/>
    <x v="325"/>
    <x v="18"/>
    <x v="0"/>
    <x v="10"/>
    <s v="Staple envelope"/>
    <n v="70.08"/>
    <n v="6"/>
    <x v="4547"/>
    <x v="7"/>
    <x v="3"/>
  </r>
  <r>
    <n v="45514"/>
    <x v="325"/>
    <x v="18"/>
    <x v="1"/>
    <x v="8"/>
    <s v="Tenex Traditional Chairmats for Medium Pile Carpet, Standard Lip, 36&quot; x 48&quot;"/>
    <n v="121.3"/>
    <n v="2"/>
    <x v="22"/>
    <x v="7"/>
    <x v="3"/>
  </r>
  <r>
    <n v="45514"/>
    <x v="325"/>
    <x v="18"/>
    <x v="2"/>
    <x v="6"/>
    <s v="Aastra 57i VoIP phone"/>
    <n v="1454.49"/>
    <n v="9"/>
    <x v="4548"/>
    <x v="7"/>
    <x v="3"/>
  </r>
  <r>
    <n v="45514"/>
    <x v="571"/>
    <x v="18"/>
    <x v="0"/>
    <x v="0"/>
    <s v="Xerox 1906"/>
    <n v="177.2"/>
    <n v="5"/>
    <x v="287"/>
    <x v="7"/>
    <x v="3"/>
  </r>
  <r>
    <n v="45515"/>
    <x v="472"/>
    <x v="0"/>
    <x v="0"/>
    <x v="0"/>
    <s v="Wirebound Message Books, Four 2 3/4&quot; x 5&quot; Forms per Page, 600 Sets per Book"/>
    <n v="29.66"/>
    <n v="4"/>
    <x v="1638"/>
    <x v="7"/>
    <x v="3"/>
  </r>
  <r>
    <n v="45515"/>
    <x v="472"/>
    <x v="0"/>
    <x v="0"/>
    <x v="4"/>
    <s v="BIC Brite Liner Grip Highlighters"/>
    <n v="9.18"/>
    <n v="7"/>
    <x v="4549"/>
    <x v="7"/>
    <x v="3"/>
  </r>
  <r>
    <n v="45515"/>
    <x v="472"/>
    <x v="0"/>
    <x v="2"/>
    <x v="6"/>
    <s v="Pyle PMP37LED"/>
    <n v="153.58000000000001"/>
    <n v="2"/>
    <x v="910"/>
    <x v="7"/>
    <x v="3"/>
  </r>
  <r>
    <n v="45515"/>
    <x v="472"/>
    <x v="0"/>
    <x v="0"/>
    <x v="3"/>
    <s v="Fellowes Twister Kit, Gray/Clear, 3/pkg"/>
    <n v="12.86"/>
    <n v="8"/>
    <x v="4550"/>
    <x v="7"/>
    <x v="3"/>
  </r>
  <r>
    <n v="45515"/>
    <x v="108"/>
    <x v="8"/>
    <x v="0"/>
    <x v="3"/>
    <s v="Satellite Sectional Post Binders"/>
    <n v="477.51"/>
    <n v="11"/>
    <x v="4551"/>
    <x v="7"/>
    <x v="3"/>
  </r>
  <r>
    <n v="45515"/>
    <x v="694"/>
    <x v="20"/>
    <x v="0"/>
    <x v="0"/>
    <s v="Xerox 226"/>
    <n v="25.92"/>
    <n v="4"/>
    <x v="496"/>
    <x v="7"/>
    <x v="3"/>
  </r>
  <r>
    <n v="45516"/>
    <x v="356"/>
    <x v="16"/>
    <x v="0"/>
    <x v="0"/>
    <s v="Xerox 2000"/>
    <n v="20.74"/>
    <n v="4"/>
    <x v="416"/>
    <x v="7"/>
    <x v="3"/>
  </r>
  <r>
    <n v="45516"/>
    <x v="176"/>
    <x v="3"/>
    <x v="0"/>
    <x v="12"/>
    <s v="Avanti 4.4 Cu. Ft. Refrigerator"/>
    <n v="542.94000000000005"/>
    <n v="3"/>
    <x v="2213"/>
    <x v="7"/>
    <x v="3"/>
  </r>
  <r>
    <n v="45516"/>
    <x v="176"/>
    <x v="3"/>
    <x v="1"/>
    <x v="8"/>
    <s v="DAX Wood Document Frame"/>
    <n v="54.92"/>
    <n v="4"/>
    <x v="2982"/>
    <x v="7"/>
    <x v="3"/>
  </r>
  <r>
    <n v="45516"/>
    <x v="653"/>
    <x v="36"/>
    <x v="0"/>
    <x v="4"/>
    <s v="Newell 312"/>
    <n v="17.52"/>
    <n v="3"/>
    <x v="1803"/>
    <x v="7"/>
    <x v="3"/>
  </r>
  <r>
    <n v="45516"/>
    <x v="653"/>
    <x v="36"/>
    <x v="1"/>
    <x v="5"/>
    <s v="Hon 4700 Series Mobuis Mid-Back Task Chairs with Adjustable Arms"/>
    <n v="1779.9"/>
    <n v="5"/>
    <x v="4552"/>
    <x v="7"/>
    <x v="3"/>
  </r>
  <r>
    <n v="45516"/>
    <x v="653"/>
    <x v="36"/>
    <x v="0"/>
    <x v="4"/>
    <s v="Boston 1645 Deluxe Heavier-Duty Electric Pencil Sharpener"/>
    <n v="219.9"/>
    <n v="5"/>
    <x v="4553"/>
    <x v="7"/>
    <x v="3"/>
  </r>
  <r>
    <n v="45516"/>
    <x v="613"/>
    <x v="22"/>
    <x v="2"/>
    <x v="16"/>
    <s v="Hewlett Packard 310 Color Digital Copier"/>
    <n v="299.99"/>
    <n v="1"/>
    <x v="380"/>
    <x v="7"/>
    <x v="3"/>
  </r>
  <r>
    <n v="45516"/>
    <x v="613"/>
    <x v="22"/>
    <x v="0"/>
    <x v="0"/>
    <s v="Xerox 1937"/>
    <n v="192.16"/>
    <n v="4"/>
    <x v="3505"/>
    <x v="7"/>
    <x v="3"/>
  </r>
  <r>
    <n v="45516"/>
    <x v="613"/>
    <x v="22"/>
    <x v="2"/>
    <x v="6"/>
    <s v="Grandstream GXP1160 VoIP phone"/>
    <n v="242.62"/>
    <n v="8"/>
    <x v="4554"/>
    <x v="7"/>
    <x v="3"/>
  </r>
  <r>
    <n v="45516"/>
    <x v="613"/>
    <x v="22"/>
    <x v="0"/>
    <x v="2"/>
    <s v="Personal File Boxes with Fold-Down Carry Handle"/>
    <n v="46.74"/>
    <n v="3"/>
    <x v="1734"/>
    <x v="7"/>
    <x v="3"/>
  </r>
  <r>
    <n v="45516"/>
    <x v="613"/>
    <x v="22"/>
    <x v="2"/>
    <x v="9"/>
    <s v="Perixx PERIBOARD-512B, Ergonomic Split Keyboard"/>
    <n v="174.95"/>
    <n v="5"/>
    <x v="4555"/>
    <x v="7"/>
    <x v="3"/>
  </r>
  <r>
    <n v="45516"/>
    <x v="613"/>
    <x v="22"/>
    <x v="0"/>
    <x v="3"/>
    <s v="Avery Legal 4-Ring Binder"/>
    <n v="100.7"/>
    <n v="6"/>
    <x v="2954"/>
    <x v="7"/>
    <x v="3"/>
  </r>
  <r>
    <n v="45517"/>
    <x v="144"/>
    <x v="3"/>
    <x v="0"/>
    <x v="2"/>
    <s v="Sterilite Officeware Hinged File Box"/>
    <n v="31.44"/>
    <n v="3"/>
    <x v="197"/>
    <x v="7"/>
    <x v="3"/>
  </r>
  <r>
    <n v="45517"/>
    <x v="144"/>
    <x v="3"/>
    <x v="0"/>
    <x v="12"/>
    <s v="Staple holder"/>
    <n v="83.79"/>
    <n v="7"/>
    <x v="3459"/>
    <x v="7"/>
    <x v="3"/>
  </r>
  <r>
    <n v="45517"/>
    <x v="144"/>
    <x v="3"/>
    <x v="0"/>
    <x v="4"/>
    <s v="Newell 345"/>
    <n v="59.52"/>
    <n v="3"/>
    <x v="142"/>
    <x v="7"/>
    <x v="3"/>
  </r>
  <r>
    <n v="45517"/>
    <x v="144"/>
    <x v="3"/>
    <x v="0"/>
    <x v="14"/>
    <s v="Staple remover"/>
    <n v="31.92"/>
    <n v="4"/>
    <x v="713"/>
    <x v="7"/>
    <x v="3"/>
  </r>
  <r>
    <n v="45517"/>
    <x v="435"/>
    <x v="2"/>
    <x v="0"/>
    <x v="1"/>
    <s v="Avery 486"/>
    <n v="17.54"/>
    <n v="3"/>
    <x v="204"/>
    <x v="7"/>
    <x v="3"/>
  </r>
  <r>
    <n v="45517"/>
    <x v="521"/>
    <x v="3"/>
    <x v="0"/>
    <x v="3"/>
    <s v="GBC Prepunched Paper, 19-Hole, for Binding Systems, 24-lb"/>
    <n v="36.020000000000003"/>
    <n v="3"/>
    <x v="4556"/>
    <x v="7"/>
    <x v="3"/>
  </r>
  <r>
    <n v="45517"/>
    <x v="284"/>
    <x v="15"/>
    <x v="0"/>
    <x v="12"/>
    <s v="Belkin Premiere Surge Master II 8-outlet surge protector"/>
    <n v="272.05"/>
    <n v="7"/>
    <x v="4557"/>
    <x v="7"/>
    <x v="3"/>
  </r>
  <r>
    <n v="45517"/>
    <x v="284"/>
    <x v="15"/>
    <x v="0"/>
    <x v="3"/>
    <s v="GBC DocuBind TL300 Electric Binding System"/>
    <n v="1614.58"/>
    <n v="6"/>
    <x v="4558"/>
    <x v="7"/>
    <x v="3"/>
  </r>
  <r>
    <n v="45517"/>
    <x v="284"/>
    <x v="15"/>
    <x v="0"/>
    <x v="7"/>
    <s v="Staples"/>
    <n v="24.32"/>
    <n v="5"/>
    <x v="729"/>
    <x v="7"/>
    <x v="3"/>
  </r>
  <r>
    <n v="45517"/>
    <x v="284"/>
    <x v="15"/>
    <x v="2"/>
    <x v="9"/>
    <s v="Maxell 4.7GB DVD-R 5/Pack"/>
    <n v="1.58"/>
    <n v="2"/>
    <x v="1294"/>
    <x v="7"/>
    <x v="3"/>
  </r>
  <r>
    <n v="45517"/>
    <x v="284"/>
    <x v="15"/>
    <x v="1"/>
    <x v="8"/>
    <s v="Eldon Radial Chair Mat for Low to Medium Pile Carpets"/>
    <n v="31.98"/>
    <n v="1"/>
    <x v="62"/>
    <x v="7"/>
    <x v="3"/>
  </r>
  <r>
    <n v="45517"/>
    <x v="284"/>
    <x v="15"/>
    <x v="0"/>
    <x v="10"/>
    <s v="Colored Envelopes"/>
    <n v="14.76"/>
    <n v="5"/>
    <x v="2808"/>
    <x v="7"/>
    <x v="3"/>
  </r>
  <r>
    <n v="45517"/>
    <x v="284"/>
    <x v="15"/>
    <x v="1"/>
    <x v="5"/>
    <s v="Hon Olson Stacker Chairs"/>
    <n v="423.65"/>
    <n v="2"/>
    <x v="4559"/>
    <x v="7"/>
    <x v="3"/>
  </r>
  <r>
    <n v="45518"/>
    <x v="377"/>
    <x v="3"/>
    <x v="0"/>
    <x v="1"/>
    <s v="Avery File Folder Labels"/>
    <n v="5.76"/>
    <n v="2"/>
    <x v="1218"/>
    <x v="7"/>
    <x v="3"/>
  </r>
  <r>
    <n v="45518"/>
    <x v="377"/>
    <x v="3"/>
    <x v="0"/>
    <x v="4"/>
    <s v="Newell 318"/>
    <n v="16.68"/>
    <n v="6"/>
    <x v="2342"/>
    <x v="7"/>
    <x v="3"/>
  </r>
  <r>
    <n v="45518"/>
    <x v="744"/>
    <x v="3"/>
    <x v="1"/>
    <x v="13"/>
    <s v="Chromcraft Round Conference Tables"/>
    <n v="418.3"/>
    <n v="3"/>
    <x v="1292"/>
    <x v="7"/>
    <x v="3"/>
  </r>
  <r>
    <n v="45519"/>
    <x v="229"/>
    <x v="23"/>
    <x v="0"/>
    <x v="12"/>
    <s v="Fellowes Premier Superior Surge Suppressor, 10-Outlet, With Phone and Remote"/>
    <n v="97.84"/>
    <n v="2"/>
    <x v="4560"/>
    <x v="7"/>
    <x v="3"/>
  </r>
  <r>
    <n v="45519"/>
    <x v="729"/>
    <x v="2"/>
    <x v="0"/>
    <x v="2"/>
    <s v="Tennsco Single-Tier Lockers"/>
    <n v="1801.63"/>
    <n v="6"/>
    <x v="1055"/>
    <x v="7"/>
    <x v="3"/>
  </r>
  <r>
    <n v="45519"/>
    <x v="731"/>
    <x v="28"/>
    <x v="0"/>
    <x v="1"/>
    <s v="Avery 495"/>
    <n v="50.4"/>
    <n v="8"/>
    <x v="4561"/>
    <x v="7"/>
    <x v="3"/>
  </r>
  <r>
    <n v="45520"/>
    <x v="605"/>
    <x v="15"/>
    <x v="0"/>
    <x v="3"/>
    <s v="Recycled Easel Ring Binders"/>
    <n v="13.43"/>
    <n v="3"/>
    <x v="4562"/>
    <x v="7"/>
    <x v="3"/>
  </r>
  <r>
    <n v="45520"/>
    <x v="605"/>
    <x v="15"/>
    <x v="0"/>
    <x v="2"/>
    <s v="Acco Perma 3000 Stacking Storage Drawers"/>
    <n v="67.14"/>
    <n v="4"/>
    <x v="4563"/>
    <x v="7"/>
    <x v="3"/>
  </r>
  <r>
    <n v="45521"/>
    <x v="150"/>
    <x v="20"/>
    <x v="0"/>
    <x v="3"/>
    <s v="GBC DocuBind TL200 Manual Binding Machine"/>
    <n v="895.92"/>
    <n v="5"/>
    <x v="4216"/>
    <x v="7"/>
    <x v="3"/>
  </r>
  <r>
    <n v="45521"/>
    <x v="150"/>
    <x v="20"/>
    <x v="1"/>
    <x v="5"/>
    <s v="Global Commerce Series Low-Back Swivel/Tilt Chairs"/>
    <n v="462.56"/>
    <n v="2"/>
    <x v="4564"/>
    <x v="7"/>
    <x v="3"/>
  </r>
  <r>
    <n v="45521"/>
    <x v="303"/>
    <x v="5"/>
    <x v="0"/>
    <x v="3"/>
    <s v="GBC Prestige Therm-A-Bind Covers"/>
    <n v="102.93"/>
    <n v="3"/>
    <x v="4429"/>
    <x v="7"/>
    <x v="3"/>
  </r>
  <r>
    <n v="45521"/>
    <x v="303"/>
    <x v="5"/>
    <x v="2"/>
    <x v="9"/>
    <s v="Logitech Desktop MK120 Mouse and keyboard Combo"/>
    <n v="98.16"/>
    <n v="6"/>
    <x v="1199"/>
    <x v="7"/>
    <x v="3"/>
  </r>
  <r>
    <n v="45521"/>
    <x v="341"/>
    <x v="0"/>
    <x v="0"/>
    <x v="14"/>
    <s v="Acco Side-Punched Conventional Columnar Pads"/>
    <n v="5.55"/>
    <n v="2"/>
    <x v="786"/>
    <x v="7"/>
    <x v="3"/>
  </r>
  <r>
    <n v="45521"/>
    <x v="341"/>
    <x v="0"/>
    <x v="0"/>
    <x v="4"/>
    <s v="Avery Fluorescent Highlighter Four-Color Set"/>
    <n v="8.02"/>
    <n v="3"/>
    <x v="202"/>
    <x v="7"/>
    <x v="3"/>
  </r>
  <r>
    <n v="45521"/>
    <x v="341"/>
    <x v="0"/>
    <x v="1"/>
    <x v="5"/>
    <s v="SAFCO Optional Arm Kit for Workspace Cribbage Stacking Chair"/>
    <n v="74.59"/>
    <n v="4"/>
    <x v="2102"/>
    <x v="7"/>
    <x v="3"/>
  </r>
  <r>
    <n v="45521"/>
    <x v="341"/>
    <x v="0"/>
    <x v="1"/>
    <x v="8"/>
    <s v="36X48 HARDFLOOR CHAIRMAT"/>
    <n v="16.78"/>
    <n v="2"/>
    <x v="4565"/>
    <x v="7"/>
    <x v="3"/>
  </r>
  <r>
    <n v="45521"/>
    <x v="341"/>
    <x v="0"/>
    <x v="0"/>
    <x v="12"/>
    <s v="Belkin Premiere Surge Master II 8-outlet surge protector"/>
    <n v="38.86"/>
    <n v="4"/>
    <x v="4566"/>
    <x v="7"/>
    <x v="3"/>
  </r>
  <r>
    <n v="45521"/>
    <x v="717"/>
    <x v="2"/>
    <x v="1"/>
    <x v="5"/>
    <s v="HON 5400 Series Task Chairs for Big and Tall"/>
    <n v="4416.17"/>
    <n v="9"/>
    <x v="4567"/>
    <x v="7"/>
    <x v="3"/>
  </r>
  <r>
    <n v="45521"/>
    <x v="602"/>
    <x v="3"/>
    <x v="0"/>
    <x v="10"/>
    <s v="Staple envelope"/>
    <n v="23.36"/>
    <n v="2"/>
    <x v="2901"/>
    <x v="7"/>
    <x v="3"/>
  </r>
  <r>
    <n v="45521"/>
    <x v="602"/>
    <x v="3"/>
    <x v="2"/>
    <x v="6"/>
    <s v="OtterBox Defender Series Case - Samsung Galaxy S4"/>
    <n v="71.98"/>
    <n v="3"/>
    <x v="246"/>
    <x v="7"/>
    <x v="3"/>
  </r>
  <r>
    <n v="45521"/>
    <x v="602"/>
    <x v="3"/>
    <x v="0"/>
    <x v="0"/>
    <s v="Xerox 1962"/>
    <n v="8.56"/>
    <n v="2"/>
    <x v="995"/>
    <x v="7"/>
    <x v="3"/>
  </r>
  <r>
    <n v="45521"/>
    <x v="602"/>
    <x v="3"/>
    <x v="0"/>
    <x v="3"/>
    <s v="Wilson Jones Clip &amp; Carry Folder Binder Tool for Ring Binders, Clear"/>
    <n v="13.92"/>
    <n v="3"/>
    <x v="604"/>
    <x v="7"/>
    <x v="3"/>
  </r>
  <r>
    <n v="45521"/>
    <x v="602"/>
    <x v="3"/>
    <x v="0"/>
    <x v="12"/>
    <s v="Sanyo 2.5 Cubic Foot Mid-Size Office Refrigerators"/>
    <n v="2518.29"/>
    <n v="9"/>
    <x v="4568"/>
    <x v="7"/>
    <x v="3"/>
  </r>
  <r>
    <n v="45521"/>
    <x v="602"/>
    <x v="3"/>
    <x v="0"/>
    <x v="2"/>
    <s v="Standard Rollaway File with Lock"/>
    <n v="540.57000000000005"/>
    <n v="3"/>
    <x v="1969"/>
    <x v="7"/>
    <x v="3"/>
  </r>
  <r>
    <n v="45521"/>
    <x v="602"/>
    <x v="3"/>
    <x v="0"/>
    <x v="3"/>
    <s v="GBC Recycled Grain Textured Covers"/>
    <n v="221.06"/>
    <n v="8"/>
    <x v="4569"/>
    <x v="7"/>
    <x v="3"/>
  </r>
  <r>
    <n v="45522"/>
    <x v="537"/>
    <x v="20"/>
    <x v="1"/>
    <x v="8"/>
    <s v="DAX Metal Frame, Desktop, Stepped-Edge"/>
    <n v="40.479999999999997"/>
    <n v="2"/>
    <x v="4570"/>
    <x v="7"/>
    <x v="3"/>
  </r>
  <r>
    <n v="45522"/>
    <x v="537"/>
    <x v="20"/>
    <x v="1"/>
    <x v="8"/>
    <s v="DAX Value U-Channel Document Frames, Easel Back"/>
    <n v="9.94"/>
    <n v="2"/>
    <x v="20"/>
    <x v="7"/>
    <x v="3"/>
  </r>
  <r>
    <n v="45522"/>
    <x v="537"/>
    <x v="20"/>
    <x v="0"/>
    <x v="3"/>
    <s v="Recycled Easel Ring Binders"/>
    <n v="107.42"/>
    <n v="9"/>
    <x v="4571"/>
    <x v="7"/>
    <x v="3"/>
  </r>
  <r>
    <n v="45522"/>
    <x v="537"/>
    <x v="20"/>
    <x v="2"/>
    <x v="6"/>
    <s v="Grandstream GXP1160 VoIP phone"/>
    <n v="37.909999999999997"/>
    <n v="1"/>
    <x v="4572"/>
    <x v="7"/>
    <x v="3"/>
  </r>
  <r>
    <n v="45522"/>
    <x v="537"/>
    <x v="20"/>
    <x v="1"/>
    <x v="8"/>
    <s v="Seth Thomas 14&quot; Putty-Colored Wall Clock"/>
    <n v="88.02"/>
    <n v="3"/>
    <x v="4573"/>
    <x v="7"/>
    <x v="3"/>
  </r>
  <r>
    <n v="45522"/>
    <x v="277"/>
    <x v="0"/>
    <x v="0"/>
    <x v="2"/>
    <s v="Safco Steel Mobile File Cart"/>
    <n v="200.06"/>
    <n v="3"/>
    <x v="4574"/>
    <x v="7"/>
    <x v="3"/>
  </r>
  <r>
    <n v="45522"/>
    <x v="277"/>
    <x v="0"/>
    <x v="0"/>
    <x v="3"/>
    <s v="Acco D-Ring Binder w/DublLock"/>
    <n v="21.38"/>
    <n v="5"/>
    <x v="4575"/>
    <x v="7"/>
    <x v="3"/>
  </r>
  <r>
    <n v="45522"/>
    <x v="277"/>
    <x v="0"/>
    <x v="0"/>
    <x v="3"/>
    <s v="Ibico Plastic and Wire Spiral Binding Combs"/>
    <n v="6.74"/>
    <n v="4"/>
    <x v="4576"/>
    <x v="7"/>
    <x v="3"/>
  </r>
  <r>
    <n v="45522"/>
    <x v="155"/>
    <x v="22"/>
    <x v="0"/>
    <x v="2"/>
    <s v="Fellowes Super Stor/Drawer Files"/>
    <n v="323.10000000000002"/>
    <n v="2"/>
    <x v="1983"/>
    <x v="7"/>
    <x v="3"/>
  </r>
  <r>
    <n v="45522"/>
    <x v="698"/>
    <x v="22"/>
    <x v="2"/>
    <x v="9"/>
    <s v="Plantronics Savi W720 Multi-Device Wireless Headset System"/>
    <n v="843.9"/>
    <n v="2"/>
    <x v="2829"/>
    <x v="7"/>
    <x v="3"/>
  </r>
  <r>
    <n v="45522"/>
    <x v="698"/>
    <x v="22"/>
    <x v="2"/>
    <x v="9"/>
    <s v="Imation Bio 8GB USBÂ Flash Drive ImationÂ Corp"/>
    <n v="1496.16"/>
    <n v="9"/>
    <x v="4577"/>
    <x v="7"/>
    <x v="3"/>
  </r>
  <r>
    <n v="45522"/>
    <x v="598"/>
    <x v="22"/>
    <x v="0"/>
    <x v="3"/>
    <s v="Fellowes PB300 Plastic Comb Binding Machine"/>
    <n v="2793.53"/>
    <n v="9"/>
    <x v="4578"/>
    <x v="7"/>
    <x v="3"/>
  </r>
  <r>
    <n v="45522"/>
    <x v="598"/>
    <x v="22"/>
    <x v="0"/>
    <x v="2"/>
    <s v="Letter Size Cart"/>
    <n v="1000.02"/>
    <n v="7"/>
    <x v="4579"/>
    <x v="7"/>
    <x v="3"/>
  </r>
  <r>
    <n v="45522"/>
    <x v="598"/>
    <x v="22"/>
    <x v="1"/>
    <x v="8"/>
    <s v="Contract Clock, 14&quot;, Brown"/>
    <n v="65.94"/>
    <n v="3"/>
    <x v="4580"/>
    <x v="7"/>
    <x v="3"/>
  </r>
  <r>
    <n v="45522"/>
    <x v="137"/>
    <x v="10"/>
    <x v="0"/>
    <x v="4"/>
    <s v="Newell 325"/>
    <n v="9.91"/>
    <n v="3"/>
    <x v="1148"/>
    <x v="7"/>
    <x v="3"/>
  </r>
  <r>
    <n v="45522"/>
    <x v="74"/>
    <x v="10"/>
    <x v="0"/>
    <x v="3"/>
    <s v="GBC Personal VeloBind Strips"/>
    <n v="10.78"/>
    <n v="3"/>
    <x v="4581"/>
    <x v="7"/>
    <x v="3"/>
  </r>
  <r>
    <n v="45522"/>
    <x v="773"/>
    <x v="32"/>
    <x v="2"/>
    <x v="9"/>
    <s v="Verbatim 25 GB 6x Blu-ray Single Layer Recordable Disc, 10/Pack"/>
    <n v="23.18"/>
    <n v="2"/>
    <x v="4582"/>
    <x v="7"/>
    <x v="3"/>
  </r>
  <r>
    <n v="45523"/>
    <x v="403"/>
    <x v="32"/>
    <x v="0"/>
    <x v="3"/>
    <s v="Fellowes PB300 Plastic Comb Binding Machine"/>
    <n v="387.99"/>
    <n v="1"/>
    <x v="4583"/>
    <x v="7"/>
    <x v="3"/>
  </r>
  <r>
    <n v="45523"/>
    <x v="256"/>
    <x v="1"/>
    <x v="0"/>
    <x v="3"/>
    <s v="Binder Posts"/>
    <n v="2.2999999999999998"/>
    <n v="2"/>
    <x v="2205"/>
    <x v="7"/>
    <x v="3"/>
  </r>
  <r>
    <n v="45523"/>
    <x v="712"/>
    <x v="32"/>
    <x v="0"/>
    <x v="0"/>
    <s v="Xerox 200"/>
    <n v="19.440000000000001"/>
    <n v="3"/>
    <x v="5"/>
    <x v="7"/>
    <x v="3"/>
  </r>
  <r>
    <n v="45523"/>
    <x v="445"/>
    <x v="27"/>
    <x v="0"/>
    <x v="3"/>
    <s v="Wilson Jones Elliptical Ring 3 1/2&quot; Capacity Binders, 800 sheets"/>
    <n v="102.72"/>
    <n v="3"/>
    <x v="4584"/>
    <x v="7"/>
    <x v="3"/>
  </r>
  <r>
    <n v="45524"/>
    <x v="344"/>
    <x v="3"/>
    <x v="0"/>
    <x v="3"/>
    <s v="GBC Recycled Regency Composition Covers"/>
    <n v="239.12"/>
    <n v="5"/>
    <x v="4585"/>
    <x v="7"/>
    <x v="3"/>
  </r>
  <r>
    <n v="45524"/>
    <x v="654"/>
    <x v="32"/>
    <x v="0"/>
    <x v="2"/>
    <s v="Neat Ideas Personal Hanging Folder Files, Black"/>
    <n v="40.29"/>
    <n v="3"/>
    <x v="1248"/>
    <x v="7"/>
    <x v="3"/>
  </r>
  <r>
    <n v="45524"/>
    <x v="382"/>
    <x v="3"/>
    <x v="0"/>
    <x v="14"/>
    <s v="Acme Kleencut Forged Steel Scissors"/>
    <n v="17.22"/>
    <n v="3"/>
    <x v="4586"/>
    <x v="7"/>
    <x v="3"/>
  </r>
  <r>
    <n v="45524"/>
    <x v="382"/>
    <x v="3"/>
    <x v="0"/>
    <x v="2"/>
    <s v="Companion Letter/Legal File, Black"/>
    <n v="226.56"/>
    <n v="6"/>
    <x v="3250"/>
    <x v="7"/>
    <x v="3"/>
  </r>
  <r>
    <n v="45524"/>
    <x v="382"/>
    <x v="3"/>
    <x v="2"/>
    <x v="6"/>
    <s v="Plantronics Encore H101 Dual EarpiecesÂ Headset"/>
    <n v="107.88"/>
    <n v="3"/>
    <x v="777"/>
    <x v="7"/>
    <x v="3"/>
  </r>
  <r>
    <n v="45524"/>
    <x v="73"/>
    <x v="3"/>
    <x v="0"/>
    <x v="0"/>
    <s v="Xerox 203"/>
    <n v="25.92"/>
    <n v="4"/>
    <x v="496"/>
    <x v="7"/>
    <x v="3"/>
  </r>
  <r>
    <n v="45524"/>
    <x v="722"/>
    <x v="25"/>
    <x v="2"/>
    <x v="6"/>
    <s v="Plantronics Encore H101 Dual EarpiecesÂ Headset"/>
    <n v="35.96"/>
    <n v="1"/>
    <x v="333"/>
    <x v="7"/>
    <x v="3"/>
  </r>
  <r>
    <n v="45525"/>
    <x v="40"/>
    <x v="29"/>
    <x v="1"/>
    <x v="5"/>
    <s v="Hon Multipurpose Stacking Arm Chairs"/>
    <n v="866.4"/>
    <n v="4"/>
    <x v="2910"/>
    <x v="7"/>
    <x v="3"/>
  </r>
  <r>
    <n v="45525"/>
    <x v="217"/>
    <x v="28"/>
    <x v="0"/>
    <x v="7"/>
    <s v="Advantus Plastic Paper Clips"/>
    <n v="35"/>
    <n v="7"/>
    <x v="1919"/>
    <x v="7"/>
    <x v="3"/>
  </r>
  <r>
    <n v="45525"/>
    <x v="217"/>
    <x v="28"/>
    <x v="0"/>
    <x v="14"/>
    <s v="Acme Forged Steel Scissors with Black Enamel Handles"/>
    <n v="37.24"/>
    <n v="4"/>
    <x v="1334"/>
    <x v="7"/>
    <x v="3"/>
  </r>
  <r>
    <n v="45525"/>
    <x v="217"/>
    <x v="28"/>
    <x v="0"/>
    <x v="10"/>
    <s v="Security-Tint Envelopes"/>
    <n v="15.28"/>
    <n v="2"/>
    <x v="509"/>
    <x v="7"/>
    <x v="3"/>
  </r>
  <r>
    <n v="45525"/>
    <x v="378"/>
    <x v="3"/>
    <x v="0"/>
    <x v="4"/>
    <s v="Newell 336"/>
    <n v="17.12"/>
    <n v="4"/>
    <x v="1281"/>
    <x v="7"/>
    <x v="3"/>
  </r>
  <r>
    <n v="45525"/>
    <x v="378"/>
    <x v="3"/>
    <x v="2"/>
    <x v="6"/>
    <s v="Cisco 8x8 Inc. 6753i IP Business Phone System"/>
    <n v="431.97"/>
    <n v="4"/>
    <x v="233"/>
    <x v="7"/>
    <x v="3"/>
  </r>
  <r>
    <n v="45525"/>
    <x v="378"/>
    <x v="3"/>
    <x v="1"/>
    <x v="8"/>
    <s v="Tenex Chairmats For Use with Hard Floors"/>
    <n v="129.91999999999999"/>
    <n v="4"/>
    <x v="1156"/>
    <x v="7"/>
    <x v="3"/>
  </r>
  <r>
    <n v="45525"/>
    <x v="378"/>
    <x v="3"/>
    <x v="1"/>
    <x v="13"/>
    <s v="Chromcraft Rectangular Conference Tables"/>
    <n v="568.73"/>
    <n v="3"/>
    <x v="3482"/>
    <x v="7"/>
    <x v="3"/>
  </r>
  <r>
    <n v="45525"/>
    <x v="378"/>
    <x v="3"/>
    <x v="0"/>
    <x v="3"/>
    <s v="Acco Flexible ACCOHIDE Square Ring Data Binder, Dark Blue, 11 1/2&quot; X 14&quot; 7/8&quot;"/>
    <n v="117.14"/>
    <n v="9"/>
    <x v="4587"/>
    <x v="7"/>
    <x v="3"/>
  </r>
  <r>
    <n v="45525"/>
    <x v="378"/>
    <x v="3"/>
    <x v="0"/>
    <x v="12"/>
    <s v="Fellowes Command Center 5-outlet power strip"/>
    <n v="203.52"/>
    <n v="3"/>
    <x v="4588"/>
    <x v="7"/>
    <x v="3"/>
  </r>
  <r>
    <n v="45525"/>
    <x v="378"/>
    <x v="3"/>
    <x v="0"/>
    <x v="1"/>
    <s v="Avery Address/Shipping Labels for Typewriters, 4&quot; x 2&quot;"/>
    <n v="51.75"/>
    <n v="5"/>
    <x v="3727"/>
    <x v="7"/>
    <x v="3"/>
  </r>
  <r>
    <n v="45525"/>
    <x v="128"/>
    <x v="36"/>
    <x v="0"/>
    <x v="0"/>
    <s v="Xerox 1888"/>
    <n v="277.39999999999998"/>
    <n v="5"/>
    <x v="4151"/>
    <x v="7"/>
    <x v="3"/>
  </r>
  <r>
    <n v="45525"/>
    <x v="128"/>
    <x v="36"/>
    <x v="1"/>
    <x v="8"/>
    <s v="DAX Executive Solid Wood Document Frame, Desktop or Hang, Mahogany, 5 x 7"/>
    <n v="25.16"/>
    <n v="2"/>
    <x v="3585"/>
    <x v="7"/>
    <x v="3"/>
  </r>
  <r>
    <n v="45525"/>
    <x v="128"/>
    <x v="36"/>
    <x v="1"/>
    <x v="8"/>
    <s v="Seth Thomas 12&quot; Clock w/ Goldtone Case"/>
    <n v="91.92"/>
    <n v="4"/>
    <x v="4589"/>
    <x v="7"/>
    <x v="3"/>
  </r>
  <r>
    <n v="45525"/>
    <x v="729"/>
    <x v="12"/>
    <x v="0"/>
    <x v="0"/>
    <s v="Xerox 1941"/>
    <n v="83.88"/>
    <n v="1"/>
    <x v="726"/>
    <x v="7"/>
    <x v="3"/>
  </r>
  <r>
    <n v="45525"/>
    <x v="507"/>
    <x v="22"/>
    <x v="1"/>
    <x v="5"/>
    <s v="Padded Folding Chairs, Black, 4/Carton"/>
    <n v="388.7"/>
    <n v="6"/>
    <x v="4590"/>
    <x v="7"/>
    <x v="3"/>
  </r>
  <r>
    <n v="45525"/>
    <x v="507"/>
    <x v="22"/>
    <x v="0"/>
    <x v="2"/>
    <s v="Fellowes Stor/Drawer Steel Plus Storage Drawers"/>
    <n v="572.58000000000004"/>
    <n v="6"/>
    <x v="25"/>
    <x v="7"/>
    <x v="3"/>
  </r>
  <r>
    <n v="45525"/>
    <x v="507"/>
    <x v="22"/>
    <x v="2"/>
    <x v="9"/>
    <s v="Kensington K72356US Mouse-in-a-Box USB Desktop Mouse"/>
    <n v="33.18"/>
    <n v="2"/>
    <x v="4591"/>
    <x v="7"/>
    <x v="3"/>
  </r>
  <r>
    <n v="45525"/>
    <x v="500"/>
    <x v="20"/>
    <x v="0"/>
    <x v="3"/>
    <s v="Avery Metallic Poly Binders"/>
    <n v="32.090000000000003"/>
    <n v="7"/>
    <x v="1771"/>
    <x v="7"/>
    <x v="3"/>
  </r>
  <r>
    <n v="45525"/>
    <x v="500"/>
    <x v="20"/>
    <x v="0"/>
    <x v="3"/>
    <s v="GBC DocuBind TL300 Electric Binding System"/>
    <n v="4305.55"/>
    <n v="6"/>
    <x v="4592"/>
    <x v="7"/>
    <x v="3"/>
  </r>
  <r>
    <n v="45525"/>
    <x v="774"/>
    <x v="26"/>
    <x v="0"/>
    <x v="2"/>
    <s v="Recycled Data-Pak for Archival Bound Computer Printouts, 12-1/2 x 12-1/2 x 16"/>
    <n v="237.1"/>
    <n v="3"/>
    <x v="1465"/>
    <x v="7"/>
    <x v="3"/>
  </r>
  <r>
    <n v="45525"/>
    <x v="774"/>
    <x v="26"/>
    <x v="1"/>
    <x v="8"/>
    <s v="DAX Charcoal/Nickel-Tone Document Frame, 5 x 7"/>
    <n v="22.75"/>
    <n v="3"/>
    <x v="4593"/>
    <x v="7"/>
    <x v="3"/>
  </r>
  <r>
    <n v="45525"/>
    <x v="774"/>
    <x v="26"/>
    <x v="0"/>
    <x v="0"/>
    <s v="Southworth 25% Cotton Antique Laid Paper &amp; Envelopes"/>
    <n v="6.67"/>
    <n v="1"/>
    <x v="4594"/>
    <x v="7"/>
    <x v="3"/>
  </r>
  <r>
    <n v="45526"/>
    <x v="784"/>
    <x v="3"/>
    <x v="1"/>
    <x v="13"/>
    <s v="Hon Racetrack Conference Tables"/>
    <n v="210.01"/>
    <n v="1"/>
    <x v="1791"/>
    <x v="7"/>
    <x v="3"/>
  </r>
  <r>
    <n v="45526"/>
    <x v="222"/>
    <x v="2"/>
    <x v="1"/>
    <x v="13"/>
    <s v="Bevis Boat-Shaped Conference Table"/>
    <n v="314.52999999999997"/>
    <n v="2"/>
    <x v="4595"/>
    <x v="7"/>
    <x v="3"/>
  </r>
  <r>
    <n v="45527"/>
    <x v="487"/>
    <x v="16"/>
    <x v="2"/>
    <x v="6"/>
    <s v="Samsung Galaxy Mega 6.3"/>
    <n v="4367.8999999999996"/>
    <n v="13"/>
    <x v="4596"/>
    <x v="7"/>
    <x v="3"/>
  </r>
  <r>
    <n v="45527"/>
    <x v="487"/>
    <x v="16"/>
    <x v="0"/>
    <x v="0"/>
    <s v="IBM Multi-Purpose Copy Paper, 8 1/2 x 11&quot;, Case"/>
    <n v="49.57"/>
    <n v="2"/>
    <x v="675"/>
    <x v="7"/>
    <x v="3"/>
  </r>
  <r>
    <n v="45527"/>
    <x v="487"/>
    <x v="16"/>
    <x v="0"/>
    <x v="12"/>
    <s v="Fellowes 8 Outlet Superior Workstation Surge Protector w/o Phone/Fax/Modem Protection"/>
    <n v="161.38"/>
    <n v="6"/>
    <x v="3416"/>
    <x v="7"/>
    <x v="3"/>
  </r>
  <r>
    <n v="45527"/>
    <x v="487"/>
    <x v="16"/>
    <x v="1"/>
    <x v="8"/>
    <s v="Eldon Regeneration Recycled Desk Accessories, Smoke"/>
    <n v="2.78"/>
    <n v="2"/>
    <x v="3147"/>
    <x v="7"/>
    <x v="3"/>
  </r>
  <r>
    <n v="45527"/>
    <x v="487"/>
    <x v="16"/>
    <x v="0"/>
    <x v="0"/>
    <s v="Ampad Evidence Wirebond Steno Books, 6&quot; x 9&quot;"/>
    <n v="8.7200000000000006"/>
    <n v="5"/>
    <x v="252"/>
    <x v="7"/>
    <x v="3"/>
  </r>
  <r>
    <n v="45528"/>
    <x v="611"/>
    <x v="20"/>
    <x v="0"/>
    <x v="3"/>
    <s v="DXL Angle-View Binders with Locking Rings by Samsill"/>
    <n v="24.67"/>
    <n v="4"/>
    <x v="4597"/>
    <x v="7"/>
    <x v="3"/>
  </r>
  <r>
    <n v="45528"/>
    <x v="611"/>
    <x v="20"/>
    <x v="0"/>
    <x v="3"/>
    <s v="Acco Translucent Poly Ring Binders"/>
    <n v="3.74"/>
    <n v="1"/>
    <x v="660"/>
    <x v="7"/>
    <x v="3"/>
  </r>
  <r>
    <n v="45528"/>
    <x v="406"/>
    <x v="10"/>
    <x v="0"/>
    <x v="12"/>
    <s v="Avanti 1.7 Cu. Ft. Refrigerator"/>
    <n v="646.27"/>
    <n v="8"/>
    <x v="4598"/>
    <x v="7"/>
    <x v="3"/>
  </r>
  <r>
    <n v="45528"/>
    <x v="406"/>
    <x v="10"/>
    <x v="0"/>
    <x v="0"/>
    <s v="Xerox 1966"/>
    <n v="10.37"/>
    <n v="2"/>
    <x v="3504"/>
    <x v="7"/>
    <x v="3"/>
  </r>
  <r>
    <n v="45529"/>
    <x v="41"/>
    <x v="25"/>
    <x v="0"/>
    <x v="0"/>
    <s v="Xerox 1910"/>
    <n v="192.16"/>
    <n v="5"/>
    <x v="4599"/>
    <x v="7"/>
    <x v="3"/>
  </r>
  <r>
    <n v="45529"/>
    <x v="738"/>
    <x v="15"/>
    <x v="0"/>
    <x v="4"/>
    <s v="Zebra Zazzle Fluorescent Highlighters"/>
    <n v="9.73"/>
    <n v="2"/>
    <x v="157"/>
    <x v="7"/>
    <x v="3"/>
  </r>
  <r>
    <n v="45529"/>
    <x v="738"/>
    <x v="15"/>
    <x v="0"/>
    <x v="0"/>
    <s v="Xerox 199"/>
    <n v="3.42"/>
    <n v="1"/>
    <x v="130"/>
    <x v="7"/>
    <x v="3"/>
  </r>
  <r>
    <n v="45529"/>
    <x v="364"/>
    <x v="10"/>
    <x v="0"/>
    <x v="2"/>
    <s v="Letter/Legal File Tote with Clear Snap-On Lid, Black Granite"/>
    <n v="25.7"/>
    <n v="2"/>
    <x v="2201"/>
    <x v="7"/>
    <x v="3"/>
  </r>
  <r>
    <n v="45529"/>
    <x v="9"/>
    <x v="2"/>
    <x v="1"/>
    <x v="11"/>
    <s v="Bush Somerset Collection Bookcase"/>
    <n v="130.97999999999999"/>
    <n v="2"/>
    <x v="4600"/>
    <x v="7"/>
    <x v="3"/>
  </r>
  <r>
    <n v="45530"/>
    <x v="528"/>
    <x v="4"/>
    <x v="2"/>
    <x v="9"/>
    <s v="Sony 64GB Class 10 Micro SDHC R40 Memory Card"/>
    <n v="71.98"/>
    <n v="2"/>
    <x v="1938"/>
    <x v="7"/>
    <x v="3"/>
  </r>
  <r>
    <n v="45530"/>
    <x v="0"/>
    <x v="1"/>
    <x v="1"/>
    <x v="8"/>
    <s v="Seth Thomas 16&quot; Steel Case Clock"/>
    <n v="64.959999999999994"/>
    <n v="5"/>
    <x v="4601"/>
    <x v="7"/>
    <x v="3"/>
  </r>
  <r>
    <n v="45530"/>
    <x v="631"/>
    <x v="14"/>
    <x v="0"/>
    <x v="2"/>
    <s v="Neat Ideas Personal Hanging Folder Files, Black"/>
    <n v="53.72"/>
    <n v="4"/>
    <x v="1480"/>
    <x v="7"/>
    <x v="3"/>
  </r>
  <r>
    <n v="45531"/>
    <x v="444"/>
    <x v="32"/>
    <x v="1"/>
    <x v="13"/>
    <s v="Office Impressions End Table, 20-1/2&quot;H x 24&quot;W x 20&quot;D"/>
    <n v="1488.42"/>
    <n v="7"/>
    <x v="4602"/>
    <x v="7"/>
    <x v="3"/>
  </r>
  <r>
    <n v="45531"/>
    <x v="376"/>
    <x v="20"/>
    <x v="0"/>
    <x v="2"/>
    <s v="Iris Project Case"/>
    <n v="63.84"/>
    <n v="8"/>
    <x v="4603"/>
    <x v="7"/>
    <x v="3"/>
  </r>
  <r>
    <n v="45531"/>
    <x v="376"/>
    <x v="20"/>
    <x v="2"/>
    <x v="6"/>
    <s v="GE 30522EE2"/>
    <n v="347.97"/>
    <n v="3"/>
    <x v="4604"/>
    <x v="7"/>
    <x v="3"/>
  </r>
  <r>
    <n v="45531"/>
    <x v="376"/>
    <x v="20"/>
    <x v="0"/>
    <x v="3"/>
    <s v="DXL Angle-View Binders with Locking Rings by Samsill"/>
    <n v="37.01"/>
    <n v="6"/>
    <x v="4605"/>
    <x v="7"/>
    <x v="3"/>
  </r>
  <r>
    <n v="45531"/>
    <x v="145"/>
    <x v="0"/>
    <x v="0"/>
    <x v="4"/>
    <s v="Eberhard Faber 3 1/2&quot; Golf Pencils"/>
    <n v="5.95"/>
    <n v="1"/>
    <x v="1476"/>
    <x v="7"/>
    <x v="3"/>
  </r>
  <r>
    <n v="45531"/>
    <x v="386"/>
    <x v="16"/>
    <x v="0"/>
    <x v="10"/>
    <s v="Convenience Packs of Business Envelopes"/>
    <n v="2.9"/>
    <n v="1"/>
    <x v="3055"/>
    <x v="7"/>
    <x v="3"/>
  </r>
  <r>
    <n v="45531"/>
    <x v="696"/>
    <x v="3"/>
    <x v="1"/>
    <x v="8"/>
    <s v="GE 48&quot; Fluorescent Tube, Cool White Energy Saver, 34 Watts, 30/Box"/>
    <n v="198.46"/>
    <n v="2"/>
    <x v="4474"/>
    <x v="7"/>
    <x v="3"/>
  </r>
  <r>
    <n v="45531"/>
    <x v="696"/>
    <x v="3"/>
    <x v="0"/>
    <x v="12"/>
    <s v="APC 7 Outlet Network SurgeArrest Surge Protector"/>
    <n v="321.92"/>
    <n v="4"/>
    <x v="4606"/>
    <x v="7"/>
    <x v="3"/>
  </r>
  <r>
    <n v="45531"/>
    <x v="696"/>
    <x v="3"/>
    <x v="2"/>
    <x v="16"/>
    <s v="Sharp 1540cs Digital Laser Copier"/>
    <n v="879.98"/>
    <n v="2"/>
    <x v="2307"/>
    <x v="7"/>
    <x v="3"/>
  </r>
  <r>
    <n v="45531"/>
    <x v="696"/>
    <x v="3"/>
    <x v="0"/>
    <x v="14"/>
    <s v="Acme Preferred Stainless Steel Scissors"/>
    <n v="28.4"/>
    <n v="5"/>
    <x v="4437"/>
    <x v="7"/>
    <x v="3"/>
  </r>
  <r>
    <n v="45531"/>
    <x v="696"/>
    <x v="3"/>
    <x v="1"/>
    <x v="5"/>
    <s v="Bevis Steel Folding Chairs"/>
    <n v="230.28"/>
    <n v="3"/>
    <x v="361"/>
    <x v="7"/>
    <x v="3"/>
  </r>
  <r>
    <n v="45531"/>
    <x v="696"/>
    <x v="3"/>
    <x v="0"/>
    <x v="0"/>
    <s v="White Computer Printout Paper by Universal"/>
    <n v="116.28"/>
    <n v="3"/>
    <x v="463"/>
    <x v="7"/>
    <x v="3"/>
  </r>
  <r>
    <n v="45531"/>
    <x v="696"/>
    <x v="3"/>
    <x v="0"/>
    <x v="3"/>
    <s v="GBC DocuBind 300 Electric Binding Machine"/>
    <n v="841.57"/>
    <n v="2"/>
    <x v="3553"/>
    <x v="7"/>
    <x v="3"/>
  </r>
  <r>
    <n v="45531"/>
    <x v="696"/>
    <x v="3"/>
    <x v="0"/>
    <x v="2"/>
    <s v="Sensible Storage WireTech Storage Systems"/>
    <n v="354.9"/>
    <n v="5"/>
    <x v="140"/>
    <x v="7"/>
    <x v="3"/>
  </r>
  <r>
    <n v="45531"/>
    <x v="613"/>
    <x v="15"/>
    <x v="0"/>
    <x v="0"/>
    <s v="Xerox 217"/>
    <n v="5.18"/>
    <n v="1"/>
    <x v="1534"/>
    <x v="7"/>
    <x v="3"/>
  </r>
  <r>
    <n v="45531"/>
    <x v="43"/>
    <x v="16"/>
    <x v="0"/>
    <x v="12"/>
    <s v="Hoover Portapower Portable Vacuum"/>
    <n v="14.34"/>
    <n v="4"/>
    <x v="1191"/>
    <x v="7"/>
    <x v="3"/>
  </r>
  <r>
    <n v="45531"/>
    <x v="624"/>
    <x v="2"/>
    <x v="0"/>
    <x v="0"/>
    <s v="Xerox 1981"/>
    <n v="12.67"/>
    <n v="3"/>
    <x v="393"/>
    <x v="7"/>
    <x v="3"/>
  </r>
  <r>
    <n v="45531"/>
    <x v="624"/>
    <x v="2"/>
    <x v="2"/>
    <x v="9"/>
    <s v="Logitech Wireless Headset h800"/>
    <n v="1119.8900000000001"/>
    <n v="14"/>
    <x v="4607"/>
    <x v="7"/>
    <x v="3"/>
  </r>
  <r>
    <n v="45531"/>
    <x v="582"/>
    <x v="12"/>
    <x v="1"/>
    <x v="8"/>
    <s v="Flat Face Poster Frame"/>
    <n v="120.58"/>
    <n v="8"/>
    <x v="4608"/>
    <x v="7"/>
    <x v="3"/>
  </r>
  <r>
    <n v="45532"/>
    <x v="61"/>
    <x v="22"/>
    <x v="2"/>
    <x v="6"/>
    <s v="Anker 24W Portable Micro USB Car Charger"/>
    <n v="35.17"/>
    <n v="4"/>
    <x v="4609"/>
    <x v="7"/>
    <x v="3"/>
  </r>
  <r>
    <n v="45532"/>
    <x v="61"/>
    <x v="22"/>
    <x v="1"/>
    <x v="13"/>
    <s v="Hon Practical Foundations 30 x 60 Training Table, Light Gray/Charcoal"/>
    <n v="1137.75"/>
    <n v="5"/>
    <x v="4610"/>
    <x v="7"/>
    <x v="3"/>
  </r>
  <r>
    <n v="45532"/>
    <x v="61"/>
    <x v="22"/>
    <x v="0"/>
    <x v="3"/>
    <s v="GBC Standard Therm-A-Bind Covers"/>
    <n v="99.68"/>
    <n v="5"/>
    <x v="2417"/>
    <x v="7"/>
    <x v="3"/>
  </r>
  <r>
    <n v="45532"/>
    <x v="61"/>
    <x v="22"/>
    <x v="0"/>
    <x v="4"/>
    <s v="Newell 344"/>
    <n v="5.56"/>
    <n v="2"/>
    <x v="1777"/>
    <x v="7"/>
    <x v="3"/>
  </r>
  <r>
    <n v="45532"/>
    <x v="573"/>
    <x v="1"/>
    <x v="0"/>
    <x v="0"/>
    <s v="Xerox 4200 Series MultiUse Premium Copy Paper (20Lb. and 84 Bright)"/>
    <n v="25.34"/>
    <n v="6"/>
    <x v="1271"/>
    <x v="7"/>
    <x v="3"/>
  </r>
  <r>
    <n v="45532"/>
    <x v="573"/>
    <x v="1"/>
    <x v="0"/>
    <x v="0"/>
    <s v="HP Office Paper (20Lb. and 87 Bright)"/>
    <n v="26.72"/>
    <n v="5"/>
    <x v="273"/>
    <x v="7"/>
    <x v="3"/>
  </r>
  <r>
    <n v="45532"/>
    <x v="342"/>
    <x v="21"/>
    <x v="0"/>
    <x v="14"/>
    <s v="Acme Stainless Steel Office Snips"/>
    <n v="21.81"/>
    <n v="3"/>
    <x v="2891"/>
    <x v="7"/>
    <x v="3"/>
  </r>
  <r>
    <n v="45532"/>
    <x v="342"/>
    <x v="21"/>
    <x v="0"/>
    <x v="12"/>
    <s v="Acco 6 Outlet Guardian Premium Plus Surge Suppressor"/>
    <n v="91.6"/>
    <n v="5"/>
    <x v="4611"/>
    <x v="7"/>
    <x v="3"/>
  </r>
  <r>
    <n v="45533"/>
    <x v="552"/>
    <x v="1"/>
    <x v="0"/>
    <x v="1"/>
    <s v="Avery 505"/>
    <n v="47.36"/>
    <n v="4"/>
    <x v="1926"/>
    <x v="7"/>
    <x v="3"/>
  </r>
  <r>
    <n v="45533"/>
    <x v="552"/>
    <x v="1"/>
    <x v="0"/>
    <x v="2"/>
    <s v="Advantus Rolling Storage Box"/>
    <n v="27.44"/>
    <n v="2"/>
    <x v="426"/>
    <x v="7"/>
    <x v="3"/>
  </r>
  <r>
    <n v="45533"/>
    <x v="552"/>
    <x v="1"/>
    <x v="0"/>
    <x v="3"/>
    <s v="Wilson Jones Easy Flow II Sheet Lifters"/>
    <n v="3.24"/>
    <n v="9"/>
    <x v="3153"/>
    <x v="7"/>
    <x v="3"/>
  </r>
  <r>
    <n v="45533"/>
    <x v="548"/>
    <x v="2"/>
    <x v="0"/>
    <x v="4"/>
    <s v="Newell 323"/>
    <n v="9.41"/>
    <n v="7"/>
    <x v="2841"/>
    <x v="7"/>
    <x v="3"/>
  </r>
  <r>
    <n v="45533"/>
    <x v="602"/>
    <x v="3"/>
    <x v="1"/>
    <x v="8"/>
    <s v="Electrix Fluorescent Magnifier Lamps &amp; Weighted Base"/>
    <n v="148.02000000000001"/>
    <n v="3"/>
    <x v="4612"/>
    <x v="7"/>
    <x v="3"/>
  </r>
  <r>
    <n v="45535"/>
    <x v="467"/>
    <x v="12"/>
    <x v="0"/>
    <x v="2"/>
    <s v="Neat Ideas Personal Hanging Folder Files, Black"/>
    <n v="10.74"/>
    <n v="1"/>
    <x v="1261"/>
    <x v="7"/>
    <x v="3"/>
  </r>
  <r>
    <n v="45535"/>
    <x v="467"/>
    <x v="12"/>
    <x v="0"/>
    <x v="7"/>
    <s v="OIC Bulk Pack Metal Binder Clips"/>
    <n v="8.3800000000000008"/>
    <n v="3"/>
    <x v="397"/>
    <x v="7"/>
    <x v="3"/>
  </r>
  <r>
    <n v="45535"/>
    <x v="556"/>
    <x v="25"/>
    <x v="0"/>
    <x v="0"/>
    <s v="Xerox 1945"/>
    <n v="229.54"/>
    <n v="7"/>
    <x v="4613"/>
    <x v="7"/>
    <x v="3"/>
  </r>
  <r>
    <n v="45535"/>
    <x v="63"/>
    <x v="18"/>
    <x v="0"/>
    <x v="12"/>
    <s v="Tripp Lite Isotel 8 Ultra 8 Outlet Metal Surge"/>
    <n v="638.73"/>
    <n v="9"/>
    <x v="4614"/>
    <x v="7"/>
    <x v="3"/>
  </r>
  <r>
    <n v="45535"/>
    <x v="299"/>
    <x v="3"/>
    <x v="0"/>
    <x v="3"/>
    <s v="Acco Suede Grain Vinyl Round Ring Binder"/>
    <n v="6.67"/>
    <n v="3"/>
    <x v="1733"/>
    <x v="7"/>
    <x v="3"/>
  </r>
  <r>
    <n v="45535"/>
    <x v="299"/>
    <x v="3"/>
    <x v="2"/>
    <x v="6"/>
    <s v="Aastra 6757i CT Wireless VoIP phone"/>
    <n v="689.41"/>
    <n v="4"/>
    <x v="4615"/>
    <x v="7"/>
    <x v="3"/>
  </r>
  <r>
    <n v="45535"/>
    <x v="497"/>
    <x v="8"/>
    <x v="2"/>
    <x v="9"/>
    <s v="Plantronics CS510 - Over-the-Head monaural Wireless Headset System"/>
    <n v="659.9"/>
    <n v="2"/>
    <x v="2331"/>
    <x v="7"/>
    <x v="3"/>
  </r>
  <r>
    <n v="45535"/>
    <x v="620"/>
    <x v="22"/>
    <x v="1"/>
    <x v="5"/>
    <s v="Hon 4700 Series Mobuis Mid-Back Task Chairs with Adjustable Arms"/>
    <n v="569.57000000000005"/>
    <n v="2"/>
    <x v="4616"/>
    <x v="7"/>
    <x v="3"/>
  </r>
  <r>
    <n v="45535"/>
    <x v="620"/>
    <x v="22"/>
    <x v="0"/>
    <x v="2"/>
    <s v="Sortfiler Multipurpose Personal File Organizer, Black"/>
    <n v="149.72999999999999"/>
    <n v="7"/>
    <x v="4617"/>
    <x v="7"/>
    <x v="3"/>
  </r>
  <r>
    <n v="45535"/>
    <x v="588"/>
    <x v="11"/>
    <x v="0"/>
    <x v="14"/>
    <s v="Acme Kleen Earth Office Shears"/>
    <n v="6.21"/>
    <n v="2"/>
    <x v="2929"/>
    <x v="7"/>
    <x v="3"/>
  </r>
  <r>
    <n v="45535"/>
    <x v="282"/>
    <x v="3"/>
    <x v="0"/>
    <x v="2"/>
    <s v="Space Solutions Commercial Steel Shelving"/>
    <n v="193.95"/>
    <n v="3"/>
    <x v="420"/>
    <x v="7"/>
    <x v="3"/>
  </r>
  <r>
    <m/>
    <x v="789"/>
    <x v="49"/>
    <x v="3"/>
    <x v="17"/>
    <m/>
    <m/>
    <m/>
    <x v="4618"/>
    <x v="12"/>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s v="Darren Powers"/>
    <x v="0"/>
  </r>
  <r>
    <s v="Phillina Ober"/>
    <x v="0"/>
  </r>
  <r>
    <s v="Mick Brown"/>
    <x v="0"/>
  </r>
  <r>
    <s v="Lycoris Saunders"/>
    <x v="0"/>
  </r>
  <r>
    <s v="Jack O'Briant"/>
    <x v="0"/>
  </r>
  <r>
    <s v="Maria Etezadi"/>
    <x v="0"/>
  </r>
  <r>
    <s v="Vivek Sundaresam"/>
    <x v="0"/>
  </r>
  <r>
    <s v="Melanie Seite"/>
    <x v="0"/>
  </r>
  <r>
    <s v="Anthony Jacobs"/>
    <x v="0"/>
  </r>
  <r>
    <s v="Seth Vernon"/>
    <x v="0"/>
  </r>
  <r>
    <s v="Chris Selesnick"/>
    <x v="0"/>
  </r>
  <r>
    <s v="Natalie DeCherney"/>
    <x v="0"/>
  </r>
  <r>
    <s v="Brian Dahlen"/>
    <x v="0"/>
  </r>
  <r>
    <s v="Michael Moore"/>
    <x v="0"/>
  </r>
  <r>
    <s v="Brendan Sweed"/>
    <x v="0"/>
  </r>
  <r>
    <s v="Erica Hackney"/>
    <x v="0"/>
  </r>
  <r>
    <s v="Delfina Latchford"/>
    <x v="0"/>
  </r>
  <r>
    <s v="David Wiener"/>
    <x v="0"/>
  </r>
  <r>
    <s v="Toby Swindell"/>
    <x v="0"/>
  </r>
  <r>
    <s v="Hunter Lopez"/>
    <x v="0"/>
  </r>
  <r>
    <s v="Mark Van Huff"/>
    <x v="0"/>
  </r>
  <r>
    <s v="Xylona Preis"/>
    <x v="0"/>
  </r>
  <r>
    <s v="Muhammed MacIntyre"/>
    <x v="0"/>
  </r>
  <r>
    <s v="Tom Boeckenhauer"/>
    <x v="0"/>
  </r>
  <r>
    <s v="Ionia McGrath"/>
    <x v="0"/>
  </r>
  <r>
    <s v="Speros Goranitis"/>
    <x v="0"/>
  </r>
  <r>
    <s v="Shirley Daniels"/>
    <x v="0"/>
  </r>
  <r>
    <s v="Carol Adams"/>
    <x v="0"/>
  </r>
  <r>
    <s v="Ed Jacobs"/>
    <x v="0"/>
  </r>
  <r>
    <s v="Jasper Cacioppo"/>
    <x v="0"/>
  </r>
  <r>
    <s v="Mike Vittorini"/>
    <x v="0"/>
  </r>
  <r>
    <s v="Liz Carlisle"/>
    <x v="0"/>
  </r>
  <r>
    <s v="Bradley Drucker"/>
    <x v="0"/>
  </r>
  <r>
    <s v="Cynthia Delaney"/>
    <x v="0"/>
  </r>
  <r>
    <s v="Eric Barreto"/>
    <x v="0"/>
  </r>
  <r>
    <s v="Deborah Brumfield"/>
    <x v="0"/>
  </r>
  <r>
    <s v="Mark Haberlin"/>
    <x v="0"/>
  </r>
  <r>
    <s v="Neil Ducich"/>
    <x v="0"/>
  </r>
  <r>
    <s v="Cyma Kinney"/>
    <x v="0"/>
  </r>
  <r>
    <s v="Nathan Mautz"/>
    <x v="0"/>
  </r>
  <r>
    <s v="Natalie Fritzler"/>
    <x v="0"/>
  </r>
  <r>
    <s v="Guy Armstrong"/>
    <x v="0"/>
  </r>
  <r>
    <s v="Sanjit Chand"/>
    <x v="0"/>
  </r>
  <r>
    <s v="Shui Tom"/>
    <x v="0"/>
  </r>
  <r>
    <s v="Marina Lichtenstein"/>
    <x v="0"/>
  </r>
  <r>
    <s v="Barry FranzÃ¶sisch"/>
    <x v="0"/>
  </r>
  <r>
    <s v="Michael Nguyen"/>
    <x v="0"/>
  </r>
  <r>
    <s v="Troy Blackwell"/>
    <x v="0"/>
  </r>
  <r>
    <s v="Aaron Bergman"/>
    <x v="0"/>
  </r>
  <r>
    <s v="Linda Cazamias"/>
    <x v="0"/>
  </r>
  <r>
    <s v="Steven Roelle"/>
    <x v="0"/>
  </r>
  <r>
    <s v="Tamara Manning"/>
    <x v="0"/>
  </r>
  <r>
    <s v="Sue Ann Reed"/>
    <x v="0"/>
  </r>
  <r>
    <s v="Michael Grace"/>
    <x v="0"/>
  </r>
  <r>
    <s v="Jennifer Halladay"/>
    <x v="0"/>
  </r>
  <r>
    <s v="Joy Smith"/>
    <x v="0"/>
  </r>
  <r>
    <s v="Dave Brooks"/>
    <x v="0"/>
  </r>
  <r>
    <s v="Hallie Redmond"/>
    <x v="0"/>
  </r>
  <r>
    <s v="Vicky Freymann"/>
    <x v="0"/>
  </r>
  <r>
    <s v="Shahid Collister"/>
    <x v="0"/>
  </r>
  <r>
    <s v="Giulietta Weimer"/>
    <x v="0"/>
  </r>
  <r>
    <s v="Kristina Nunn"/>
    <x v="0"/>
  </r>
  <r>
    <s v="Nicole Hansen"/>
    <x v="0"/>
  </r>
  <r>
    <s v="Ashley Jarboe"/>
    <x v="0"/>
  </r>
  <r>
    <s v="Anne Pryor"/>
    <x v="0"/>
  </r>
  <r>
    <s v="Jill Stevenson"/>
    <x v="0"/>
  </r>
  <r>
    <s v="Sam Craven"/>
    <x v="0"/>
  </r>
  <r>
    <s v="Eva Jacobs"/>
    <x v="0"/>
  </r>
  <r>
    <s v="Clay Ludtke"/>
    <x v="0"/>
  </r>
  <r>
    <s v="Aimee Bixby"/>
    <x v="0"/>
  </r>
  <r>
    <s v="Nora Pelletier"/>
    <x v="0"/>
  </r>
  <r>
    <s v="Craig Molinari"/>
    <x v="0"/>
  </r>
  <r>
    <s v="Scott Williamson"/>
    <x v="0"/>
  </r>
  <r>
    <s v="Kean Thornton"/>
    <x v="0"/>
  </r>
  <r>
    <s v="Chloris Kastensmidt"/>
    <x v="0"/>
  </r>
  <r>
    <s v="Kelly Andreada"/>
    <x v="0"/>
  </r>
  <r>
    <s v="Filia McAdams"/>
    <x v="0"/>
  </r>
  <r>
    <s v="Richard Bierner"/>
    <x v="0"/>
  </r>
  <r>
    <s v="Dean Katz"/>
    <x v="0"/>
  </r>
  <r>
    <s v="Christine Kargatis"/>
    <x v="0"/>
  </r>
  <r>
    <s v="Jason Fortune-"/>
    <x v="0"/>
  </r>
  <r>
    <s v="Rick Bensley"/>
    <x v="0"/>
  </r>
  <r>
    <s v="Neil FranzÃ¶sisch"/>
    <x v="0"/>
  </r>
  <r>
    <s v="Alan Shonely"/>
    <x v="0"/>
  </r>
  <r>
    <s v="Bradley Nguyen"/>
    <x v="0"/>
  </r>
  <r>
    <s v="Christine Phan"/>
    <x v="0"/>
  </r>
  <r>
    <s v="Annie Zypern"/>
    <x v="0"/>
  </r>
  <r>
    <s v="Quincy Jones"/>
    <x v="0"/>
  </r>
  <r>
    <s v="Sean Miller"/>
    <x v="0"/>
  </r>
  <r>
    <s v="Eileen Kiefer"/>
    <x v="0"/>
  </r>
  <r>
    <s v="Sample Company A"/>
    <x v="0"/>
  </r>
  <r>
    <s v="Matt Connell"/>
    <x v="0"/>
  </r>
  <r>
    <s v="Cassandra Brandow"/>
    <x v="0"/>
  </r>
  <r>
    <s v="Thomas Seio"/>
    <x v="0"/>
  </r>
  <r>
    <s v="Kristen Hastings"/>
    <x v="0"/>
  </r>
  <r>
    <s v="Gary McGarr"/>
    <x v="0"/>
  </r>
  <r>
    <s v="Craig Carroll"/>
    <x v="0"/>
  </r>
  <r>
    <s v="Beth Fritzler"/>
    <x v="0"/>
  </r>
  <r>
    <s v="Vivian Mathis"/>
    <x v="0"/>
  </r>
  <r>
    <s v="Patrick O'Donnell"/>
    <x v="0"/>
  </r>
  <r>
    <s v="Bruce Geld"/>
    <x v="0"/>
  </r>
  <r>
    <s v="Carlos Daly"/>
    <x v="0"/>
  </r>
  <r>
    <s v="Maurice Satty"/>
    <x v="0"/>
  </r>
  <r>
    <s v="Christina Anderson"/>
    <x v="0"/>
  </r>
  <r>
    <s v="Jonathan Doherty"/>
    <x v="0"/>
  </r>
  <r>
    <s v="Damala Kotsonis"/>
    <x v="0"/>
  </r>
  <r>
    <s v="Cindy Stewart"/>
    <x v="0"/>
  </r>
  <r>
    <s v="Christina VanderZanden"/>
    <x v="0"/>
  </r>
  <r>
    <s v="Daniel Raglin"/>
    <x v="0"/>
  </r>
  <r>
    <s v="Mike Pelletier"/>
    <x v="0"/>
  </r>
  <r>
    <s v="Mike Gockenbach"/>
    <x v="0"/>
  </r>
  <r>
    <s v="Kunst Miller"/>
    <x v="0"/>
  </r>
  <r>
    <s v="Dorris liebe"/>
    <x v="0"/>
  </r>
  <r>
    <s v="Susan Gilcrest"/>
    <x v="0"/>
  </r>
  <r>
    <s v="Mark Packer"/>
    <x v="0"/>
  </r>
  <r>
    <s v="Nat Carroll"/>
    <x v="0"/>
  </r>
  <r>
    <s v="Alex Avila"/>
    <x v="0"/>
  </r>
  <r>
    <s v="Jas O'Carroll"/>
    <x v="0"/>
  </r>
  <r>
    <s v="Dorothy Dickinson"/>
    <x v="0"/>
  </r>
  <r>
    <s v="Karen Bern"/>
    <x v="0"/>
  </r>
  <r>
    <s v="Trudy Glocke"/>
    <x v="0"/>
  </r>
  <r>
    <s v="Katharine Harms"/>
    <x v="0"/>
  </r>
  <r>
    <s v="Rob Dowd"/>
    <x v="0"/>
  </r>
  <r>
    <s v="Anna HÃ¤berlin"/>
    <x v="0"/>
  </r>
  <r>
    <s v="Katrina Edelman"/>
    <x v="0"/>
  </r>
  <r>
    <s v="Paul Knutson"/>
    <x v="0"/>
  </r>
  <r>
    <s v="Mary Zewe"/>
    <x v="0"/>
  </r>
  <r>
    <s v="Ken Black"/>
    <x v="0"/>
  </r>
  <r>
    <s v="Tracy Hopkins"/>
    <x v="0"/>
  </r>
  <r>
    <s v="Greg Maxwell"/>
    <x v="0"/>
  </r>
  <r>
    <s v="John Grady"/>
    <x v="0"/>
  </r>
  <r>
    <s v="Ruben Dartt"/>
    <x v="0"/>
  </r>
  <r>
    <s v="Roy Phan"/>
    <x v="0"/>
  </r>
  <r>
    <s v="Guy Phonely"/>
    <x v="0"/>
  </r>
  <r>
    <s v="Scott Cohen"/>
    <x v="0"/>
  </r>
  <r>
    <s v="Andy Yotov"/>
    <x v="0"/>
  </r>
  <r>
    <s v="Frank Hawley"/>
    <x v="0"/>
  </r>
  <r>
    <s v="Pauline Johnson"/>
    <x v="0"/>
  </r>
  <r>
    <s v="Roland Schwarz"/>
    <x v="0"/>
  </r>
  <r>
    <s v="Valerie Mitchum"/>
    <x v="0"/>
  </r>
  <r>
    <s v="Jim Mitchum"/>
    <x v="0"/>
  </r>
  <r>
    <s v="Ruben Ausman"/>
    <x v="0"/>
  </r>
  <r>
    <s v="Pauline Chand"/>
    <x v="0"/>
  </r>
  <r>
    <s v="John Stevenson"/>
    <x v="0"/>
  </r>
  <r>
    <s v="Jay Kimmel"/>
    <x v="0"/>
  </r>
  <r>
    <s v="Sanjit Engle"/>
    <x v="0"/>
  </r>
  <r>
    <s v="Gary Mitchum"/>
    <x v="0"/>
  </r>
  <r>
    <s v="Michelle Moray"/>
    <x v="0"/>
  </r>
  <r>
    <s v="Kean Nguyen"/>
    <x v="0"/>
  </r>
  <r>
    <s v="Stewart Visinsky"/>
    <x v="0"/>
  </r>
  <r>
    <s v="Edward Hooks"/>
    <x v="0"/>
  </r>
  <r>
    <s v="Ben Ferrer"/>
    <x v="0"/>
  </r>
  <r>
    <s v="Paul Stevenson"/>
    <x v="0"/>
  </r>
  <r>
    <s v="Stephanie Phelps"/>
    <x v="0"/>
  </r>
  <r>
    <s v="John Lee"/>
    <x v="0"/>
  </r>
  <r>
    <s v="Nicole Fjeld"/>
    <x v="0"/>
  </r>
  <r>
    <s v="Allen Goldenen"/>
    <x v="0"/>
  </r>
  <r>
    <s v="Benjamin Patterson"/>
    <x v="0"/>
  </r>
  <r>
    <s v="Allen Armold"/>
    <x v="0"/>
  </r>
  <r>
    <s v="Dorothy Badders"/>
    <x v="0"/>
  </r>
  <r>
    <s v="Aaron Hawkins"/>
    <x v="0"/>
  </r>
  <r>
    <s v="Theresa Swint"/>
    <x v="0"/>
  </r>
  <r>
    <s v="Laurel Beltran"/>
    <x v="0"/>
  </r>
  <r>
    <s v="Dianna Arnett"/>
    <x v="0"/>
  </r>
  <r>
    <s v="Lena Creighton"/>
    <x v="0"/>
  </r>
  <r>
    <s v="Beth Thompson"/>
    <x v="0"/>
  </r>
  <r>
    <s v="Aleksandra Gannaway"/>
    <x v="0"/>
  </r>
  <r>
    <s v="Marc Harrigan"/>
    <x v="0"/>
  </r>
  <r>
    <s v="Muhammed Yedwab"/>
    <x v="0"/>
  </r>
  <r>
    <s v="George Bell"/>
    <x v="0"/>
  </r>
  <r>
    <s v="Arianne Irving"/>
    <x v="0"/>
  </r>
  <r>
    <s v="David Smith"/>
    <x v="0"/>
  </r>
  <r>
    <s v="Lauren Leatherbury"/>
    <x v="0"/>
  </r>
  <r>
    <s v="Harry Greene"/>
    <x v="0"/>
  </r>
  <r>
    <s v="Laura Armstrong"/>
    <x v="0"/>
  </r>
  <r>
    <s v="Katherine Hughes"/>
    <x v="0"/>
  </r>
  <r>
    <s v="Justin MacKendrick"/>
    <x v="0"/>
  </r>
  <r>
    <s v="Andrew Roberts"/>
    <x v="0"/>
  </r>
  <r>
    <s v="Cari Schnelling"/>
    <x v="0"/>
  </r>
  <r>
    <s v="Joni Sundaresam"/>
    <x v="0"/>
  </r>
  <r>
    <s v="Nathan Cano"/>
    <x v="0"/>
  </r>
  <r>
    <s v="Paul MacIntyre"/>
    <x v="0"/>
  </r>
  <r>
    <s v="Andrew Allen"/>
    <x v="0"/>
  </r>
  <r>
    <s v="Bill Shonely"/>
    <x v="0"/>
  </r>
  <r>
    <s v="Peter Fuller"/>
    <x v="0"/>
  </r>
  <r>
    <s v="Emily Burns"/>
    <x v="0"/>
  </r>
  <r>
    <s v="Giulietta Dortch"/>
    <x v="0"/>
  </r>
  <r>
    <s v="Harold Pawlan"/>
    <x v="0"/>
  </r>
  <r>
    <s v="Steve Nguyen"/>
    <x v="0"/>
  </r>
  <r>
    <s v="Carol Triggs"/>
    <x v="0"/>
  </r>
  <r>
    <s v="Patrick Gardner"/>
    <x v="0"/>
  </r>
  <r>
    <s v="Sean Braxton"/>
    <x v="0"/>
  </r>
  <r>
    <s v="Art Foster"/>
    <x v="0"/>
  </r>
  <r>
    <s v="Greg Matthias"/>
    <x v="0"/>
  </r>
  <r>
    <s v="Paul Gonzalez"/>
    <x v="0"/>
  </r>
  <r>
    <s v="Raymond Messe"/>
    <x v="0"/>
  </r>
  <r>
    <s v="Brooke Gillingham"/>
    <x v="0"/>
  </r>
  <r>
    <s v="Victoria Wilson"/>
    <x v="0"/>
  </r>
  <r>
    <s v="Harold Dahlen"/>
    <x v="0"/>
  </r>
  <r>
    <s v="Alejandro Grove"/>
    <x v="0"/>
  </r>
  <r>
    <s v="Erica Hernandez"/>
    <x v="0"/>
  </r>
  <r>
    <s v="Naresj Patel"/>
    <x v="0"/>
  </r>
  <r>
    <s v="Anthony Johnson"/>
    <x v="0"/>
  </r>
  <r>
    <s v="Pauline Webber"/>
    <x v="0"/>
  </r>
  <r>
    <s v="Cindy Chapman"/>
    <x v="0"/>
  </r>
  <r>
    <s v="Pete Armstrong"/>
    <x v="0"/>
  </r>
  <r>
    <s v="Bruce Stewart"/>
    <x v="0"/>
  </r>
  <r>
    <s v="Ted Trevino"/>
    <x v="0"/>
  </r>
  <r>
    <s v="George Ashbrook"/>
    <x v="0"/>
  </r>
  <r>
    <s v="John Huston"/>
    <x v="0"/>
  </r>
  <r>
    <s v="Tamara Dahlen"/>
    <x v="0"/>
  </r>
  <r>
    <s v="Randy Ferguson"/>
    <x v="0"/>
  </r>
  <r>
    <s v="Matt Collister"/>
    <x v="0"/>
  </r>
  <r>
    <s v="Mitch Willingham"/>
    <x v="0"/>
  </r>
  <r>
    <s v="Bradley Talbott"/>
    <x v="0"/>
  </r>
  <r>
    <s v="Frank Gastineau"/>
    <x v="0"/>
  </r>
  <r>
    <s v="Evan Henry"/>
    <x v="0"/>
  </r>
  <r>
    <s v="Greg Tran"/>
    <x v="0"/>
  </r>
  <r>
    <s v="Resi PÃ¶lking"/>
    <x v="0"/>
  </r>
  <r>
    <s v="Janet Lee"/>
    <x v="0"/>
  </r>
  <r>
    <s v="Barry Weirich"/>
    <x v="0"/>
  </r>
  <r>
    <s v="Herbert Flentye"/>
    <x v="0"/>
  </r>
  <r>
    <s v="Dean percer"/>
    <x v="0"/>
  </r>
  <r>
    <s v="Maya Herman"/>
    <x v="0"/>
  </r>
  <r>
    <s v="Laurel Elliston"/>
    <x v="0"/>
  </r>
  <r>
    <s v="Patrick Jones"/>
    <x v="0"/>
  </r>
  <r>
    <s v="Magdelene Morse"/>
    <x v="0"/>
  </r>
  <r>
    <s v="Ellis Ballard"/>
    <x v="0"/>
  </r>
  <r>
    <s v="Shahid Shariari"/>
    <x v="0"/>
  </r>
  <r>
    <s v="James Galang"/>
    <x v="0"/>
  </r>
  <r>
    <s v="Laurel Workman"/>
    <x v="0"/>
  </r>
  <r>
    <s v="Mark Cousins"/>
    <x v="0"/>
  </r>
  <r>
    <s v="Jim Karlsson"/>
    <x v="0"/>
  </r>
  <r>
    <s v="Dianna Wilson"/>
    <x v="0"/>
  </r>
  <r>
    <s v="Corey Roper"/>
    <x v="0"/>
  </r>
  <r>
    <s v="Liz Thompson"/>
    <x v="0"/>
  </r>
  <r>
    <s v="Steven Cartwright"/>
    <x v="0"/>
  </r>
  <r>
    <s v="Ross Baird"/>
    <x v="0"/>
  </r>
  <r>
    <s v="Richard Eichhorn"/>
    <x v="0"/>
  </r>
  <r>
    <s v="Bobby Trafton"/>
    <x v="0"/>
  </r>
  <r>
    <s v="Bryan Mills"/>
    <x v="0"/>
  </r>
  <r>
    <s v="Grant Thornton"/>
    <x v="0"/>
  </r>
  <r>
    <s v="Sarah Bern"/>
    <x v="0"/>
  </r>
  <r>
    <s v="Valerie Takahito"/>
    <x v="0"/>
  </r>
  <r>
    <s v="Bart Pistole"/>
    <x v="0"/>
  </r>
  <r>
    <s v="Nick Radford"/>
    <x v="0"/>
  </r>
  <r>
    <s v="Carlos Soltero"/>
    <x v="0"/>
  </r>
  <r>
    <s v="Rick Duston"/>
    <x v="0"/>
  </r>
  <r>
    <s v="Brosina Hoffman"/>
    <x v="0"/>
  </r>
  <r>
    <s v="Carl Weiss"/>
    <x v="0"/>
  </r>
  <r>
    <s v="Chuck Magee"/>
    <x v="0"/>
  </r>
  <r>
    <s v="Frank Olsen"/>
    <x v="0"/>
  </r>
  <r>
    <s v="Heather Kirkland"/>
    <x v="0"/>
  </r>
  <r>
    <s v="Sharelle Roach"/>
    <x v="0"/>
  </r>
  <r>
    <s v="Kelly Lampkin"/>
    <x v="0"/>
  </r>
  <r>
    <s v="Pamela Stobb"/>
    <x v="0"/>
  </r>
  <r>
    <s v="Sonia Cooley"/>
    <x v="0"/>
  </r>
  <r>
    <s v="Duane Benoit"/>
    <x v="0"/>
  </r>
  <r>
    <s v="Gary Hwang"/>
    <x v="0"/>
  </r>
  <r>
    <s v="Jennifer Ferguson"/>
    <x v="0"/>
  </r>
  <r>
    <s v="Mick Crebagga"/>
    <x v="0"/>
  </r>
  <r>
    <s v="Corey-Lock"/>
    <x v="0"/>
  </r>
  <r>
    <s v="Natalie Webber"/>
    <x v="0"/>
  </r>
  <r>
    <s v="Toby Braunhardt"/>
    <x v="0"/>
  </r>
  <r>
    <s v="Joel Eaton"/>
    <x v="0"/>
  </r>
  <r>
    <s v="Dianna Vittorini"/>
    <x v="0"/>
  </r>
  <r>
    <s v="Anna Andreadi"/>
    <x v="0"/>
  </r>
  <r>
    <s v="Brian Stugart"/>
    <x v="0"/>
  </r>
  <r>
    <s v="Denise Leinenbach"/>
    <x v="0"/>
  </r>
  <r>
    <s v="Liz Pelletier"/>
    <x v="0"/>
  </r>
  <r>
    <s v="Noel Staavos"/>
    <x v="0"/>
  </r>
  <r>
    <s v="Grace Kelly"/>
    <x v="0"/>
  </r>
  <r>
    <s v="Liz MacKendrick"/>
    <x v="0"/>
  </r>
  <r>
    <s v="Cynthia Arntzen"/>
    <x v="0"/>
  </r>
  <r>
    <s v="Rob Williams"/>
    <x v="0"/>
  </r>
  <r>
    <s v="Dan Lawera"/>
    <x v="0"/>
  </r>
  <r>
    <s v="Helen Abelman"/>
    <x v="0"/>
  </r>
  <r>
    <s v="Russell Applegate"/>
    <x v="0"/>
  </r>
  <r>
    <s v="Anthony Rawles"/>
    <x v="0"/>
  </r>
  <r>
    <s v="Michael Stewart"/>
    <x v="0"/>
  </r>
  <r>
    <s v="Brian DeCherney"/>
    <x v="0"/>
  </r>
  <r>
    <s v="Eric Hoffmann"/>
    <x v="0"/>
  </r>
  <r>
    <s v="Maxwell Schwartz"/>
    <x v="0"/>
  </r>
  <r>
    <s v="Michael Chen"/>
    <x v="0"/>
  </r>
  <r>
    <s v="Dan Campbell"/>
    <x v="0"/>
  </r>
  <r>
    <s v="Dennis Pardue"/>
    <x v="0"/>
  </r>
  <r>
    <s v="Don Miller"/>
    <x v="0"/>
  </r>
  <r>
    <s v="Emily Phan"/>
    <x v="0"/>
  </r>
  <r>
    <s v="Becky Castell"/>
    <x v="0"/>
  </r>
  <r>
    <s v="Michelle Huthwaite"/>
    <x v="0"/>
  </r>
  <r>
    <s v="Ed Braxton"/>
    <x v="0"/>
  </r>
  <r>
    <s v="Brian Moss"/>
    <x v="0"/>
  </r>
  <r>
    <s v="Gary Hansen"/>
    <x v="0"/>
  </r>
  <r>
    <s v="Darrin Sayre"/>
    <x v="0"/>
  </r>
  <r>
    <s v="Mark Hamilton"/>
    <x v="0"/>
  </r>
  <r>
    <s v="Jamie Kunitz"/>
    <x v="0"/>
  </r>
  <r>
    <s v="Alyssa Crouse"/>
    <x v="0"/>
  </r>
  <r>
    <s v="Max Engle"/>
    <x v="0"/>
  </r>
  <r>
    <s v="Paul Van Hugh"/>
    <x v="0"/>
  </r>
  <r>
    <s v="Arthur Wiediger"/>
    <x v="0"/>
  </r>
  <r>
    <s v="Philip Brown"/>
    <x v="0"/>
  </r>
  <r>
    <s v="Shirley Schmidt"/>
    <x v="0"/>
  </r>
  <r>
    <s v="Barbara Fisher"/>
    <x v="0"/>
  </r>
  <r>
    <s v="Adrian Hane"/>
    <x v="0"/>
  </r>
  <r>
    <s v="Jack Lebron"/>
    <x v="0"/>
  </r>
  <r>
    <s v="Christine Abelman"/>
    <x v="0"/>
  </r>
  <r>
    <s v="Eugene Moren"/>
    <x v="0"/>
  </r>
  <r>
    <s v="Katherine Murray"/>
    <x v="0"/>
  </r>
  <r>
    <s v="Scot Wooten"/>
    <x v="0"/>
  </r>
  <r>
    <s v="Charles Crestani"/>
    <x v="0"/>
  </r>
  <r>
    <s v="Roger Demir"/>
    <x v="0"/>
  </r>
  <r>
    <s v="Michelle Ellison"/>
    <x v="0"/>
  </r>
  <r>
    <s v="Harry Marie"/>
    <x v="0"/>
  </r>
  <r>
    <s v="Erin Mull"/>
    <x v="0"/>
  </r>
  <r>
    <s v="Alejandro Ballentine"/>
    <x v="0"/>
  </r>
  <r>
    <s v="John Lucas"/>
    <x v="0"/>
  </r>
  <r>
    <s v="Arthur Gainer"/>
    <x v="0"/>
  </r>
  <r>
    <s v="Nick Crebassa"/>
    <x v="0"/>
  </r>
  <r>
    <s v="Ken Lonsdale"/>
    <x v="0"/>
  </r>
  <r>
    <s v="Carl Ludwig"/>
    <x v="0"/>
  </r>
  <r>
    <s v="Sheri Gordon"/>
    <x v="0"/>
  </r>
  <r>
    <s v="Luke Foster"/>
    <x v="0"/>
  </r>
  <r>
    <s v="Aaron Smayling"/>
    <x v="0"/>
  </r>
  <r>
    <s v="Barry Blumstein"/>
    <x v="0"/>
  </r>
  <r>
    <s v="Tom Stivers"/>
    <x v="0"/>
  </r>
  <r>
    <s v="Ivan Liston"/>
    <x v="0"/>
  </r>
  <r>
    <s v="Ann Steele"/>
    <x v="0"/>
  </r>
  <r>
    <s v="Nick Zandusky"/>
    <x v="0"/>
  </r>
  <r>
    <s v="Berenike Kampe"/>
    <x v="0"/>
  </r>
  <r>
    <s v="Valerie Dominguez"/>
    <x v="0"/>
  </r>
  <r>
    <s v="Chad Sievert"/>
    <x v="0"/>
  </r>
  <r>
    <s v="Sonia Sunley"/>
    <x v="0"/>
  </r>
  <r>
    <s v="Ricardo Sperren"/>
    <x v="0"/>
  </r>
  <r>
    <s v="Gary Zandusky"/>
    <x v="0"/>
  </r>
  <r>
    <s v="Roland Fjeld"/>
    <x v="0"/>
  </r>
  <r>
    <s v="Trudy Brown"/>
    <x v="0"/>
  </r>
  <r>
    <s v="Lena Radford"/>
    <x v="0"/>
  </r>
  <r>
    <s v="Maria Bertelson"/>
    <x v="0"/>
  </r>
  <r>
    <s v="Matt Abelman"/>
    <x v="0"/>
  </r>
  <r>
    <s v="Vivek Gonzalez"/>
    <x v="0"/>
  </r>
  <r>
    <s v="Andy Gerbode"/>
    <x v="0"/>
  </r>
  <r>
    <s v="Emily Ducich"/>
    <x v="0"/>
  </r>
  <r>
    <s v="Matthew Grinstein"/>
    <x v="0"/>
  </r>
  <r>
    <s v="Joseph Holt"/>
    <x v="0"/>
  </r>
  <r>
    <s v="Gene McClure"/>
    <x v="0"/>
  </r>
  <r>
    <s v="Charles Sheldon"/>
    <x v="0"/>
  </r>
  <r>
    <s v="Ben Wallace"/>
    <x v="0"/>
  </r>
  <r>
    <s v="Duane Huffman"/>
    <x v="0"/>
  </r>
  <r>
    <s v="Keith Herrera"/>
    <x v="0"/>
  </r>
  <r>
    <s v="Christine Sundaresam"/>
    <x v="0"/>
  </r>
  <r>
    <s v="Troy Staebel"/>
    <x v="0"/>
  </r>
  <r>
    <s v="Don Jones"/>
    <x v="0"/>
  </r>
  <r>
    <s v="Lena Hernandez"/>
    <x v="0"/>
  </r>
  <r>
    <s v="Craig Reiter"/>
    <x v="0"/>
  </r>
  <r>
    <s v="Deanra Eno"/>
    <x v="0"/>
  </r>
  <r>
    <s v="Jeremy Pistek"/>
    <x v="0"/>
  </r>
  <r>
    <s v="Rick Hansen"/>
    <x v="0"/>
  </r>
  <r>
    <s v="Robert Barroso"/>
    <x v="0"/>
  </r>
  <r>
    <s v="Arthur Prichep"/>
    <x v="0"/>
  </r>
  <r>
    <s v="Jennifer Patt"/>
    <x v="0"/>
  </r>
  <r>
    <s v="Dorothy Wardle"/>
    <x v="0"/>
  </r>
  <r>
    <s v="Ryan Crowe"/>
    <x v="0"/>
  </r>
  <r>
    <s v="Janet Molinari"/>
    <x v="0"/>
  </r>
  <r>
    <s v="Mitch Webber"/>
    <x v="0"/>
  </r>
  <r>
    <s v="Joe Elijah"/>
    <x v="0"/>
  </r>
  <r>
    <s v="Frank Merwin"/>
    <x v="0"/>
  </r>
  <r>
    <s v="Karl Braun"/>
    <x v="0"/>
  </r>
  <r>
    <s v="Paul Prost"/>
    <x v="0"/>
  </r>
  <r>
    <s v="Zuschuss Donatelli"/>
    <x v="0"/>
  </r>
  <r>
    <s v="Corey Catlett"/>
    <x v="0"/>
  </r>
  <r>
    <s v="Hilary Holden"/>
    <x v="0"/>
  </r>
  <r>
    <s v="Ryan Akin"/>
    <x v="0"/>
  </r>
  <r>
    <s v="Annie Thurman"/>
    <x v="0"/>
  </r>
  <r>
    <s v="Shirley Jackson"/>
    <x v="0"/>
  </r>
  <r>
    <s v="Larry Tron"/>
    <x v="0"/>
  </r>
  <r>
    <s v="Katherine Ducich"/>
    <x v="0"/>
  </r>
  <r>
    <s v="Mathew Reese"/>
    <x v="0"/>
  </r>
  <r>
    <s v="Nora Preis"/>
    <x v="0"/>
  </r>
  <r>
    <s v="Patrick Ryan"/>
    <x v="0"/>
  </r>
  <r>
    <s v="Victoria Pisteka"/>
    <x v="0"/>
  </r>
  <r>
    <s v="Dennis Kane"/>
    <x v="0"/>
  </r>
  <r>
    <s v="Sam Zeldin"/>
    <x v="0"/>
  </r>
  <r>
    <s v="Lisa Ryan"/>
    <x v="0"/>
  </r>
  <r>
    <s v="Becky Martin"/>
    <x v="0"/>
  </r>
  <r>
    <s v="Lisa Hazard"/>
    <x v="0"/>
  </r>
  <r>
    <s v="Karen Carlisle"/>
    <x v="0"/>
  </r>
  <r>
    <s v="Stefania Perrino"/>
    <x v="0"/>
  </r>
  <r>
    <s v="Marc Crier"/>
    <x v="0"/>
  </r>
  <r>
    <s v="Kean Takahito"/>
    <x v="0"/>
  </r>
  <r>
    <s v="Maribeth Schnelling"/>
    <x v="0"/>
  </r>
  <r>
    <s v="Rick Reed"/>
    <x v="0"/>
  </r>
  <r>
    <s v="Logan Currie"/>
    <x v="0"/>
  </r>
  <r>
    <s v="Daniel Lacy"/>
    <x v="0"/>
  </r>
  <r>
    <s v="Chris Cortes"/>
    <x v="0"/>
  </r>
  <r>
    <s v="Sandra Flanagan"/>
    <x v="0"/>
  </r>
  <r>
    <s v="Liz Willingham"/>
    <x v="0"/>
  </r>
  <r>
    <s v="Brad Norvell"/>
    <x v="0"/>
  </r>
  <r>
    <s v="Pete Takahito"/>
    <x v="0"/>
  </r>
  <r>
    <s v="Tom Ashbrook"/>
    <x v="0"/>
  </r>
  <r>
    <s v="Luke Weiss"/>
    <x v="0"/>
  </r>
  <r>
    <s v="Erin Ashbrook"/>
    <x v="0"/>
  </r>
  <r>
    <s v="Jessica Myrick"/>
    <x v="0"/>
  </r>
  <r>
    <s v="Odella Nelson"/>
    <x v="0"/>
  </r>
  <r>
    <s v="Jennifer Braxton"/>
    <x v="0"/>
  </r>
  <r>
    <s v="Astrea Jones"/>
    <x v="0"/>
  </r>
  <r>
    <s v="John Castell"/>
    <x v="0"/>
  </r>
  <r>
    <s v="Darrin Martin"/>
    <x v="0"/>
  </r>
  <r>
    <s v="Monica Federle"/>
    <x v="0"/>
  </r>
  <r>
    <s v="Anthony Garverick"/>
    <x v="0"/>
  </r>
  <r>
    <s v="Joseph Airdo"/>
    <x v="0"/>
  </r>
  <r>
    <s v="Frank Atkinson"/>
    <x v="0"/>
  </r>
  <r>
    <s v="Mike Caudle"/>
    <x v="0"/>
  </r>
  <r>
    <s v="Jim Kriz"/>
    <x v="0"/>
  </r>
  <r>
    <s v="Philip Fox"/>
    <x v="0"/>
  </r>
  <r>
    <s v="Erica Smith"/>
    <x v="0"/>
  </r>
  <r>
    <s v="Michelle Arnett"/>
    <x v="0"/>
  </r>
  <r>
    <s v="Duane Noonan"/>
    <x v="0"/>
  </r>
  <r>
    <s v="Sarah Brown"/>
    <x v="0"/>
  </r>
  <r>
    <s v="Henry Goldwyn"/>
    <x v="0"/>
  </r>
  <r>
    <s v="Jack Garza"/>
    <x v="0"/>
  </r>
  <r>
    <s v="Larry Hughes"/>
    <x v="0"/>
  </r>
  <r>
    <s v="Sara Luxemburg"/>
    <x v="0"/>
  </r>
  <r>
    <s v="Vivek Grady"/>
    <x v="0"/>
  </r>
  <r>
    <s v="Adam Shillingsburg"/>
    <x v="0"/>
  </r>
  <r>
    <s v="Thea Hudgings"/>
    <x v="0"/>
  </r>
  <r>
    <s v="Julie Prescott"/>
    <x v="0"/>
  </r>
  <r>
    <s v="Thomas Thornton"/>
    <x v="0"/>
  </r>
  <r>
    <s v="Julia Dunbar"/>
    <x v="0"/>
  </r>
  <r>
    <s v="Michelle Tran"/>
    <x v="0"/>
  </r>
  <r>
    <s v="Barry Franz"/>
    <x v="0"/>
  </r>
  <r>
    <s v="Nicole Brennan"/>
    <x v="0"/>
  </r>
  <r>
    <s v="Christopher Schild"/>
    <x v="0"/>
  </r>
  <r>
    <s v="Karen Ferguson"/>
    <x v="0"/>
  </r>
  <r>
    <s v="Thea Hendricks"/>
    <x v="0"/>
  </r>
  <r>
    <s v="George Zrebassa"/>
    <x v="0"/>
  </r>
  <r>
    <s v="Keith Dawkins"/>
    <x v="0"/>
  </r>
  <r>
    <s v="Suzanne McNair"/>
    <x v="0"/>
  </r>
  <r>
    <s v="Lisa DeCherney"/>
    <x v="0"/>
  </r>
  <r>
    <s v="Evan Bailliet"/>
    <x v="0"/>
  </r>
  <r>
    <s v="Kelly Williams"/>
    <x v="0"/>
  </r>
  <r>
    <s v="Doug Bickford"/>
    <x v="0"/>
  </r>
  <r>
    <s v="Dario Medina"/>
    <x v="0"/>
  </r>
  <r>
    <s v="Erin Smith"/>
    <x v="0"/>
  </r>
  <r>
    <s v="Beth Paige"/>
    <x v="0"/>
  </r>
  <r>
    <s v="Allen Rosenblatt"/>
    <x v="0"/>
  </r>
  <r>
    <s v="Denny Ordway"/>
    <x v="0"/>
  </r>
  <r>
    <s v="Russell D'Ascenzo"/>
    <x v="0"/>
  </r>
  <r>
    <s v="David Flashing"/>
    <x v="0"/>
  </r>
  <r>
    <s v="Joy Daniels"/>
    <x v="0"/>
  </r>
  <r>
    <s v="Brian Derr"/>
    <x v="0"/>
  </r>
  <r>
    <s v="Alice McCarthy"/>
    <x v="0"/>
  </r>
  <r>
    <s v="Tanja Norvell"/>
    <x v="0"/>
  </r>
  <r>
    <s v="Fred Chung"/>
    <x v="0"/>
  </r>
  <r>
    <s v="Jill Fjeld"/>
    <x v="0"/>
  </r>
  <r>
    <s v="Helen Andreada"/>
    <x v="0"/>
  </r>
  <r>
    <s v="Barry Pond"/>
    <x v="0"/>
  </r>
  <r>
    <s v="Zuschuss Carroll"/>
    <x v="0"/>
  </r>
  <r>
    <s v="Sibella Parks"/>
    <x v="0"/>
  </r>
  <r>
    <s v="Jim Epp"/>
    <x v="0"/>
  </r>
  <r>
    <s v="Hunter Glantz"/>
    <x v="0"/>
  </r>
  <r>
    <s v="Toby Carlisle"/>
    <x v="0"/>
  </r>
  <r>
    <s v="Anna Chung"/>
    <x v="0"/>
  </r>
  <r>
    <s v="Lynn Smith"/>
    <x v="0"/>
  </r>
  <r>
    <s v="Tracy Blumstein"/>
    <x v="0"/>
  </r>
  <r>
    <s v="Alan Schoenberger"/>
    <x v="0"/>
  </r>
  <r>
    <s v="Luke Schmidt"/>
    <x v="0"/>
  </r>
  <r>
    <s v="Ivan Gibson"/>
    <x v="0"/>
  </r>
  <r>
    <s v="Jeremy Farry"/>
    <x v="0"/>
  </r>
  <r>
    <s v="Rachel Payne"/>
    <x v="0"/>
  </r>
  <r>
    <s v="Eugene Hildebrand"/>
    <x v="0"/>
  </r>
  <r>
    <s v="Fred Hopkins"/>
    <x v="0"/>
  </r>
  <r>
    <s v="Lindsay Shagiari"/>
    <x v="0"/>
  </r>
  <r>
    <s v="Sylvia Foulston"/>
    <x v="0"/>
  </r>
  <r>
    <s v="Maureen Gastineau"/>
    <x v="0"/>
  </r>
  <r>
    <s v="Daniel Byrd"/>
    <x v="0"/>
  </r>
  <r>
    <s v="Angele Hood"/>
    <x v="0"/>
  </r>
  <r>
    <s v="Ross DeVincentis"/>
    <x v="0"/>
  </r>
  <r>
    <s v="Todd Sumrall"/>
    <x v="0"/>
  </r>
  <r>
    <s v="Bill Tyler"/>
    <x v="0"/>
  </r>
  <r>
    <s v="Noah Childs"/>
    <x v="0"/>
  </r>
  <r>
    <s v="Greg Guthrie"/>
    <x v="0"/>
  </r>
  <r>
    <s v="Anne McFarland"/>
    <x v="0"/>
  </r>
  <r>
    <s v="Amy Cox"/>
    <x v="0"/>
  </r>
  <r>
    <s v="Nancy Lomonaco"/>
    <x v="0"/>
  </r>
  <r>
    <s v="Ken Heidel"/>
    <x v="0"/>
  </r>
  <r>
    <s v="Paul Lucas"/>
    <x v="0"/>
  </r>
  <r>
    <s v="Deirdre Greer"/>
    <x v="0"/>
  </r>
  <r>
    <s v="Patrick O'Brill"/>
    <x v="0"/>
  </r>
  <r>
    <s v="Julie Kriz"/>
    <x v="0"/>
  </r>
  <r>
    <s v="Shahid Hopkins"/>
    <x v="0"/>
  </r>
  <r>
    <s v="Steven Ward"/>
    <x v="0"/>
  </r>
  <r>
    <s v="Denise Monton"/>
    <x v="0"/>
  </r>
  <r>
    <s v="Tracy Collins"/>
    <x v="0"/>
  </r>
  <r>
    <s v="MaryBeth Skach"/>
    <x v="0"/>
  </r>
  <r>
    <s v="William Brown"/>
    <x v="0"/>
  </r>
  <r>
    <s v="Tiffany House"/>
    <x v="0"/>
  </r>
  <r>
    <s v="Maribeth Dona"/>
    <x v="0"/>
  </r>
  <r>
    <s v="Barry Gonzalez"/>
    <x v="0"/>
  </r>
  <r>
    <s v="Tamara Chand"/>
    <x v="0"/>
  </r>
  <r>
    <s v="Benjamin Farhat"/>
    <x v="0"/>
  </r>
  <r>
    <s v="Pete Kriz"/>
    <x v="0"/>
  </r>
  <r>
    <s v="Tracy Zic"/>
    <x v="0"/>
  </r>
  <r>
    <s v="Karen Daniels"/>
    <x v="0"/>
  </r>
  <r>
    <s v="Roy FranzÃ¶sisch"/>
    <x v="0"/>
  </r>
  <r>
    <s v="Darren Budd"/>
    <x v="0"/>
  </r>
  <r>
    <s v="Maris LaWare"/>
    <x v="0"/>
  </r>
  <r>
    <s v="Jeremy Lonsdale"/>
    <x v="0"/>
  </r>
  <r>
    <s v="Candace McMahon"/>
    <x v="0"/>
  </r>
  <r>
    <s v="Robert Marley"/>
    <x v="0"/>
  </r>
  <r>
    <s v="Jamie Frazer"/>
    <x v="0"/>
  </r>
  <r>
    <s v="Peter BÃ¼hler"/>
    <x v="0"/>
  </r>
  <r>
    <s v="Rick Huthwaite"/>
    <x v="0"/>
  </r>
  <r>
    <s v="Adam Hart"/>
    <x v="0"/>
  </r>
  <r>
    <s v="Alan Barnes"/>
    <x v="0"/>
  </r>
  <r>
    <s v="Justin Deggeller"/>
    <x v="0"/>
  </r>
  <r>
    <s v="Yoseph Carroll"/>
    <x v="0"/>
  </r>
  <r>
    <s v="Randy Bradley"/>
    <x v="0"/>
  </r>
  <r>
    <s v="Pierre Wener"/>
    <x v="0"/>
  </r>
  <r>
    <s v="Ann Blume"/>
    <x v="0"/>
  </r>
  <r>
    <s v="Joe Kamberova"/>
    <x v="0"/>
  </r>
  <r>
    <s v="Julie Creighton"/>
    <x v="0"/>
  </r>
  <r>
    <s v="Michael Kennedy"/>
    <x v="0"/>
  </r>
  <r>
    <s v="John Murray"/>
    <x v="0"/>
  </r>
  <r>
    <s v="Georgia Rosenberg"/>
    <x v="0"/>
  </r>
  <r>
    <s v="Dennis Bolton"/>
    <x v="0"/>
  </r>
  <r>
    <s v="Alan Dominguez"/>
    <x v="0"/>
  </r>
  <r>
    <s v="Dave Hallsten"/>
    <x v="0"/>
  </r>
  <r>
    <s v="Jason Klamczynski"/>
    <x v="0"/>
  </r>
  <r>
    <s v="Steve Carroll"/>
    <x v="0"/>
  </r>
  <r>
    <s v="Tony Chapman"/>
    <x v="0"/>
  </r>
  <r>
    <s v="Susan Pistek"/>
    <x v="0"/>
  </r>
  <r>
    <s v="Saphhira Shifley"/>
    <x v="0"/>
  </r>
  <r>
    <s v="Phillip Breyer"/>
    <x v="0"/>
  </r>
  <r>
    <s v="Sally Matthias"/>
    <x v="0"/>
  </r>
  <r>
    <s v="Nathan Gelder"/>
    <x v="0"/>
  </r>
  <r>
    <s v="Harold Ryan"/>
    <x v="0"/>
  </r>
  <r>
    <s v="Darren Koutras"/>
    <x v="0"/>
  </r>
  <r>
    <s v="Nat Gilpin"/>
    <x v="0"/>
  </r>
  <r>
    <s v="Alyssa Tate"/>
    <x v="0"/>
  </r>
  <r>
    <s v="Andy Reiter"/>
    <x v="0"/>
  </r>
  <r>
    <s v="Bart Folk"/>
    <x v="0"/>
  </r>
  <r>
    <s v="Mary O'Rourke"/>
    <x v="0"/>
  </r>
  <r>
    <s v="Brian Thompson"/>
    <x v="0"/>
  </r>
  <r>
    <s v="Matthew Clasen"/>
    <x v="0"/>
  </r>
  <r>
    <s v="Bill Stewart"/>
    <x v="0"/>
  </r>
  <r>
    <s v="Alan Hwang"/>
    <x v="0"/>
  </r>
  <r>
    <s v="Toby Ritter"/>
    <x v="0"/>
  </r>
  <r>
    <s v="David Philippe"/>
    <x v="0"/>
  </r>
  <r>
    <s v="Michael Dominguez"/>
    <x v="0"/>
  </r>
  <r>
    <s v="Katherine Nockton"/>
    <x v="0"/>
  </r>
  <r>
    <s v="Matt Collins"/>
    <x v="0"/>
  </r>
  <r>
    <s v="Elizabeth Moffitt"/>
    <x v="0"/>
  </r>
  <r>
    <s v="Cathy Prescott"/>
    <x v="0"/>
  </r>
  <r>
    <s v="David Kendrick"/>
    <x v="0"/>
  </r>
  <r>
    <s v="Roy Collins"/>
    <x v="0"/>
  </r>
  <r>
    <s v="Nona Balk"/>
    <x v="0"/>
  </r>
  <r>
    <s v="Rob Lucas"/>
    <x v="0"/>
  </r>
  <r>
    <s v="Joni Blumstein"/>
    <x v="0"/>
  </r>
  <r>
    <s v="Frank Preis"/>
    <x v="0"/>
  </r>
  <r>
    <s v="Thomas Boland"/>
    <x v="0"/>
  </r>
  <r>
    <s v="Tim Brockman"/>
    <x v="0"/>
  </r>
  <r>
    <s v="Denny Joy"/>
    <x v="0"/>
  </r>
  <r>
    <s v="Sally Hughsby"/>
    <x v="0"/>
  </r>
  <r>
    <s v="Craig Yedwab"/>
    <x v="0"/>
  </r>
  <r>
    <s v="Logan Haushalter"/>
    <x v="0"/>
  </r>
  <r>
    <s v="Ralph Arnett"/>
    <x v="0"/>
  </r>
  <r>
    <s v="Kimberly Carter"/>
    <x v="0"/>
  </r>
  <r>
    <s v="Sung Shariari"/>
    <x v="0"/>
  </r>
  <r>
    <s v="Cari Sayre"/>
    <x v="0"/>
  </r>
  <r>
    <s v="Sung Pak"/>
    <x v="0"/>
  </r>
  <r>
    <s v="Chad Cunningham"/>
    <x v="0"/>
  </r>
  <r>
    <s v="Steve Chapman"/>
    <x v="0"/>
  </r>
  <r>
    <s v="Stefanie Holloman"/>
    <x v="0"/>
  </r>
  <r>
    <s v="Sean Christensen"/>
    <x v="0"/>
  </r>
  <r>
    <s v="Erin Creighton"/>
    <x v="0"/>
  </r>
  <r>
    <s v="Mike Kennedy"/>
    <x v="0"/>
  </r>
  <r>
    <s v="Irene Maddox"/>
    <x v="0"/>
  </r>
  <r>
    <s v="Penelope Sewall"/>
    <x v="0"/>
  </r>
  <r>
    <s v="Tony Sayre"/>
    <x v="0"/>
  </r>
  <r>
    <s v="Adrian Barton"/>
    <x v="0"/>
  </r>
  <r>
    <s v="Khloe Miller"/>
    <x v="0"/>
  </r>
  <r>
    <s v="Tamara Willingham"/>
    <x v="0"/>
  </r>
  <r>
    <s v="Sarah Foster"/>
    <x v="0"/>
  </r>
  <r>
    <s v="Craig Carreira"/>
    <x v="0"/>
  </r>
  <r>
    <s v="Clytie Kelty"/>
    <x v="0"/>
  </r>
  <r>
    <s v="Maureen Gnade"/>
    <x v="0"/>
  </r>
  <r>
    <s v="Thomas Brumley"/>
    <x v="0"/>
  </r>
  <r>
    <s v="Debra Catini"/>
    <x v="0"/>
  </r>
  <r>
    <s v="Michael Granlund"/>
    <x v="0"/>
  </r>
  <r>
    <s v="Ricardo Emerson"/>
    <x v="0"/>
  </r>
  <r>
    <s v="Ken Brennan"/>
    <x v="0"/>
  </r>
  <r>
    <s v="Maureen Fritzler"/>
    <x v="0"/>
  </r>
  <r>
    <s v="Alex Russell"/>
    <x v="0"/>
  </r>
  <r>
    <s v="Pamela Coakley"/>
    <x v="0"/>
  </r>
  <r>
    <s v="James Lanier"/>
    <x v="0"/>
  </r>
  <r>
    <s v="Victoria Wilson"/>
    <x v="1"/>
  </r>
  <r>
    <s v="Claudia Bergmann"/>
    <x v="1"/>
  </r>
  <r>
    <s v="Sylvia Foulston"/>
    <x v="1"/>
  </r>
  <r>
    <s v="Amy Hunt"/>
    <x v="1"/>
  </r>
  <r>
    <s v="Chris Selesnick"/>
    <x v="1"/>
  </r>
  <r>
    <s v="Andrew Gjertsen"/>
    <x v="1"/>
  </r>
  <r>
    <s v="Steven Roelle"/>
    <x v="1"/>
  </r>
  <r>
    <s v="Brooke Gillingham"/>
    <x v="1"/>
  </r>
  <r>
    <s v="James Lanier"/>
    <x v="1"/>
  </r>
  <r>
    <s v="Stefania Perrino"/>
    <x v="1"/>
  </r>
  <r>
    <s v="Craig Carroll"/>
    <x v="1"/>
  </r>
  <r>
    <s v="Michael Moore"/>
    <x v="1"/>
  </r>
  <r>
    <s v="Yana Sorensen"/>
    <x v="1"/>
  </r>
  <r>
    <s v="Cindy Schnelling"/>
    <x v="1"/>
  </r>
  <r>
    <s v="Philip Brown"/>
    <x v="1"/>
  </r>
  <r>
    <s v="Karen Seio"/>
    <x v="1"/>
  </r>
  <r>
    <s v="Joni Sundaresam"/>
    <x v="1"/>
  </r>
  <r>
    <s v="Scott Cohen"/>
    <x v="1"/>
  </r>
  <r>
    <s v="Paul MacIntyre"/>
    <x v="1"/>
  </r>
  <r>
    <s v="Carl Weiss"/>
    <x v="1"/>
  </r>
  <r>
    <s v="Cyra Reiten"/>
    <x v="1"/>
  </r>
  <r>
    <s v="Elizabeth Moffitt"/>
    <x v="1"/>
  </r>
  <r>
    <s v="Seth Vernon"/>
    <x v="1"/>
  </r>
  <r>
    <s v="Sean Christensen"/>
    <x v="1"/>
  </r>
  <r>
    <s v="Joseph Holt"/>
    <x v="1"/>
  </r>
  <r>
    <s v="Jeremy Pistek"/>
    <x v="1"/>
  </r>
  <r>
    <s v="Charles Crestani"/>
    <x v="1"/>
  </r>
  <r>
    <s v="Karl Braun"/>
    <x v="1"/>
  </r>
  <r>
    <s v="Allen Armold"/>
    <x v="1"/>
  </r>
  <r>
    <s v="Rick Wilson"/>
    <x v="1"/>
  </r>
  <r>
    <s v="Ken Heidel"/>
    <x v="1"/>
  </r>
  <r>
    <s v="Frank Olsen"/>
    <x v="1"/>
  </r>
  <r>
    <s v="Pauline Webber"/>
    <x v="1"/>
  </r>
  <r>
    <s v="Ivan Liston"/>
    <x v="1"/>
  </r>
  <r>
    <s v="Trudy Schmidt"/>
    <x v="1"/>
  </r>
  <r>
    <s v="Lori Olson"/>
    <x v="1"/>
  </r>
  <r>
    <s v="Damala Kotsonis"/>
    <x v="1"/>
  </r>
  <r>
    <s v="Lisa Hazard"/>
    <x v="1"/>
  </r>
  <r>
    <s v="Brosina Hoffman"/>
    <x v="1"/>
  </r>
  <r>
    <s v="Michael Stewart"/>
    <x v="1"/>
  </r>
  <r>
    <s v="Frank Atkinson"/>
    <x v="1"/>
  </r>
  <r>
    <s v="Sarah Jordon"/>
    <x v="1"/>
  </r>
  <r>
    <s v="Jill Fjeld"/>
    <x v="1"/>
  </r>
  <r>
    <s v="Nona Balk"/>
    <x v="1"/>
  </r>
  <r>
    <s v="Ted Trevino"/>
    <x v="1"/>
  </r>
  <r>
    <s v="Roy Phan"/>
    <x v="1"/>
  </r>
  <r>
    <s v="Justin MacKendrick"/>
    <x v="1"/>
  </r>
  <r>
    <s v="Sung Pak"/>
    <x v="1"/>
  </r>
  <r>
    <s v="Rob Dowd"/>
    <x v="1"/>
  </r>
  <r>
    <s v="Ann Blume"/>
    <x v="1"/>
  </r>
  <r>
    <s v="Guy Thornton"/>
    <x v="1"/>
  </r>
  <r>
    <s v="Liz MacKendrick"/>
    <x v="1"/>
  </r>
  <r>
    <s v="Kelly Andreada"/>
    <x v="1"/>
  </r>
  <r>
    <s v="Joe Elijah"/>
    <x v="1"/>
  </r>
  <r>
    <s v="Pierre Wener"/>
    <x v="1"/>
  </r>
  <r>
    <s v="Penelope Sewall"/>
    <x v="1"/>
  </r>
  <r>
    <s v="Lindsay Castell"/>
    <x v="1"/>
  </r>
  <r>
    <s v="Sung Shariari"/>
    <x v="1"/>
  </r>
  <r>
    <s v="Bill Tyler"/>
    <x v="1"/>
  </r>
  <r>
    <s v="Erin Smith"/>
    <x v="1"/>
  </r>
  <r>
    <s v="Nora Paige"/>
    <x v="1"/>
  </r>
  <r>
    <s v="Valerie Dominguez"/>
    <x v="1"/>
  </r>
  <r>
    <s v="Shui Tom"/>
    <x v="1"/>
  </r>
  <r>
    <s v="Dave Hallsten"/>
    <x v="1"/>
  </r>
  <r>
    <s v="Resi PÃ¶lking"/>
    <x v="1"/>
  </r>
  <r>
    <s v="Craig Molinari"/>
    <x v="1"/>
  </r>
  <r>
    <s v="Tracy Poddar"/>
    <x v="1"/>
  </r>
  <r>
    <s v="Dave Kipp"/>
    <x v="1"/>
  </r>
  <r>
    <s v="Pete Armstrong"/>
    <x v="1"/>
  </r>
  <r>
    <s v="Luke Foster"/>
    <x v="1"/>
  </r>
  <r>
    <s v="Sarah Foster"/>
    <x v="1"/>
  </r>
  <r>
    <s v="Katherine Nockton"/>
    <x v="1"/>
  </r>
  <r>
    <s v="Alan Haines"/>
    <x v="1"/>
  </r>
  <r>
    <s v="Mike Vittorini"/>
    <x v="1"/>
  </r>
  <r>
    <s v="Jennifer Jackson"/>
    <x v="1"/>
  </r>
  <r>
    <s v="Maribeth Schnelling"/>
    <x v="1"/>
  </r>
  <r>
    <s v="John Lucas"/>
    <x v="1"/>
  </r>
  <r>
    <s v="Eugene Moren"/>
    <x v="1"/>
  </r>
  <r>
    <s v="Dana Kaydos"/>
    <x v="1"/>
  </r>
  <r>
    <s v="Anthony Rawles"/>
    <x v="1"/>
  </r>
  <r>
    <s v="Fred Chung"/>
    <x v="1"/>
  </r>
  <r>
    <s v="Noel Staavos"/>
    <x v="1"/>
  </r>
  <r>
    <s v="Toby Gnade"/>
    <x v="1"/>
  </r>
  <r>
    <s v="Toby Swindell"/>
    <x v="1"/>
  </r>
  <r>
    <s v="Ken Black"/>
    <x v="1"/>
  </r>
  <r>
    <s v="Edward Becker"/>
    <x v="1"/>
  </r>
  <r>
    <s v="Evan Bailliet"/>
    <x v="1"/>
  </r>
  <r>
    <s v="Marc Crier"/>
    <x v="1"/>
  </r>
  <r>
    <s v="Nicole Fjeld"/>
    <x v="1"/>
  </r>
  <r>
    <s v="Emily Phan"/>
    <x v="1"/>
  </r>
  <r>
    <s v="Arianne Irving"/>
    <x v="1"/>
  </r>
  <r>
    <s v="Martinez"/>
    <x v="1"/>
  </r>
  <r>
    <s v="Jeremy Ellison"/>
    <x v="1"/>
  </r>
  <r>
    <s v="Monica Federle"/>
    <x v="1"/>
  </r>
  <r>
    <s v="Maurice Satty"/>
    <x v="1"/>
  </r>
  <r>
    <s v="Jim Kriz"/>
    <x v="1"/>
  </r>
  <r>
    <s v="Harold Ryan"/>
    <x v="1"/>
  </r>
  <r>
    <s v="Jesus Ocampo"/>
    <x v="1"/>
  </r>
  <r>
    <s v="Fred Hopkins"/>
    <x v="1"/>
  </r>
  <r>
    <s v="Berenike Kampe"/>
    <x v="1"/>
  </r>
  <r>
    <s v="Dan Campbell"/>
    <x v="1"/>
  </r>
  <r>
    <s v="Mike Caudle"/>
    <x v="1"/>
  </r>
  <r>
    <s v="Guy Armstrong"/>
    <x v="1"/>
  </r>
  <r>
    <s v="Corinna Mitchell"/>
    <x v="1"/>
  </r>
  <r>
    <s v="Bart Watters"/>
    <x v="1"/>
  </r>
  <r>
    <s v="Joe Kamberova"/>
    <x v="1"/>
  </r>
  <r>
    <s v="Bryan Mills"/>
    <x v="1"/>
  </r>
  <r>
    <s v="Julia West"/>
    <x v="1"/>
  </r>
  <r>
    <s v="Dean Braden"/>
    <x v="1"/>
  </r>
  <r>
    <s v="Ruben Dartt"/>
    <x v="1"/>
  </r>
  <r>
    <s v="Justin Deggeller"/>
    <x v="1"/>
  </r>
  <r>
    <s v="Fred Wasserman"/>
    <x v="1"/>
  </r>
  <r>
    <s v="Debra Catini"/>
    <x v="1"/>
  </r>
  <r>
    <s v="Julia Dunbar"/>
    <x v="1"/>
  </r>
  <r>
    <s v="Sheri Gordon"/>
    <x v="1"/>
  </r>
  <r>
    <s v="Bart Pistole"/>
    <x v="1"/>
  </r>
  <r>
    <s v="Alice McCarthy"/>
    <x v="1"/>
  </r>
  <r>
    <s v="Dennis Pardue"/>
    <x v="1"/>
  </r>
  <r>
    <s v="Ben Peterman"/>
    <x v="1"/>
  </r>
  <r>
    <s v="Cathy Prescott"/>
    <x v="1"/>
  </r>
  <r>
    <s v="Benjamin Venier"/>
    <x v="1"/>
  </r>
  <r>
    <s v="Gene McClure"/>
    <x v="1"/>
  </r>
  <r>
    <s v="Ellis Ballard"/>
    <x v="1"/>
  </r>
  <r>
    <s v="Suzanne McNair"/>
    <x v="1"/>
  </r>
  <r>
    <s v="Mark Van Huff"/>
    <x v="1"/>
  </r>
  <r>
    <s v="Alan Barnes"/>
    <x v="1"/>
  </r>
  <r>
    <s v="Chloris Kastensmidt"/>
    <x v="1"/>
  </r>
  <r>
    <s v="John Huston"/>
    <x v="1"/>
  </r>
  <r>
    <s v="Sara Luxemburg"/>
    <x v="1"/>
  </r>
  <r>
    <s v="Denny Ordway"/>
    <x v="1"/>
  </r>
  <r>
    <s v="Richard Bierner"/>
    <x v="1"/>
  </r>
  <r>
    <s v="Alan Shonely"/>
    <x v="1"/>
  </r>
  <r>
    <s v="Chad McGuire"/>
    <x v="1"/>
  </r>
  <r>
    <s v="Daniel Raglin"/>
    <x v="1"/>
  </r>
  <r>
    <s v="Ed Braxton"/>
    <x v="1"/>
  </r>
  <r>
    <s v="Michael Oakman"/>
    <x v="1"/>
  </r>
  <r>
    <s v="Cari Sayre"/>
    <x v="1"/>
  </r>
  <r>
    <s v="John Dryer"/>
    <x v="1"/>
  </r>
  <r>
    <s v="Nat Carroll"/>
    <x v="1"/>
  </r>
  <r>
    <s v="Greg Guthrie"/>
    <x v="1"/>
  </r>
  <r>
    <s v="Valerie Takahito"/>
    <x v="1"/>
  </r>
  <r>
    <s v="Carol Adams"/>
    <x v="1"/>
  </r>
  <r>
    <s v="Jennifer Ferguson"/>
    <x v="1"/>
  </r>
  <r>
    <s v="Thomas Thornton"/>
    <x v="1"/>
  </r>
  <r>
    <s v="Mark Hamilton"/>
    <x v="1"/>
  </r>
  <r>
    <s v="Peter Fuller"/>
    <x v="1"/>
  </r>
  <r>
    <s v="Frank Merwin"/>
    <x v="1"/>
  </r>
  <r>
    <s v="Jay Kimmel"/>
    <x v="1"/>
  </r>
  <r>
    <s v="Mick Crebagga"/>
    <x v="1"/>
  </r>
  <r>
    <s v="Ivan Gibson"/>
    <x v="1"/>
  </r>
  <r>
    <s v="Dario Medina"/>
    <x v="1"/>
  </r>
  <r>
    <s v="Eugene Hildebrand"/>
    <x v="1"/>
  </r>
  <r>
    <s v="Sanjit Engle"/>
    <x v="1"/>
  </r>
  <r>
    <s v="Patrick Ryan"/>
    <x v="1"/>
  </r>
  <r>
    <s v="Andy Reiter"/>
    <x v="1"/>
  </r>
  <r>
    <s v="Robert Dilbeck"/>
    <x v="1"/>
  </r>
  <r>
    <s v="Zuschuss Carroll"/>
    <x v="1"/>
  </r>
  <r>
    <s v="Anthony Witt"/>
    <x v="1"/>
  </r>
  <r>
    <s v="Heather Jas"/>
    <x v="1"/>
  </r>
  <r>
    <s v="Sonia Sunley"/>
    <x v="1"/>
  </r>
  <r>
    <s v="Eugene Barchas"/>
    <x v="1"/>
  </r>
  <r>
    <s v="Thea Hendricks"/>
    <x v="1"/>
  </r>
  <r>
    <s v="Frank Preis"/>
    <x v="1"/>
  </r>
  <r>
    <s v="Theone Pippenger"/>
    <x v="1"/>
  </r>
  <r>
    <s v="Theresa Swint"/>
    <x v="1"/>
  </r>
  <r>
    <s v="Brad Norvell"/>
    <x v="1"/>
  </r>
  <r>
    <s v="Sarah Brown"/>
    <x v="1"/>
  </r>
  <r>
    <s v="Lauren Leatherbury"/>
    <x v="1"/>
  </r>
  <r>
    <s v="Denise Monton"/>
    <x v="1"/>
  </r>
  <r>
    <s v="George Ashbrook"/>
    <x v="1"/>
  </r>
  <r>
    <s v="Jessica Myrick"/>
    <x v="1"/>
  </r>
  <r>
    <s v="Darren Powers"/>
    <x v="1"/>
  </r>
  <r>
    <s v="Kelly Williams"/>
    <x v="1"/>
  </r>
  <r>
    <s v="Roland Fjeld"/>
    <x v="1"/>
  </r>
  <r>
    <s v="Deanra Eno"/>
    <x v="1"/>
  </r>
  <r>
    <s v="Nathan Cano"/>
    <x v="1"/>
  </r>
  <r>
    <s v="Michael Paige"/>
    <x v="1"/>
  </r>
  <r>
    <s v="Patrick Gardner"/>
    <x v="1"/>
  </r>
  <r>
    <s v="Erica Smith"/>
    <x v="1"/>
  </r>
  <r>
    <s v="Olvera Toch"/>
    <x v="1"/>
  </r>
  <r>
    <s v="Juliana Krohn"/>
    <x v="1"/>
  </r>
  <r>
    <s v="Annie Zypern"/>
    <x v="1"/>
  </r>
  <r>
    <s v="Deborah Brumfield"/>
    <x v="1"/>
  </r>
  <r>
    <s v="Jill Stevenson"/>
    <x v="1"/>
  </r>
  <r>
    <s v="Linda Southworth"/>
    <x v="1"/>
  </r>
  <r>
    <s v="Joel Eaton"/>
    <x v="1"/>
  </r>
  <r>
    <s v="Sue Ann Reed"/>
    <x v="1"/>
  </r>
  <r>
    <s v="Greg Tran"/>
    <x v="1"/>
  </r>
  <r>
    <s v="Tony Chapman"/>
    <x v="1"/>
  </r>
  <r>
    <s v="Russell Applegate"/>
    <x v="1"/>
  </r>
  <r>
    <s v="Shirley Daniels"/>
    <x v="1"/>
  </r>
  <r>
    <s v="Paul Stevenson"/>
    <x v="1"/>
  </r>
  <r>
    <s v="Benjamin Patterson"/>
    <x v="1"/>
  </r>
  <r>
    <s v="Jane Waco"/>
    <x v="1"/>
  </r>
  <r>
    <s v="Jennifer Braxton"/>
    <x v="1"/>
  </r>
  <r>
    <s v="David Bremer"/>
    <x v="1"/>
  </r>
  <r>
    <s v="Patrick O'Brill"/>
    <x v="1"/>
  </r>
  <r>
    <s v="Noah Childs"/>
    <x v="1"/>
  </r>
  <r>
    <s v="Julia Barnett"/>
    <x v="1"/>
  </r>
  <r>
    <s v="Stewart Visinsky"/>
    <x v="1"/>
  </r>
  <r>
    <s v="Lena Cacioppo"/>
    <x v="1"/>
  </r>
  <r>
    <s v="Alan Schoenberger"/>
    <x v="1"/>
  </r>
  <r>
    <s v="Laura Armstrong"/>
    <x v="1"/>
  </r>
  <r>
    <s v="Anna HÃ¤berlin"/>
    <x v="1"/>
  </r>
  <r>
    <s v="Stuart Van"/>
    <x v="1"/>
  </r>
  <r>
    <s v="Anna Gayman"/>
    <x v="1"/>
  </r>
  <r>
    <s v="Chris Cortes"/>
    <x v="1"/>
  </r>
  <r>
    <s v="Daniel Lacy"/>
    <x v="1"/>
  </r>
  <r>
    <s v="Alejandro Ballentine"/>
    <x v="1"/>
  </r>
  <r>
    <s v="Natalie Webber"/>
    <x v="1"/>
  </r>
  <r>
    <s v="Max Engle"/>
    <x v="1"/>
  </r>
  <r>
    <s v="Cindy Stewart"/>
    <x v="1"/>
  </r>
  <r>
    <s v="Larry Tron"/>
    <x v="1"/>
  </r>
  <r>
    <s v="Rose O'Brian"/>
    <x v="1"/>
  </r>
  <r>
    <s v="James Galang"/>
    <x v="1"/>
  </r>
  <r>
    <s v="Ben Ferrer"/>
    <x v="1"/>
  </r>
  <r>
    <s v="Hunter Glantz"/>
    <x v="1"/>
  </r>
  <r>
    <s v="Tracy Hopkins"/>
    <x v="1"/>
  </r>
  <r>
    <s v="Odella Nelson"/>
    <x v="1"/>
  </r>
  <r>
    <s v="Dianna Vittorini"/>
    <x v="1"/>
  </r>
  <r>
    <s v="Anthony Jacobs"/>
    <x v="1"/>
  </r>
  <r>
    <s v="Michelle Ellison"/>
    <x v="1"/>
  </r>
  <r>
    <s v="Henry Goldwyn"/>
    <x v="1"/>
  </r>
  <r>
    <s v="Erin Ashbrook"/>
    <x v="1"/>
  </r>
  <r>
    <s v="Emily Burns"/>
    <x v="1"/>
  </r>
  <r>
    <s v="Kristen Hastings"/>
    <x v="1"/>
  </r>
  <r>
    <s v="Nathan Mautz"/>
    <x v="1"/>
  </r>
  <r>
    <s v="Vivek Sundaresam"/>
    <x v="1"/>
  </r>
  <r>
    <s v="Justin Hirsh"/>
    <x v="1"/>
  </r>
  <r>
    <s v="Nora Pelletier"/>
    <x v="1"/>
  </r>
  <r>
    <s v="Craig Yedwab"/>
    <x v="1"/>
  </r>
  <r>
    <s v="Muhammed MacIntyre"/>
    <x v="1"/>
  </r>
  <r>
    <s v="Pamela Stobb"/>
    <x v="1"/>
  </r>
  <r>
    <s v="Neil Knudson"/>
    <x v="1"/>
  </r>
  <r>
    <s v="Maxwell Schwartz"/>
    <x v="1"/>
  </r>
  <r>
    <s v="Trudy Brown"/>
    <x v="1"/>
  </r>
  <r>
    <s v="Victoria Pisteka"/>
    <x v="1"/>
  </r>
  <r>
    <s v="Chad Cunningham"/>
    <x v="1"/>
  </r>
  <r>
    <s v="Edward Nazzal"/>
    <x v="1"/>
  </r>
  <r>
    <s v="Brendan Dodson"/>
    <x v="1"/>
  </r>
  <r>
    <s v="Stephanie Phelps"/>
    <x v="1"/>
  </r>
  <r>
    <s v="Sample Company A"/>
    <x v="1"/>
  </r>
  <r>
    <s v="Tamara Manning"/>
    <x v="1"/>
  </r>
  <r>
    <s v="Bill Donatelli"/>
    <x v="1"/>
  </r>
  <r>
    <s v="Muhammed Lee"/>
    <x v="1"/>
  </r>
  <r>
    <s v="Janet Molinari"/>
    <x v="1"/>
  </r>
  <r>
    <s v="Katrina Edelman"/>
    <x v="1"/>
  </r>
  <r>
    <s v="Ashley Jarboe"/>
    <x v="1"/>
  </r>
  <r>
    <s v="Catherine Glotzbach"/>
    <x v="1"/>
  </r>
  <r>
    <s v="Tracy Collins"/>
    <x v="1"/>
  </r>
  <r>
    <s v="Becky Pak"/>
    <x v="1"/>
  </r>
  <r>
    <s v="Brenda Bowman"/>
    <x v="1"/>
  </r>
  <r>
    <s v="Eleni McCrary"/>
    <x v="1"/>
  </r>
  <r>
    <s v="Harold Dahlen"/>
    <x v="1"/>
  </r>
  <r>
    <s v="Maureen Gnade"/>
    <x v="1"/>
  </r>
  <r>
    <s v="Anthony Garverick"/>
    <x v="1"/>
  </r>
  <r>
    <s v="Trudy Glocke"/>
    <x v="1"/>
  </r>
  <r>
    <s v="Max Jones"/>
    <x v="1"/>
  </r>
  <r>
    <s v="Brian Dahlen"/>
    <x v="1"/>
  </r>
  <r>
    <s v="Jim Epp"/>
    <x v="1"/>
  </r>
  <r>
    <s v="Giulietta Baptist"/>
    <x v="1"/>
  </r>
  <r>
    <s v="Laurel Elliston"/>
    <x v="1"/>
  </r>
  <r>
    <s v="Jonathan Howell"/>
    <x v="1"/>
  </r>
  <r>
    <s v="Sam Zeldin"/>
    <x v="1"/>
  </r>
  <r>
    <s v="Barbara Fisher"/>
    <x v="1"/>
  </r>
  <r>
    <s v="Frank Carlisle"/>
    <x v="1"/>
  </r>
  <r>
    <s v="Alan Dominguez"/>
    <x v="1"/>
  </r>
  <r>
    <s v="Amy Cox"/>
    <x v="1"/>
  </r>
  <r>
    <s v="Grace Kelly"/>
    <x v="1"/>
  </r>
  <r>
    <s v="Lycoris Saunders"/>
    <x v="1"/>
  </r>
  <r>
    <s v="Lena Creighton"/>
    <x v="1"/>
  </r>
  <r>
    <s v="Skye Norling"/>
    <x v="1"/>
  </r>
  <r>
    <s v="Bruce Geld"/>
    <x v="1"/>
  </r>
  <r>
    <s v="Keith Herrera"/>
    <x v="1"/>
  </r>
  <r>
    <s v="Logan Haushalter"/>
    <x v="1"/>
  </r>
  <r>
    <s v="Maria Etezadi"/>
    <x v="1"/>
  </r>
  <r>
    <s v="Katherine Murray"/>
    <x v="1"/>
  </r>
  <r>
    <s v="Paul Prost"/>
    <x v="1"/>
  </r>
  <r>
    <s v="Stewart Carmichael"/>
    <x v="1"/>
  </r>
  <r>
    <s v="Becky Castell"/>
    <x v="1"/>
  </r>
  <r>
    <s v="Ken Lonsdale"/>
    <x v="1"/>
  </r>
  <r>
    <s v="Michael Grace"/>
    <x v="1"/>
  </r>
  <r>
    <s v="Shaun Weien"/>
    <x v="1"/>
  </r>
  <r>
    <s v="Rick Duston"/>
    <x v="1"/>
  </r>
  <r>
    <s v="Christine Sundaresam"/>
    <x v="1"/>
  </r>
  <r>
    <s v="Randy Ferguson"/>
    <x v="1"/>
  </r>
  <r>
    <s v="Cathy Hwang"/>
    <x v="1"/>
  </r>
  <r>
    <s v="Dennis Bolton"/>
    <x v="1"/>
  </r>
  <r>
    <s v="Dorothy Wardle"/>
    <x v="1"/>
  </r>
  <r>
    <s v="Mark Packer"/>
    <x v="1"/>
  </r>
  <r>
    <s v="Steven Cartwright"/>
    <x v="1"/>
  </r>
  <r>
    <s v="Michelle Moray"/>
    <x v="1"/>
  </r>
  <r>
    <s v="Neil FranzÃ¶sisch"/>
    <x v="1"/>
  </r>
  <r>
    <s v="Rob Haberlin"/>
    <x v="1"/>
  </r>
  <r>
    <s v="Bruce Degenhardt"/>
    <x v="1"/>
  </r>
  <r>
    <s v="Deirdre Greer"/>
    <x v="1"/>
  </r>
  <r>
    <s v="Irene Maddox"/>
    <x v="1"/>
  </r>
  <r>
    <s v="Julie Prescott"/>
    <x v="1"/>
  </r>
  <r>
    <s v="Victor Preis"/>
    <x v="1"/>
  </r>
  <r>
    <s v="Mitch Webber"/>
    <x v="1"/>
  </r>
  <r>
    <s v="Roland Schwarz"/>
    <x v="1"/>
  </r>
  <r>
    <s v="Kalyca Meade"/>
    <x v="1"/>
  </r>
  <r>
    <s v="Darrin Martin"/>
    <x v="1"/>
  </r>
  <r>
    <s v="Brian Thompson"/>
    <x v="1"/>
  </r>
  <r>
    <s v="Matt Collins"/>
    <x v="1"/>
  </r>
  <r>
    <s v="Kean Nguyen"/>
    <x v="1"/>
  </r>
  <r>
    <s v="Eric Hoffmann"/>
    <x v="1"/>
  </r>
  <r>
    <s v="Clytie Kelty"/>
    <x v="1"/>
  </r>
  <r>
    <s v="Shahid Collister"/>
    <x v="1"/>
  </r>
  <r>
    <s v="Todd Sumrall"/>
    <x v="1"/>
  </r>
  <r>
    <s v="Rob Lucas"/>
    <x v="1"/>
  </r>
  <r>
    <s v="Fred McMath"/>
    <x v="1"/>
  </r>
  <r>
    <s v="Natalie DeCherney"/>
    <x v="1"/>
  </r>
  <r>
    <s v="Neil Ducich"/>
    <x v="1"/>
  </r>
  <r>
    <s v="Michael Granlund"/>
    <x v="1"/>
  </r>
  <r>
    <s v="Victoria Brennan"/>
    <x v="1"/>
  </r>
  <r>
    <s v="Karen Carlisle"/>
    <x v="1"/>
  </r>
  <r>
    <s v="Pauline Johnson"/>
    <x v="1"/>
  </r>
  <r>
    <s v="Thais Sissman"/>
    <x v="1"/>
  </r>
  <r>
    <s v="Ralph Kennedy"/>
    <x v="1"/>
  </r>
  <r>
    <s v="Melanie Seite"/>
    <x v="1"/>
  </r>
  <r>
    <s v="Shirley Schmidt"/>
    <x v="1"/>
  </r>
  <r>
    <s v="Ross Baird"/>
    <x v="1"/>
  </r>
  <r>
    <s v="Michelle Huthwaite"/>
    <x v="1"/>
  </r>
  <r>
    <s v="Russell D'Ascenzo"/>
    <x v="1"/>
  </r>
  <r>
    <s v="Cynthia Arntzen"/>
    <x v="1"/>
  </r>
  <r>
    <s v="Helen Andreada"/>
    <x v="1"/>
  </r>
  <r>
    <s v="Cyma Kinney"/>
    <x v="1"/>
  </r>
  <r>
    <s v="Corey Catlett"/>
    <x v="1"/>
  </r>
  <r>
    <s v="Gary Hansen"/>
    <x v="1"/>
  </r>
  <r>
    <s v="Rick Hansen"/>
    <x v="1"/>
  </r>
  <r>
    <s v="Allen Rosenblatt"/>
    <x v="1"/>
  </r>
  <r>
    <s v="Steve Chapman"/>
    <x v="1"/>
  </r>
  <r>
    <s v="Pauline Chand"/>
    <x v="1"/>
  </r>
  <r>
    <s v="Corey-Lock"/>
    <x v="1"/>
  </r>
  <r>
    <s v="Brad Eason"/>
    <x v="1"/>
  </r>
  <r>
    <s v="Darren Koutras"/>
    <x v="1"/>
  </r>
  <r>
    <s v="Rachel Payne"/>
    <x v="1"/>
  </r>
  <r>
    <s v="Parhena Norris"/>
    <x v="1"/>
  </r>
  <r>
    <s v="Jim Karlsson"/>
    <x v="1"/>
  </r>
  <r>
    <s v="Eudokia Martin"/>
    <x v="1"/>
  </r>
  <r>
    <s v="Denny Blanton"/>
    <x v="1"/>
  </r>
  <r>
    <s v="David Smith"/>
    <x v="1"/>
  </r>
  <r>
    <s v="Naresj Patel"/>
    <x v="1"/>
  </r>
  <r>
    <s v="Ruben Ausman"/>
    <x v="1"/>
  </r>
  <r>
    <s v="Hallie Redmond"/>
    <x v="1"/>
  </r>
  <r>
    <s v="Julie Kriz"/>
    <x v="1"/>
  </r>
  <r>
    <s v="William Brown"/>
    <x v="1"/>
  </r>
  <r>
    <s v="Barry Weirich"/>
    <x v="1"/>
  </r>
  <r>
    <s v="Philisse Overcash"/>
    <x v="1"/>
  </r>
  <r>
    <s v="Ralph Arnett"/>
    <x v="1"/>
  </r>
  <r>
    <s v="Ed Jacobs"/>
    <x v="1"/>
  </r>
  <r>
    <s v="Sandra Flanagan"/>
    <x v="1"/>
  </r>
  <r>
    <s v="Tim Taslimi"/>
    <x v="1"/>
  </r>
  <r>
    <s v="Richard Eichhorn"/>
    <x v="1"/>
  </r>
  <r>
    <s v="John Murray"/>
    <x v="1"/>
  </r>
  <r>
    <s v="Joni Wasserman"/>
    <x v="1"/>
  </r>
  <r>
    <s v="Shaun Chance"/>
    <x v="1"/>
  </r>
  <r>
    <s v="Nick Zandusky"/>
    <x v="1"/>
  </r>
  <r>
    <s v="Sean Miller"/>
    <x v="1"/>
  </r>
  <r>
    <s v="Dave Poirier"/>
    <x v="1"/>
  </r>
  <r>
    <s v="Roger Barcio"/>
    <x v="1"/>
  </r>
  <r>
    <s v="Tamara Dahlen"/>
    <x v="1"/>
  </r>
  <r>
    <s v="Fred Harton"/>
    <x v="1"/>
  </r>
  <r>
    <s v="Cassandra Brandow"/>
    <x v="1"/>
  </r>
  <r>
    <s v="Katrina Willman"/>
    <x v="1"/>
  </r>
  <r>
    <s v="Nancy Lomonaco"/>
    <x v="1"/>
  </r>
  <r>
    <s v="Ryan Akin"/>
    <x v="1"/>
  </r>
  <r>
    <s v="Philip Fox"/>
    <x v="1"/>
  </r>
  <r>
    <s v="Andrew Roberts"/>
    <x v="1"/>
  </r>
  <r>
    <s v="Rick Huthwaite"/>
    <x v="1"/>
  </r>
  <r>
    <s v="Doug Bickford"/>
    <x v="1"/>
  </r>
  <r>
    <s v="Julie Creighton"/>
    <x v="1"/>
  </r>
  <r>
    <s v="Mike Gockenbach"/>
    <x v="1"/>
  </r>
  <r>
    <s v="Ann Steele"/>
    <x v="1"/>
  </r>
  <r>
    <s v="Arthur Gainer"/>
    <x v="1"/>
  </r>
  <r>
    <s v="Cathy Armstrong"/>
    <x v="1"/>
  </r>
  <r>
    <s v="Tamara Willingham"/>
    <x v="1"/>
  </r>
  <r>
    <s v="Beth Thompson"/>
    <x v="1"/>
  </r>
  <r>
    <s v="Chuck Clark"/>
    <x v="1"/>
  </r>
  <r>
    <s v="Alyssa Tate"/>
    <x v="1"/>
  </r>
  <r>
    <s v="Brendan Sweed"/>
    <x v="1"/>
  </r>
  <r>
    <s v="Andy Gerbode"/>
    <x v="1"/>
  </r>
  <r>
    <s v="Lisa Ryan"/>
    <x v="1"/>
  </r>
  <r>
    <s v="Tanja Norvell"/>
    <x v="1"/>
  </r>
  <r>
    <s v="Neoma Murray"/>
    <x v="1"/>
  </r>
  <r>
    <s v="Aimee Bixby"/>
    <x v="1"/>
  </r>
  <r>
    <s v="Edward Hooks"/>
    <x v="1"/>
  </r>
  <r>
    <s v="Bobby Odegard"/>
    <x v="1"/>
  </r>
  <r>
    <s v="Alex Russell"/>
    <x v="1"/>
  </r>
  <r>
    <s v="Sean Braxton"/>
    <x v="1"/>
  </r>
  <r>
    <s v="Don Miller"/>
    <x v="1"/>
  </r>
  <r>
    <s v="George Bell"/>
    <x v="1"/>
  </r>
  <r>
    <s v="Paul Gonzalez"/>
    <x v="1"/>
  </r>
  <r>
    <s v="Craig Carreira"/>
    <x v="1"/>
  </r>
  <r>
    <s v="Harry Greene"/>
    <x v="1"/>
  </r>
  <r>
    <s v="Anne McFarland"/>
    <x v="1"/>
  </r>
  <r>
    <s v="Ken Dana"/>
    <x v="1"/>
  </r>
  <r>
    <s v="Christina Anderson"/>
    <x v="1"/>
  </r>
  <r>
    <s v="Nat Gilpin"/>
    <x v="1"/>
  </r>
  <r>
    <s v="Carol Triggs"/>
    <x v="1"/>
  </r>
  <r>
    <s v="Brendan Murry"/>
    <x v="1"/>
  </r>
  <r>
    <s v="Ann Chong"/>
    <x v="1"/>
  </r>
  <r>
    <s v="Bradley Drucker"/>
    <x v="1"/>
  </r>
  <r>
    <s v="Tracy Blumstein"/>
    <x v="1"/>
  </r>
  <r>
    <s v="Meg O'Connel"/>
    <x v="1"/>
  </r>
  <r>
    <s v="Lindsay Shagiari"/>
    <x v="1"/>
  </r>
  <r>
    <s v="Justin Ritter"/>
    <x v="1"/>
  </r>
  <r>
    <s v="Adam Bellavance"/>
    <x v="1"/>
  </r>
  <r>
    <s v="Charlotte Melton"/>
    <x v="1"/>
  </r>
  <r>
    <s v="Nicole Hansen"/>
    <x v="1"/>
  </r>
  <r>
    <s v="Giulietta Weimer"/>
    <x v="1"/>
  </r>
  <r>
    <s v="Marc Harrigan"/>
    <x v="1"/>
  </r>
  <r>
    <s v="Alejandro Grove"/>
    <x v="1"/>
  </r>
  <r>
    <s v="Tamara Chand"/>
    <x v="1"/>
  </r>
  <r>
    <s v="Barry Gonzalez"/>
    <x v="1"/>
  </r>
  <r>
    <s v="Chad Sievert"/>
    <x v="1"/>
  </r>
  <r>
    <s v="Cynthia Delaney"/>
    <x v="1"/>
  </r>
  <r>
    <s v="Duane Huffman"/>
    <x v="1"/>
  </r>
  <r>
    <s v="Sanjit Jacobs"/>
    <x v="1"/>
  </r>
  <r>
    <s v="Steve Carroll"/>
    <x v="1"/>
  </r>
  <r>
    <s v="Carlos Meador"/>
    <x v="1"/>
  </r>
  <r>
    <s v="Kunst Miller"/>
    <x v="1"/>
  </r>
  <r>
    <s v="Maria Bertelson"/>
    <x v="1"/>
  </r>
  <r>
    <s v="Jamie Frazer"/>
    <x v="1"/>
  </r>
  <r>
    <s v="Phillina Ober"/>
    <x v="1"/>
  </r>
  <r>
    <s v="Dan Reichenbach"/>
    <x v="1"/>
  </r>
  <r>
    <s v="Erica Hackney"/>
    <x v="1"/>
  </r>
  <r>
    <s v="Sally Hughsby"/>
    <x v="1"/>
  </r>
  <r>
    <s v="Marina Lichtenstein"/>
    <x v="1"/>
  </r>
  <r>
    <s v="Carlos Soltero"/>
    <x v="1"/>
  </r>
  <r>
    <s v="Bryan Spruell"/>
    <x v="1"/>
  </r>
  <r>
    <s v="Helen Wasserman"/>
    <x v="1"/>
  </r>
  <r>
    <s v="Jamie Kunitz"/>
    <x v="1"/>
  </r>
  <r>
    <s v="Saphhira Shifley"/>
    <x v="1"/>
  </r>
  <r>
    <s v="Robert Marley"/>
    <x v="1"/>
  </r>
  <r>
    <s v="Eric Murdock"/>
    <x v="1"/>
  </r>
  <r>
    <s v="Jennifer Patt"/>
    <x v="1"/>
  </r>
  <r>
    <s v="Christopher Schild"/>
    <x v="1"/>
  </r>
  <r>
    <s v="Henry MacAllister"/>
    <x v="1"/>
  </r>
  <r>
    <s v="Mary Zewe"/>
    <x v="1"/>
  </r>
  <r>
    <s v="Bruce Stewart"/>
    <x v="1"/>
  </r>
  <r>
    <s v="Denny Joy"/>
    <x v="1"/>
  </r>
  <r>
    <s v="Alex Avila"/>
    <x v="1"/>
  </r>
  <r>
    <s v="Joel Jenkins"/>
    <x v="1"/>
  </r>
  <r>
    <s v="Jeremy Farry"/>
    <x v="1"/>
  </r>
  <r>
    <s v="Gene Hale"/>
    <x v="1"/>
  </r>
  <r>
    <s v="Tim Brockman"/>
    <x v="1"/>
  </r>
  <r>
    <s v="Brian Moss"/>
    <x v="1"/>
  </r>
  <r>
    <s v="Sonia Cooley"/>
    <x v="1"/>
  </r>
  <r>
    <s v="David Philippe"/>
    <x v="1"/>
  </r>
  <r>
    <s v="Sean O'Donnell"/>
    <x v="1"/>
  </r>
  <r>
    <s v="Shahid Hopkins"/>
    <x v="1"/>
  </r>
  <r>
    <s v="Art Foster"/>
    <x v="1"/>
  </r>
  <r>
    <s v="Claire Gute"/>
    <x v="1"/>
  </r>
  <r>
    <s v="Kristina Nunn"/>
    <x v="1"/>
  </r>
  <r>
    <s v="John Castell"/>
    <x v="1"/>
  </r>
  <r>
    <s v="Cari Schnelling"/>
    <x v="1"/>
  </r>
  <r>
    <s v="Liz Thompson"/>
    <x v="1"/>
  </r>
  <r>
    <s v="Jay Fein"/>
    <x v="1"/>
  </r>
  <r>
    <s v="Michelle Tran"/>
    <x v="1"/>
  </r>
  <r>
    <s v="Heather Kirkland"/>
    <x v="1"/>
  </r>
  <r>
    <s v="Maribeth Yedwab"/>
    <x v="1"/>
  </r>
  <r>
    <s v="Barry FranzÃ¶sisch"/>
    <x v="1"/>
  </r>
  <r>
    <s v="Harold Pawlan"/>
    <x v="1"/>
  </r>
  <r>
    <s v="Kean Thornton"/>
    <x v="1"/>
  </r>
  <r>
    <s v="Sandra Glassco"/>
    <x v="1"/>
  </r>
  <r>
    <s v="Valerie Mitchum"/>
    <x v="1"/>
  </r>
  <r>
    <s v="Quincy Jones"/>
    <x v="1"/>
  </r>
  <r>
    <s v="MaryBeth Skach"/>
    <x v="1"/>
  </r>
  <r>
    <s v="Jas O'Carroll"/>
    <x v="1"/>
  </r>
  <r>
    <s v="Kelly Collister"/>
    <x v="1"/>
  </r>
  <r>
    <s v="Scot Wooten"/>
    <x v="1"/>
  </r>
  <r>
    <s v="Emily Ducich"/>
    <x v="1"/>
  </r>
  <r>
    <s v="Barry Blumstein"/>
    <x v="1"/>
  </r>
  <r>
    <s v="Emily Grady"/>
    <x v="1"/>
  </r>
  <r>
    <s v="Grant Thornton"/>
    <x v="1"/>
  </r>
  <r>
    <s v="Nathan Gelder"/>
    <x v="1"/>
  </r>
  <r>
    <s v="Christy Brittain"/>
    <x v="1"/>
  </r>
  <r>
    <s v="Meg Tillman"/>
    <x v="1"/>
  </r>
  <r>
    <s v="Karen Bern"/>
    <x v="1"/>
  </r>
  <r>
    <s v="Christine Phan"/>
    <x v="1"/>
  </r>
  <r>
    <s v="Doug O'Connell"/>
    <x v="1"/>
  </r>
  <r>
    <s v="Adrian Barton"/>
    <x v="1"/>
  </r>
  <r>
    <s v="Helen Abelman"/>
    <x v="1"/>
  </r>
  <r>
    <s v="Maria Zettner"/>
    <x v="1"/>
  </r>
  <r>
    <s v="Sanjit Chand"/>
    <x v="1"/>
  </r>
  <r>
    <s v="Duane Benoit"/>
    <x v="1"/>
  </r>
  <r>
    <s v="Keith Dawkins"/>
    <x v="1"/>
  </r>
  <r>
    <s v="Adam Shillingsburg"/>
    <x v="1"/>
  </r>
  <r>
    <s v="Dean percer"/>
    <x v="1"/>
  </r>
  <r>
    <s v="Alan Hwang"/>
    <x v="1"/>
  </r>
  <r>
    <s v="Sam Craven"/>
    <x v="1"/>
  </r>
  <r>
    <s v="Yoseph Carroll"/>
    <x v="1"/>
  </r>
  <r>
    <s v="Arthur Wiediger"/>
    <x v="1"/>
  </r>
  <r>
    <s v="Patrick Jones"/>
    <x v="1"/>
  </r>
  <r>
    <s v="Maureen Gastineau"/>
    <x v="1"/>
  </r>
  <r>
    <s v="Gary Zandusky"/>
    <x v="1"/>
  </r>
  <r>
    <s v="Dean Katz"/>
    <x v="1"/>
  </r>
  <r>
    <s v="Maya Herman"/>
    <x v="1"/>
  </r>
  <r>
    <s v="Mike Pelletier"/>
    <x v="1"/>
  </r>
  <r>
    <s v="Matt Connell"/>
    <x v="1"/>
  </r>
  <r>
    <s v="John Grady"/>
    <x v="1"/>
  </r>
  <r>
    <s v="Greg Hansen"/>
    <x v="1"/>
  </r>
  <r>
    <s v="Brian Stugart"/>
    <x v="1"/>
  </r>
  <r>
    <s v="Anna Andreadi"/>
    <x v="1"/>
  </r>
  <r>
    <s v="Aleksandra Gannaway"/>
    <x v="1"/>
  </r>
  <r>
    <s v="Katherine Ducich"/>
    <x v="1"/>
  </r>
  <r>
    <s v="Dan Lawera"/>
    <x v="1"/>
  </r>
  <r>
    <s v="Patrick Bzostek"/>
    <x v="1"/>
  </r>
  <r>
    <s v="Katrina Bavinger"/>
    <x v="1"/>
  </r>
  <r>
    <s v="Denise Leinenbach"/>
    <x v="1"/>
  </r>
  <r>
    <s v="Shahid Shariari"/>
    <x v="1"/>
  </r>
  <r>
    <s v="Anne Pryor"/>
    <x v="1"/>
  </r>
  <r>
    <s v="Annie Thurman"/>
    <x v="1"/>
  </r>
  <r>
    <s v="Guy Phonely"/>
    <x v="1"/>
  </r>
  <r>
    <s v="Stefanie Holloman"/>
    <x v="1"/>
  </r>
  <r>
    <s v="Carlos Daly"/>
    <x v="1"/>
  </r>
  <r>
    <s v="Thomas Brumley"/>
    <x v="1"/>
  </r>
  <r>
    <s v="Steve Nguyen"/>
    <x v="1"/>
  </r>
  <r>
    <s v="Matt Abelman"/>
    <x v="1"/>
  </r>
  <r>
    <s v="Tom Prescott"/>
    <x v="1"/>
  </r>
  <r>
    <s v="Mark Cousins"/>
    <x v="1"/>
  </r>
  <r>
    <s v="Michelle Arnett"/>
    <x v="1"/>
  </r>
  <r>
    <s v="Eileen Kiefer"/>
    <x v="1"/>
  </r>
  <r>
    <s v="Raymond Messe"/>
    <x v="1"/>
  </r>
  <r>
    <s v="Janet Lee"/>
    <x v="1"/>
  </r>
  <r>
    <s v="Lena Radford"/>
    <x v="1"/>
  </r>
  <r>
    <s v="Logan Currie"/>
    <x v="1"/>
  </r>
  <r>
    <s v="Bill Stewart"/>
    <x v="1"/>
  </r>
  <r>
    <s v="Jack Garza"/>
    <x v="1"/>
  </r>
  <r>
    <s v="Ritsa Hightower"/>
    <x v="1"/>
  </r>
  <r>
    <s v="Harry Marie"/>
    <x v="1"/>
  </r>
  <r>
    <s v="Tracy Zic"/>
    <x v="1"/>
  </r>
  <r>
    <s v="Matt Hagelstein"/>
    <x v="1"/>
  </r>
  <r>
    <s v="Stephanie Ulpright"/>
    <x v="1"/>
  </r>
  <r>
    <s v="Brian Derr"/>
    <x v="1"/>
  </r>
  <r>
    <s v="Rick Reed"/>
    <x v="1"/>
  </r>
  <r>
    <s v="Gary Hwang"/>
    <x v="1"/>
  </r>
  <r>
    <s v="Dennis Kane"/>
    <x v="1"/>
  </r>
  <r>
    <s v="Speros Goranitis"/>
    <x v="1"/>
  </r>
  <r>
    <s v="Art Ferguson"/>
    <x v="1"/>
  </r>
  <r>
    <s v="Tonja Turnell"/>
    <x v="1"/>
  </r>
  <r>
    <s v="Ken Brennan"/>
    <x v="1"/>
  </r>
  <r>
    <s v="Khloe Miller"/>
    <x v="1"/>
  </r>
  <r>
    <s v="Stuart Calhoun"/>
    <x v="1"/>
  </r>
  <r>
    <s v="Joni Blumstein"/>
    <x v="1"/>
  </r>
  <r>
    <s v="Xylona Preis"/>
    <x v="1"/>
  </r>
  <r>
    <s v="Jonathan Doherty"/>
    <x v="1"/>
  </r>
  <r>
    <s v="Karen Daniels"/>
    <x v="1"/>
  </r>
  <r>
    <s v="Doug Jacobs"/>
    <x v="1"/>
  </r>
  <r>
    <s v="Darren Budd"/>
    <x v="1"/>
  </r>
  <r>
    <s v="Natalie Fritzler"/>
    <x v="1"/>
  </r>
  <r>
    <s v="John Lee"/>
    <x v="1"/>
  </r>
  <r>
    <s v="Michael Kennedy"/>
    <x v="1"/>
  </r>
  <r>
    <s v="Robert Barroso"/>
    <x v="1"/>
  </r>
  <r>
    <s v="Peter McVee"/>
    <x v="1"/>
  </r>
  <r>
    <s v="Evan Minnotte"/>
    <x v="1"/>
  </r>
  <r>
    <s v="John Stevenson"/>
    <x v="1"/>
  </r>
  <r>
    <s v="Elpida Rittenbach"/>
    <x v="1"/>
  </r>
  <r>
    <s v="Lynn Smith"/>
    <x v="1"/>
  </r>
  <r>
    <s v="Roger Demir"/>
    <x v="1"/>
  </r>
  <r>
    <s v="Adam Hart"/>
    <x v="1"/>
  </r>
  <r>
    <s v="Jim Radford"/>
    <x v="1"/>
  </r>
  <r>
    <s v="Kean Takahito"/>
    <x v="1"/>
  </r>
  <r>
    <s v="Dionis Lloyd"/>
    <x v="1"/>
  </r>
  <r>
    <s v="Lena Hernandez"/>
    <x v="1"/>
  </r>
  <r>
    <s v="David Flashing"/>
    <x v="1"/>
  </r>
  <r>
    <s v="Maribeth Dona"/>
    <x v="1"/>
  </r>
  <r>
    <s v="Brad Thomas"/>
    <x v="1"/>
  </r>
  <r>
    <s v="Aaron Hawkins"/>
    <x v="1"/>
  </r>
  <r>
    <s v="Roy FranzÃ¶sisch"/>
    <x v="1"/>
  </r>
  <r>
    <s v="Clay Ludtke"/>
    <x v="1"/>
  </r>
  <r>
    <s v="Brendan Murry"/>
    <x v="2"/>
  </r>
  <r>
    <s v="Lena Radford"/>
    <x v="2"/>
  </r>
  <r>
    <s v="Christine Abelman"/>
    <x v="2"/>
  </r>
  <r>
    <s v="Bill Overfelt"/>
    <x v="2"/>
  </r>
  <r>
    <s v="Erica Bern"/>
    <x v="2"/>
  </r>
  <r>
    <s v="Ben Peterman"/>
    <x v="2"/>
  </r>
  <r>
    <s v="Anthony Johnson"/>
    <x v="2"/>
  </r>
  <r>
    <s v="Dianna Wilson"/>
    <x v="2"/>
  </r>
  <r>
    <s v="Neoma Murray"/>
    <x v="2"/>
  </r>
  <r>
    <s v="Jack O'Briant"/>
    <x v="2"/>
  </r>
  <r>
    <s v="Vivek Sundaresam"/>
    <x v="2"/>
  </r>
  <r>
    <s v="Laura Armstrong"/>
    <x v="2"/>
  </r>
  <r>
    <s v="Maureen Fritzler"/>
    <x v="2"/>
  </r>
  <r>
    <s v="Ken Black"/>
    <x v="2"/>
  </r>
  <r>
    <s v="Joy Bell-"/>
    <x v="2"/>
  </r>
  <r>
    <s v="Deanra Eno"/>
    <x v="2"/>
  </r>
  <r>
    <s v="Mark Packer"/>
    <x v="2"/>
  </r>
  <r>
    <s v="Anna Gayman"/>
    <x v="2"/>
  </r>
  <r>
    <s v="Dean percer"/>
    <x v="2"/>
  </r>
  <r>
    <s v="Roy Collins"/>
    <x v="2"/>
  </r>
  <r>
    <s v="William Brown"/>
    <x v="2"/>
  </r>
  <r>
    <s v="Bill Eplett"/>
    <x v="2"/>
  </r>
  <r>
    <s v="Eric Hoffmann"/>
    <x v="2"/>
  </r>
  <r>
    <s v="Chuck Clark"/>
    <x v="2"/>
  </r>
  <r>
    <s v="Dionis Lloyd"/>
    <x v="2"/>
  </r>
  <r>
    <s v="Tamara Dahlen"/>
    <x v="2"/>
  </r>
  <r>
    <s v="Paul Gonzalez"/>
    <x v="2"/>
  </r>
  <r>
    <s v="Carlos Meador"/>
    <x v="2"/>
  </r>
  <r>
    <s v="Marc Crier"/>
    <x v="2"/>
  </r>
  <r>
    <s v="Frank Preis"/>
    <x v="2"/>
  </r>
  <r>
    <s v="Bradley Talbott"/>
    <x v="2"/>
  </r>
  <r>
    <s v="Toby Braunhardt"/>
    <x v="2"/>
  </r>
  <r>
    <s v="Christy Brittain"/>
    <x v="2"/>
  </r>
  <r>
    <s v="Claudia Bergmann"/>
    <x v="2"/>
  </r>
  <r>
    <s v="Henry Goldwyn"/>
    <x v="2"/>
  </r>
  <r>
    <s v="Todd Boyes"/>
    <x v="2"/>
  </r>
  <r>
    <s v="Jonathan Doherty"/>
    <x v="2"/>
  </r>
  <r>
    <s v="Jeremy Farry"/>
    <x v="2"/>
  </r>
  <r>
    <s v="Steven Cartwright"/>
    <x v="2"/>
  </r>
  <r>
    <s v="Tim Brockman"/>
    <x v="2"/>
  </r>
  <r>
    <s v="Harold Engle"/>
    <x v="2"/>
  </r>
  <r>
    <s v="David Flashing"/>
    <x v="2"/>
  </r>
  <r>
    <s v="Sample Company A"/>
    <x v="2"/>
  </r>
  <r>
    <s v="Aimee Bixby"/>
    <x v="2"/>
  </r>
  <r>
    <s v="Jason Klamczynski"/>
    <x v="2"/>
  </r>
  <r>
    <s v="Ben Ferrer"/>
    <x v="2"/>
  </r>
  <r>
    <s v="Cyma Kinney"/>
    <x v="2"/>
  </r>
  <r>
    <s v="Suzanne McNair"/>
    <x v="2"/>
  </r>
  <r>
    <s v="Adrian Barton"/>
    <x v="2"/>
  </r>
  <r>
    <s v="Sanjit Engle"/>
    <x v="2"/>
  </r>
  <r>
    <s v="Noel Staavos"/>
    <x v="2"/>
  </r>
  <r>
    <s v="Liz Carlisle"/>
    <x v="2"/>
  </r>
  <r>
    <s v="Tracy Blumstein"/>
    <x v="2"/>
  </r>
  <r>
    <s v="Maribeth Schnelling"/>
    <x v="2"/>
  </r>
  <r>
    <s v="Jennifer Braxton"/>
    <x v="2"/>
  </r>
  <r>
    <s v="Paul Prost"/>
    <x v="2"/>
  </r>
  <r>
    <s v="Annie Zypern"/>
    <x v="2"/>
  </r>
  <r>
    <s v="Karen Bern"/>
    <x v="2"/>
  </r>
  <r>
    <s v="Christina Anderson"/>
    <x v="2"/>
  </r>
  <r>
    <s v="Bobby Elias"/>
    <x v="2"/>
  </r>
  <r>
    <s v="Cathy Hwang"/>
    <x v="2"/>
  </r>
  <r>
    <s v="Mark Haberlin"/>
    <x v="2"/>
  </r>
  <r>
    <s v="Justin Ritter"/>
    <x v="2"/>
  </r>
  <r>
    <s v="Phillip Breyer"/>
    <x v="2"/>
  </r>
  <r>
    <s v="John Stevenson"/>
    <x v="2"/>
  </r>
  <r>
    <s v="Ross DeVincentis"/>
    <x v="2"/>
  </r>
  <r>
    <s v="Dave Kipp"/>
    <x v="2"/>
  </r>
  <r>
    <s v="Fred McMath"/>
    <x v="2"/>
  </r>
  <r>
    <s v="Patrick Gardner"/>
    <x v="2"/>
  </r>
  <r>
    <s v="Erin Ashbrook"/>
    <x v="2"/>
  </r>
  <r>
    <s v="John Dryer"/>
    <x v="2"/>
  </r>
  <r>
    <s v="Giulietta Weimer"/>
    <x v="2"/>
  </r>
  <r>
    <s v="Jill Fjeld"/>
    <x v="2"/>
  </r>
  <r>
    <s v="Greg Tran"/>
    <x v="2"/>
  </r>
  <r>
    <s v="Alan Hwang"/>
    <x v="2"/>
  </r>
  <r>
    <s v="Matthew Clasen"/>
    <x v="2"/>
  </r>
  <r>
    <s v="Benjamin Venier"/>
    <x v="2"/>
  </r>
  <r>
    <s v="Lindsay Castell"/>
    <x v="2"/>
  </r>
  <r>
    <s v="Paul Van Hugh"/>
    <x v="2"/>
  </r>
  <r>
    <s v="Tracy Zic"/>
    <x v="2"/>
  </r>
  <r>
    <s v="Alyssa Crouse"/>
    <x v="2"/>
  </r>
  <r>
    <s v="Bruce Degenhardt"/>
    <x v="2"/>
  </r>
  <r>
    <s v="Dan Lawera"/>
    <x v="2"/>
  </r>
  <r>
    <s v="Eric Barreto"/>
    <x v="2"/>
  </r>
  <r>
    <s v="Don Weiss"/>
    <x v="2"/>
  </r>
  <r>
    <s v="Rick Reed"/>
    <x v="2"/>
  </r>
  <r>
    <s v="Karen Daniels"/>
    <x v="2"/>
  </r>
  <r>
    <s v="Odella Nelson"/>
    <x v="2"/>
  </r>
  <r>
    <s v="Brosina Hoffman"/>
    <x v="2"/>
  </r>
  <r>
    <s v="Jason Gross"/>
    <x v="2"/>
  </r>
  <r>
    <s v="Craig Carreira"/>
    <x v="2"/>
  </r>
  <r>
    <s v="Chris Cortes"/>
    <x v="2"/>
  </r>
  <r>
    <s v="Theresa Swint"/>
    <x v="2"/>
  </r>
  <r>
    <s v="Alex Avila"/>
    <x v="2"/>
  </r>
  <r>
    <s v="Michael Granlund"/>
    <x v="2"/>
  </r>
  <r>
    <s v="Randy Ferguson"/>
    <x v="2"/>
  </r>
  <r>
    <s v="Rick Duston"/>
    <x v="2"/>
  </r>
  <r>
    <s v="Eleni McCrary"/>
    <x v="2"/>
  </r>
  <r>
    <s v="Rob Williams"/>
    <x v="2"/>
  </r>
  <r>
    <s v="Julia Barnett"/>
    <x v="2"/>
  </r>
  <r>
    <s v="Lena Cacioppo"/>
    <x v="2"/>
  </r>
  <r>
    <s v="Ed Braxton"/>
    <x v="2"/>
  </r>
  <r>
    <s v="Zuschuss Carroll"/>
    <x v="2"/>
  </r>
  <r>
    <s v="Brian DeCherney"/>
    <x v="2"/>
  </r>
  <r>
    <s v="Giulietta Baptist"/>
    <x v="2"/>
  </r>
  <r>
    <s v="Sanjit Jacobs"/>
    <x v="2"/>
  </r>
  <r>
    <s v="Stephanie Phelps"/>
    <x v="2"/>
  </r>
  <r>
    <s v="Rick Bensley"/>
    <x v="2"/>
  </r>
  <r>
    <s v="Pamela Stobb"/>
    <x v="2"/>
  </r>
  <r>
    <s v="Caroline Jumper"/>
    <x v="2"/>
  </r>
  <r>
    <s v="Bryan Davis"/>
    <x v="2"/>
  </r>
  <r>
    <s v="Karen Ferguson"/>
    <x v="2"/>
  </r>
  <r>
    <s v="Rick Huthwaite"/>
    <x v="2"/>
  </r>
  <r>
    <s v="Maya Herman"/>
    <x v="2"/>
  </r>
  <r>
    <s v="Mick Brown"/>
    <x v="2"/>
  </r>
  <r>
    <s v="Julie Prescott"/>
    <x v="2"/>
  </r>
  <r>
    <s v="Brad Thomas"/>
    <x v="2"/>
  </r>
  <r>
    <s v="Mike Caudle"/>
    <x v="2"/>
  </r>
  <r>
    <s v="Clytie Kelty"/>
    <x v="2"/>
  </r>
  <r>
    <s v="Dean Katz"/>
    <x v="2"/>
  </r>
  <r>
    <s v="Scot Wooten"/>
    <x v="2"/>
  </r>
  <r>
    <s v="Tamara Willingham"/>
    <x v="2"/>
  </r>
  <r>
    <s v="Liz Thompson"/>
    <x v="2"/>
  </r>
  <r>
    <s v="Adam Bellavance"/>
    <x v="2"/>
  </r>
  <r>
    <s v="Edward Hooks"/>
    <x v="2"/>
  </r>
  <r>
    <s v="Stewart Carmichael"/>
    <x v="2"/>
  </r>
  <r>
    <s v="Dennis Bolton"/>
    <x v="2"/>
  </r>
  <r>
    <s v="Henia Zydlo"/>
    <x v="2"/>
  </r>
  <r>
    <s v="Muhammed MacIntyre"/>
    <x v="2"/>
  </r>
  <r>
    <s v="Sibella Parks"/>
    <x v="2"/>
  </r>
  <r>
    <s v="Paul Lucas"/>
    <x v="2"/>
  </r>
  <r>
    <s v="Fred Chung"/>
    <x v="2"/>
  </r>
  <r>
    <s v="Muhammed Yedwab"/>
    <x v="2"/>
  </r>
  <r>
    <s v="Christine Sundaresam"/>
    <x v="2"/>
  </r>
  <r>
    <s v="Vivian Mathis"/>
    <x v="2"/>
  </r>
  <r>
    <s v="Gary Zandusky"/>
    <x v="2"/>
  </r>
  <r>
    <s v="Anna Chung"/>
    <x v="2"/>
  </r>
  <r>
    <s v="Rose O'Brian"/>
    <x v="2"/>
  </r>
  <r>
    <s v="Dave Brooks"/>
    <x v="2"/>
  </r>
  <r>
    <s v="Bobby Trafton"/>
    <x v="2"/>
  </r>
  <r>
    <s v="Susan Vittorini"/>
    <x v="2"/>
  </r>
  <r>
    <s v="Corey Catlett"/>
    <x v="2"/>
  </r>
  <r>
    <s v="Peter BÃ¼hler"/>
    <x v="2"/>
  </r>
  <r>
    <s v="Robert Dilbeck"/>
    <x v="2"/>
  </r>
  <r>
    <s v="Aaron Hawkins"/>
    <x v="2"/>
  </r>
  <r>
    <s v="Kean Takahito"/>
    <x v="2"/>
  </r>
  <r>
    <s v="Dario Medina"/>
    <x v="2"/>
  </r>
  <r>
    <s v="Robert Barroso"/>
    <x v="2"/>
  </r>
  <r>
    <s v="Dan Reichenbach"/>
    <x v="2"/>
  </r>
  <r>
    <s v="Vivek Grady"/>
    <x v="2"/>
  </r>
  <r>
    <s v="Dan Campbell"/>
    <x v="2"/>
  </r>
  <r>
    <s v="Damala Kotsonis"/>
    <x v="2"/>
  </r>
  <r>
    <s v="Dean Braden"/>
    <x v="2"/>
  </r>
  <r>
    <s v="Mark Van Huff"/>
    <x v="2"/>
  </r>
  <r>
    <s v="David Smith"/>
    <x v="2"/>
  </r>
  <r>
    <s v="Aaron Smayling"/>
    <x v="2"/>
  </r>
  <r>
    <s v="Maria Etezadi"/>
    <x v="2"/>
  </r>
  <r>
    <s v="Janet Martin"/>
    <x v="2"/>
  </r>
  <r>
    <s v="Troy Blackwell"/>
    <x v="2"/>
  </r>
  <r>
    <s v="Cathy Prescott"/>
    <x v="2"/>
  </r>
  <r>
    <s v="Carlos Soltero"/>
    <x v="2"/>
  </r>
  <r>
    <s v="Erica Hackney"/>
    <x v="2"/>
  </r>
  <r>
    <s v="Raymond Buch"/>
    <x v="2"/>
  </r>
  <r>
    <s v="Barry Blumstein"/>
    <x v="2"/>
  </r>
  <r>
    <s v="Thomas Boland"/>
    <x v="2"/>
  </r>
  <r>
    <s v="Daniel Byrd"/>
    <x v="2"/>
  </r>
  <r>
    <s v="Denny Joy"/>
    <x v="2"/>
  </r>
  <r>
    <s v="Zuschuss Donatelli"/>
    <x v="2"/>
  </r>
  <r>
    <s v="Steven Roelle"/>
    <x v="2"/>
  </r>
  <r>
    <s v="Evan Henry"/>
    <x v="2"/>
  </r>
  <r>
    <s v="Becky Castell"/>
    <x v="2"/>
  </r>
  <r>
    <s v="Gary Mitchum"/>
    <x v="2"/>
  </r>
  <r>
    <s v="Justin Hirsh"/>
    <x v="2"/>
  </r>
  <r>
    <s v="Valerie Mitchum"/>
    <x v="2"/>
  </r>
  <r>
    <s v="Yoseph Carroll"/>
    <x v="2"/>
  </r>
  <r>
    <s v="Dorris liebe"/>
    <x v="2"/>
  </r>
  <r>
    <s v="Sarah Foster"/>
    <x v="2"/>
  </r>
  <r>
    <s v="Erin Smith"/>
    <x v="2"/>
  </r>
  <r>
    <s v="Alan Shonely"/>
    <x v="2"/>
  </r>
  <r>
    <s v="Jeremy Lonsdale"/>
    <x v="2"/>
  </r>
  <r>
    <s v="Logan Currie"/>
    <x v="2"/>
  </r>
  <r>
    <s v="Eugene Hildebrand"/>
    <x v="2"/>
  </r>
  <r>
    <s v="Raymond Messe"/>
    <x v="2"/>
  </r>
  <r>
    <s v="Christine Kargatis"/>
    <x v="2"/>
  </r>
  <r>
    <s v="Edward Becker"/>
    <x v="2"/>
  </r>
  <r>
    <s v="Sean Wendt"/>
    <x v="2"/>
  </r>
  <r>
    <s v="Herbert Flentye"/>
    <x v="2"/>
  </r>
  <r>
    <s v="Filia McAdams"/>
    <x v="2"/>
  </r>
  <r>
    <s v="Brian Thompson"/>
    <x v="2"/>
  </r>
  <r>
    <s v="Quincy Jones"/>
    <x v="2"/>
  </r>
  <r>
    <s v="Brian Dahlen"/>
    <x v="2"/>
  </r>
  <r>
    <s v="Beth Paige"/>
    <x v="2"/>
  </r>
  <r>
    <s v="Jason Fortune-"/>
    <x v="2"/>
  </r>
  <r>
    <s v="Susan Pistek"/>
    <x v="2"/>
  </r>
  <r>
    <s v="Philip Brown"/>
    <x v="2"/>
  </r>
  <r>
    <s v="Tom Boeckenhauer"/>
    <x v="2"/>
  </r>
  <r>
    <s v="Jill Matthias"/>
    <x v="2"/>
  </r>
  <r>
    <s v="Ross Baird"/>
    <x v="2"/>
  </r>
  <r>
    <s v="Bill Donatelli"/>
    <x v="2"/>
  </r>
  <r>
    <s v="Julie Kriz"/>
    <x v="2"/>
  </r>
  <r>
    <s v="Arthur Prichep"/>
    <x v="2"/>
  </r>
  <r>
    <s v="Bill Shonely"/>
    <x v="2"/>
  </r>
  <r>
    <s v="Bryan Mills"/>
    <x v="2"/>
  </r>
  <r>
    <s v="Pete Kriz"/>
    <x v="2"/>
  </r>
  <r>
    <s v="Jessica Myrick"/>
    <x v="2"/>
  </r>
  <r>
    <s v="Charles Sheldon"/>
    <x v="2"/>
  </r>
  <r>
    <s v="Clay Rozendal"/>
    <x v="2"/>
  </r>
  <r>
    <s v="Roy FranzÃ¶sisch"/>
    <x v="2"/>
  </r>
  <r>
    <s v="Thea Hudgings"/>
    <x v="2"/>
  </r>
  <r>
    <s v="Cindy Schnelling"/>
    <x v="2"/>
  </r>
  <r>
    <s v="Jas O'Carroll"/>
    <x v="2"/>
  </r>
  <r>
    <s v="Kunst Miller"/>
    <x v="2"/>
  </r>
  <r>
    <s v="Duane Noonan"/>
    <x v="2"/>
  </r>
  <r>
    <s v="Tanja Norvell"/>
    <x v="2"/>
  </r>
  <r>
    <s v="Ed Ludwig"/>
    <x v="2"/>
  </r>
  <r>
    <s v="Tonja Turnell"/>
    <x v="2"/>
  </r>
  <r>
    <s v="Michael Moore"/>
    <x v="2"/>
  </r>
  <r>
    <s v="Grace Kelly"/>
    <x v="2"/>
  </r>
  <r>
    <s v="Heather Kirkland"/>
    <x v="2"/>
  </r>
  <r>
    <s v="Max Jones"/>
    <x v="2"/>
  </r>
  <r>
    <s v="Art Ferguson"/>
    <x v="2"/>
  </r>
  <r>
    <s v="Cathy Armstrong"/>
    <x v="2"/>
  </r>
  <r>
    <s v="Jack Lebron"/>
    <x v="2"/>
  </r>
  <r>
    <s v="Craig Leslie"/>
    <x v="2"/>
  </r>
  <r>
    <s v="John Lucas"/>
    <x v="2"/>
  </r>
  <r>
    <s v="Nona Balk"/>
    <x v="2"/>
  </r>
  <r>
    <s v="Erica Hernandez"/>
    <x v="2"/>
  </r>
  <r>
    <s v="Rob Beeghly"/>
    <x v="2"/>
  </r>
  <r>
    <s v="John Lee"/>
    <x v="2"/>
  </r>
  <r>
    <s v="Ken Dana"/>
    <x v="2"/>
  </r>
  <r>
    <s v="Chris McAfee"/>
    <x v="2"/>
  </r>
  <r>
    <s v="Cindy Chapman"/>
    <x v="2"/>
  </r>
  <r>
    <s v="Adam Shillingsburg"/>
    <x v="2"/>
  </r>
  <r>
    <s v="Nick Radford"/>
    <x v="2"/>
  </r>
  <r>
    <s v="Susan MacKendrick"/>
    <x v="2"/>
  </r>
  <r>
    <s v="Natalie DeCherney"/>
    <x v="2"/>
  </r>
  <r>
    <s v="Patrick Jones"/>
    <x v="2"/>
  </r>
  <r>
    <s v="Barry Franz"/>
    <x v="2"/>
  </r>
  <r>
    <s v="Darrin Martin"/>
    <x v="2"/>
  </r>
  <r>
    <s v="Amy Hunt"/>
    <x v="2"/>
  </r>
  <r>
    <s v="Lindsay Williams"/>
    <x v="2"/>
  </r>
  <r>
    <s v="Brad Eason"/>
    <x v="2"/>
  </r>
  <r>
    <s v="Gene McClure"/>
    <x v="2"/>
  </r>
  <r>
    <s v="George Bell"/>
    <x v="2"/>
  </r>
  <r>
    <s v="Clay Ludtke"/>
    <x v="2"/>
  </r>
  <r>
    <s v="Trudy Brown"/>
    <x v="2"/>
  </r>
  <r>
    <s v="Sonia Sunley"/>
    <x v="2"/>
  </r>
  <r>
    <s v="Julia West"/>
    <x v="2"/>
  </r>
  <r>
    <s v="Paul Stevenson"/>
    <x v="2"/>
  </r>
  <r>
    <s v="Ricardo Sperren"/>
    <x v="2"/>
  </r>
  <r>
    <s v="Thea Hendricks"/>
    <x v="2"/>
  </r>
  <r>
    <s v="Cynthia Voltz"/>
    <x v="2"/>
  </r>
  <r>
    <s v="Roger Demir"/>
    <x v="2"/>
  </r>
  <r>
    <s v="Christopher Schild"/>
    <x v="2"/>
  </r>
  <r>
    <s v="Ted Trevino"/>
    <x v="2"/>
  </r>
  <r>
    <s v="Harry Marie"/>
    <x v="2"/>
  </r>
  <r>
    <s v="Logan Haushalter"/>
    <x v="2"/>
  </r>
  <r>
    <s v="Michael Kennedy"/>
    <x v="2"/>
  </r>
  <r>
    <s v="Tiffany House"/>
    <x v="2"/>
  </r>
  <r>
    <s v="Steve Nguyen"/>
    <x v="2"/>
  </r>
  <r>
    <s v="Thomas Thornton"/>
    <x v="2"/>
  </r>
  <r>
    <s v="Darren Powers"/>
    <x v="2"/>
  </r>
  <r>
    <s v="Michael Nguyen"/>
    <x v="2"/>
  </r>
  <r>
    <s v="Jim Radford"/>
    <x v="2"/>
  </r>
  <r>
    <s v="Denny Ordway"/>
    <x v="2"/>
  </r>
  <r>
    <s v="Sanjit Chand"/>
    <x v="2"/>
  </r>
  <r>
    <s v="Roy Phan"/>
    <x v="2"/>
  </r>
  <r>
    <s v="Arthur Gainer"/>
    <x v="2"/>
  </r>
  <r>
    <s v="Luke Weiss"/>
    <x v="2"/>
  </r>
  <r>
    <s v="Laurel Elliston"/>
    <x v="2"/>
  </r>
  <r>
    <s v="Bradley Nguyen"/>
    <x v="2"/>
  </r>
  <r>
    <s v="Bill Tyler"/>
    <x v="2"/>
  </r>
  <r>
    <s v="Anna HÃ¤berlin"/>
    <x v="2"/>
  </r>
  <r>
    <s v="Joe Kamberova"/>
    <x v="2"/>
  </r>
  <r>
    <s v="Linda Cazamias"/>
    <x v="2"/>
  </r>
  <r>
    <s v="Christine Phan"/>
    <x v="2"/>
  </r>
  <r>
    <s v="Alejandro Savely"/>
    <x v="2"/>
  </r>
  <r>
    <s v="Sally Hughsby"/>
    <x v="2"/>
  </r>
  <r>
    <s v="Jim Epp"/>
    <x v="2"/>
  </r>
  <r>
    <s v="Lisa DeCherney"/>
    <x v="2"/>
  </r>
  <r>
    <s v="Ken Lonsdale"/>
    <x v="2"/>
  </r>
  <r>
    <s v="Anne Pryor"/>
    <x v="2"/>
  </r>
  <r>
    <s v="Christopher Conant"/>
    <x v="2"/>
  </r>
  <r>
    <s v="Dennis Pardue"/>
    <x v="2"/>
  </r>
  <r>
    <s v="Maurice Satty"/>
    <x v="2"/>
  </r>
  <r>
    <s v="Stewart Visinsky"/>
    <x v="2"/>
  </r>
  <r>
    <s v="Brian Stugart"/>
    <x v="2"/>
  </r>
  <r>
    <s v="Lynn Smith"/>
    <x v="2"/>
  </r>
  <r>
    <s v="Valerie Dominguez"/>
    <x v="2"/>
  </r>
  <r>
    <s v="Kimberly Carter"/>
    <x v="2"/>
  </r>
  <r>
    <s v="Rob Lucas"/>
    <x v="2"/>
  </r>
  <r>
    <s v="Maribeth Yedwab"/>
    <x v="2"/>
  </r>
  <r>
    <s v="Robert Waldorf"/>
    <x v="2"/>
  </r>
  <r>
    <s v="Brooke Gillingham"/>
    <x v="2"/>
  </r>
  <r>
    <s v="Justin MacKendrick"/>
    <x v="2"/>
  </r>
  <r>
    <s v="Nancy Lomonaco"/>
    <x v="2"/>
  </r>
  <r>
    <s v="Eugene Moren"/>
    <x v="2"/>
  </r>
  <r>
    <s v="Annie Thurman"/>
    <x v="2"/>
  </r>
  <r>
    <s v="Karen Carlisle"/>
    <x v="2"/>
  </r>
  <r>
    <s v="Edward Nazzal"/>
    <x v="2"/>
  </r>
  <r>
    <s v="Joni Sundaresam"/>
    <x v="2"/>
  </r>
  <r>
    <s v="Janet Lee"/>
    <x v="2"/>
  </r>
  <r>
    <s v="Chloris Kastensmidt"/>
    <x v="2"/>
  </r>
  <r>
    <s v="Ken Brennan"/>
    <x v="2"/>
  </r>
  <r>
    <s v="Scot Coram"/>
    <x v="2"/>
  </r>
  <r>
    <s v="Liz Preis"/>
    <x v="2"/>
  </r>
  <r>
    <s v="Frank Merwin"/>
    <x v="2"/>
  </r>
  <r>
    <s v="Roy Skaria"/>
    <x v="2"/>
  </r>
  <r>
    <s v="Greg Matthias"/>
    <x v="2"/>
  </r>
  <r>
    <s v="Toby Carlisle"/>
    <x v="2"/>
  </r>
  <r>
    <s v="Benjamin Farhat"/>
    <x v="2"/>
  </r>
  <r>
    <s v="Olvera Toch"/>
    <x v="2"/>
  </r>
  <r>
    <s v="Mary Zewe"/>
    <x v="2"/>
  </r>
  <r>
    <s v="Erica Smith"/>
    <x v="2"/>
  </r>
  <r>
    <s v="Seth Vernon"/>
    <x v="2"/>
  </r>
  <r>
    <s v="Darrin Van Huff"/>
    <x v="2"/>
  </r>
  <r>
    <s v="Philisse Overcash"/>
    <x v="2"/>
  </r>
  <r>
    <s v="Craig Reiter"/>
    <x v="2"/>
  </r>
  <r>
    <s v="Arthur Wiediger"/>
    <x v="2"/>
  </r>
  <r>
    <s v="Marc Harrigan"/>
    <x v="2"/>
  </r>
  <r>
    <s v="Jim Sink"/>
    <x v="2"/>
  </r>
  <r>
    <s v="Anthony Rawles"/>
    <x v="2"/>
  </r>
  <r>
    <s v="James Lanier"/>
    <x v="2"/>
  </r>
  <r>
    <s v="Jennifer Jackson"/>
    <x v="2"/>
  </r>
  <r>
    <s v="Ted Butterfield"/>
    <x v="2"/>
  </r>
  <r>
    <s v="Ivan Gibson"/>
    <x v="2"/>
  </r>
  <r>
    <s v="Mike Vittorini"/>
    <x v="2"/>
  </r>
  <r>
    <s v="Lena Creighton"/>
    <x v="2"/>
  </r>
  <r>
    <s v="Denise Monton"/>
    <x v="2"/>
  </r>
  <r>
    <s v="Lena Hernandez"/>
    <x v="2"/>
  </r>
  <r>
    <s v="Dave Poirier"/>
    <x v="2"/>
  </r>
  <r>
    <s v="Catherine Glotzbach"/>
    <x v="2"/>
  </r>
  <r>
    <s v="Irene Maddox"/>
    <x v="2"/>
  </r>
  <r>
    <s v="Maureen Gnade"/>
    <x v="2"/>
  </r>
  <r>
    <s v="Ruben Dartt"/>
    <x v="2"/>
  </r>
  <r>
    <s v="Sally Matthias"/>
    <x v="2"/>
  </r>
  <r>
    <s v="Hunter Lopez"/>
    <x v="2"/>
  </r>
  <r>
    <s v="Dave Hallsten"/>
    <x v="2"/>
  </r>
  <r>
    <s v="John Grady"/>
    <x v="2"/>
  </r>
  <r>
    <s v="Alejandro Ballentine"/>
    <x v="2"/>
  </r>
  <r>
    <s v="Lela Donovan"/>
    <x v="2"/>
  </r>
  <r>
    <s v="Skye Norling"/>
    <x v="2"/>
  </r>
  <r>
    <s v="Adam Hart"/>
    <x v="2"/>
  </r>
  <r>
    <s v="Victoria Pisteka"/>
    <x v="2"/>
  </r>
  <r>
    <s v="Phillip Flathmann"/>
    <x v="2"/>
  </r>
  <r>
    <s v="Katharine Harms"/>
    <x v="2"/>
  </r>
  <r>
    <s v="Roland Fjeld"/>
    <x v="2"/>
  </r>
  <r>
    <s v="Chris Selesnick"/>
    <x v="2"/>
  </r>
  <r>
    <s v="Becky Pak"/>
    <x v="2"/>
  </r>
  <r>
    <s v="Corey-Lock"/>
    <x v="2"/>
  </r>
  <r>
    <s v="Philip Fox"/>
    <x v="2"/>
  </r>
  <r>
    <s v="Adrian Hane"/>
    <x v="2"/>
  </r>
  <r>
    <s v="Jay Fein"/>
    <x v="2"/>
  </r>
  <r>
    <s v="Stephanie Ulpright"/>
    <x v="2"/>
  </r>
  <r>
    <s v="Nick Zandusky"/>
    <x v="2"/>
  </r>
  <r>
    <s v="Katherine Hughes"/>
    <x v="2"/>
  </r>
  <r>
    <s v="Guy Thornton"/>
    <x v="2"/>
  </r>
  <r>
    <s v="Anna Andreadi"/>
    <x v="2"/>
  </r>
  <r>
    <s v="Steve Chapman"/>
    <x v="2"/>
  </r>
  <r>
    <s v="Barry FranzÃ¶sisch"/>
    <x v="2"/>
  </r>
  <r>
    <s v="Chad Cunningham"/>
    <x v="2"/>
  </r>
  <r>
    <s v="Joe Elijah"/>
    <x v="2"/>
  </r>
  <r>
    <s v="Allen Armold"/>
    <x v="2"/>
  </r>
  <r>
    <s v="Kristen Hastings"/>
    <x v="2"/>
  </r>
  <r>
    <s v="Theone Pippenger"/>
    <x v="2"/>
  </r>
  <r>
    <s v="Steven Ward"/>
    <x v="2"/>
  </r>
  <r>
    <s v="Rob Haberlin"/>
    <x v="2"/>
  </r>
  <r>
    <s v="Richard Eichhorn"/>
    <x v="2"/>
  </r>
  <r>
    <s v="Anemone Ratner"/>
    <x v="2"/>
  </r>
  <r>
    <s v="Mark Cousins"/>
    <x v="2"/>
  </r>
  <r>
    <s v="Alice McCarthy"/>
    <x v="2"/>
  </r>
  <r>
    <s v="Ruben Ausman"/>
    <x v="2"/>
  </r>
  <r>
    <s v="Matt Collister"/>
    <x v="2"/>
  </r>
  <r>
    <s v="Andrew Allen"/>
    <x v="2"/>
  </r>
  <r>
    <s v="Dennis Kane"/>
    <x v="2"/>
  </r>
  <r>
    <s v="Linda Southworth"/>
    <x v="2"/>
  </r>
  <r>
    <s v="Jennifer Patt"/>
    <x v="2"/>
  </r>
  <r>
    <s v="Nora Paige"/>
    <x v="2"/>
  </r>
  <r>
    <s v="Neil Knudson"/>
    <x v="2"/>
  </r>
  <r>
    <s v="Joy Smith"/>
    <x v="2"/>
  </r>
  <r>
    <s v="Tracy Collins"/>
    <x v="2"/>
  </r>
  <r>
    <s v="Pauline Johnson"/>
    <x v="2"/>
  </r>
  <r>
    <s v="Kristina Nunn"/>
    <x v="2"/>
  </r>
  <r>
    <s v="Neil FranzÃ¶sisch"/>
    <x v="2"/>
  </r>
  <r>
    <s v="Ivan Liston"/>
    <x v="2"/>
  </r>
  <r>
    <s v="Darren Budd"/>
    <x v="2"/>
  </r>
  <r>
    <s v="James Galang"/>
    <x v="2"/>
  </r>
  <r>
    <s v="Larry Blacks"/>
    <x v="2"/>
  </r>
  <r>
    <s v="Ken Heidel"/>
    <x v="2"/>
  </r>
  <r>
    <s v="Meg Tillman"/>
    <x v="2"/>
  </r>
  <r>
    <s v="Katherine Murray"/>
    <x v="2"/>
  </r>
  <r>
    <s v="Steve Carroll"/>
    <x v="2"/>
  </r>
  <r>
    <s v="Khloe Miller"/>
    <x v="2"/>
  </r>
  <r>
    <s v="Pierre Wener"/>
    <x v="2"/>
  </r>
  <r>
    <s v="Ritsa Hightower"/>
    <x v="2"/>
  </r>
  <r>
    <s v="Lindsay Shagiari"/>
    <x v="2"/>
  </r>
  <r>
    <s v="Susan Gilcrest"/>
    <x v="2"/>
  </r>
  <r>
    <s v="Thomas Seio"/>
    <x v="2"/>
  </r>
  <r>
    <s v="Alex Grayson"/>
    <x v="2"/>
  </r>
  <r>
    <s v="Max Ludwig"/>
    <x v="2"/>
  </r>
  <r>
    <s v="Ralph Arnett"/>
    <x v="2"/>
  </r>
  <r>
    <s v="Vivek Gonzalez"/>
    <x v="2"/>
  </r>
  <r>
    <s v="Liz MacKendrick"/>
    <x v="2"/>
  </r>
  <r>
    <s v="Dorothy Wardle"/>
    <x v="2"/>
  </r>
  <r>
    <s v="Corinna Mitchell"/>
    <x v="2"/>
  </r>
  <r>
    <s v="Charles Crestani"/>
    <x v="2"/>
  </r>
  <r>
    <s v="Helen Andreada"/>
    <x v="2"/>
  </r>
  <r>
    <s v="Gary Hansen"/>
    <x v="2"/>
  </r>
  <r>
    <s v="Michelle Tran"/>
    <x v="2"/>
  </r>
  <r>
    <s v="Nora Preis"/>
    <x v="2"/>
  </r>
  <r>
    <s v="Deborah Brumfield"/>
    <x v="2"/>
  </r>
  <r>
    <s v="Erin Mull"/>
    <x v="2"/>
  </r>
  <r>
    <s v="Hunter Glantz"/>
    <x v="2"/>
  </r>
  <r>
    <s v="Carol Triggs"/>
    <x v="2"/>
  </r>
  <r>
    <s v="Toby Ritter"/>
    <x v="2"/>
  </r>
  <r>
    <s v="Max Engle"/>
    <x v="2"/>
  </r>
  <r>
    <s v="Craig Yedwab"/>
    <x v="2"/>
  </r>
  <r>
    <s v="John Castell"/>
    <x v="2"/>
  </r>
  <r>
    <s v="Anthony O'Donnell"/>
    <x v="2"/>
  </r>
  <r>
    <s v="Jeremy Pistek"/>
    <x v="2"/>
  </r>
  <r>
    <s v="Helen Wasserman"/>
    <x v="2"/>
  </r>
  <r>
    <s v="Greg Guthrie"/>
    <x v="2"/>
  </r>
  <r>
    <s v="Natalie Fritzler"/>
    <x v="2"/>
  </r>
  <r>
    <s v="Matt Abelman"/>
    <x v="2"/>
  </r>
  <r>
    <s v="Resi PÃ¶lking"/>
    <x v="2"/>
  </r>
  <r>
    <s v="Rachel Payne"/>
    <x v="2"/>
  </r>
  <r>
    <s v="Jay Kimmel"/>
    <x v="2"/>
  </r>
  <r>
    <s v="Dorothy Dickinson"/>
    <x v="2"/>
  </r>
  <r>
    <s v="Sheri Gordon"/>
    <x v="2"/>
  </r>
  <r>
    <s v="Deirdre Greer"/>
    <x v="2"/>
  </r>
  <r>
    <s v="Tony Chapman"/>
    <x v="2"/>
  </r>
  <r>
    <s v="Pauline Webber"/>
    <x v="2"/>
  </r>
  <r>
    <s v="Mick Hernandez"/>
    <x v="2"/>
  </r>
  <r>
    <s v="Maxwell Schwartz"/>
    <x v="2"/>
  </r>
  <r>
    <s v="Don Jones"/>
    <x v="2"/>
  </r>
  <r>
    <s v="Tom Stivers"/>
    <x v="2"/>
  </r>
  <r>
    <s v="Shirley Schmidt"/>
    <x v="2"/>
  </r>
  <r>
    <s v="Xylona Preis"/>
    <x v="2"/>
  </r>
  <r>
    <s v="Stuart Van"/>
    <x v="2"/>
  </r>
  <r>
    <s v="Sung Shariari"/>
    <x v="2"/>
  </r>
  <r>
    <s v="Elizabeth Moffitt"/>
    <x v="2"/>
  </r>
  <r>
    <s v="Chad Sievert"/>
    <x v="2"/>
  </r>
  <r>
    <s v="Tom Prescott"/>
    <x v="2"/>
  </r>
  <r>
    <s v="Meg O'Connel"/>
    <x v="2"/>
  </r>
  <r>
    <s v="Patrick O'Brill"/>
    <x v="2"/>
  </r>
  <r>
    <s v="Bruce Geld"/>
    <x v="2"/>
  </r>
  <r>
    <s v="Joseph Airdo"/>
    <x v="2"/>
  </r>
  <r>
    <s v="Laurel Beltran"/>
    <x v="2"/>
  </r>
  <r>
    <s v="Sam Zeldin"/>
    <x v="2"/>
  </r>
  <r>
    <s v="Tom Ashbrook"/>
    <x v="2"/>
  </r>
  <r>
    <s v="Toby Gnade"/>
    <x v="2"/>
  </r>
  <r>
    <s v="Becky Martin"/>
    <x v="2"/>
  </r>
  <r>
    <s v="Paul Knutson"/>
    <x v="2"/>
  </r>
  <r>
    <s v="Matt Hagelstein"/>
    <x v="2"/>
  </r>
  <r>
    <s v="Christina VanderZanden"/>
    <x v="2"/>
  </r>
  <r>
    <s v="Delfina Latchford"/>
    <x v="2"/>
  </r>
  <r>
    <s v="Ionia McGrath"/>
    <x v="2"/>
  </r>
  <r>
    <s v="Marina Lichtenstein"/>
    <x v="2"/>
  </r>
  <r>
    <s v="Jasper Cacioppo"/>
    <x v="2"/>
  </r>
  <r>
    <s v="Joseph Holt"/>
    <x v="2"/>
  </r>
  <r>
    <s v="Don Miller"/>
    <x v="2"/>
  </r>
  <r>
    <s v="Pete Takahito"/>
    <x v="2"/>
  </r>
  <r>
    <s v="Maribeth Dona"/>
    <x v="2"/>
  </r>
  <r>
    <s v="Fred Wasserman"/>
    <x v="2"/>
  </r>
  <r>
    <s v="Elpida Rittenbach"/>
    <x v="2"/>
  </r>
  <r>
    <s v="Mary O'Rourke"/>
    <x v="2"/>
  </r>
  <r>
    <s v="Karl Braun"/>
    <x v="2"/>
  </r>
  <r>
    <s v="Michael Grace"/>
    <x v="2"/>
  </r>
  <r>
    <s v="Troy Staebel"/>
    <x v="2"/>
  </r>
  <r>
    <s v="Parhena Norris"/>
    <x v="2"/>
  </r>
  <r>
    <s v="Kean Thornton"/>
    <x v="2"/>
  </r>
  <r>
    <s v="Dianna Vittorini"/>
    <x v="2"/>
  </r>
  <r>
    <s v="Kelly Collister"/>
    <x v="2"/>
  </r>
  <r>
    <s v="Giulietta Dortch"/>
    <x v="2"/>
  </r>
  <r>
    <s v="Eugene Barchas"/>
    <x v="2"/>
  </r>
  <r>
    <s v="Ryan Crowe"/>
    <x v="2"/>
  </r>
  <r>
    <s v="Alejandro Grove"/>
    <x v="2"/>
  </r>
  <r>
    <s v="Justin Deggeller"/>
    <x v="2"/>
  </r>
  <r>
    <s v="Angele Hood"/>
    <x v="2"/>
  </r>
  <r>
    <s v="Keith Dawkins"/>
    <x v="2"/>
  </r>
  <r>
    <s v="Corey Roper"/>
    <x v="2"/>
  </r>
  <r>
    <s v="Cindy Stewart"/>
    <x v="2"/>
  </r>
  <r>
    <s v="Brendan Sweed"/>
    <x v="2"/>
  </r>
  <r>
    <s v="Patrick O'Donnell"/>
    <x v="2"/>
  </r>
  <r>
    <s v="Henry MacAllister"/>
    <x v="2"/>
  </r>
  <r>
    <s v="Anne McFarland"/>
    <x v="2"/>
  </r>
  <r>
    <s v="Magdelene Morse"/>
    <x v="2"/>
  </r>
  <r>
    <s v="Jane Waco"/>
    <x v="2"/>
  </r>
  <r>
    <s v="Shirley Daniels"/>
    <x v="2"/>
  </r>
  <r>
    <s v="Frank Hawley"/>
    <x v="2"/>
  </r>
  <r>
    <s v="Greg Maxwell"/>
    <x v="2"/>
  </r>
  <r>
    <s v="Helen Abelman"/>
    <x v="2"/>
  </r>
  <r>
    <s v="Heather Jas"/>
    <x v="2"/>
  </r>
  <r>
    <s v="Amy Cox"/>
    <x v="2"/>
  </r>
  <r>
    <s v="Ann Steele"/>
    <x v="2"/>
  </r>
  <r>
    <s v="Nora Pelletier"/>
    <x v="2"/>
  </r>
  <r>
    <s v="Kelly Lampkin"/>
    <x v="2"/>
  </r>
  <r>
    <s v="Russell Applegate"/>
    <x v="2"/>
  </r>
  <r>
    <s v="Candace McMahon"/>
    <x v="2"/>
  </r>
  <r>
    <s v="Benjamin Patterson"/>
    <x v="2"/>
  </r>
  <r>
    <s v="Nicole Hansen"/>
    <x v="2"/>
  </r>
  <r>
    <s v="Katrina Edelman"/>
    <x v="2"/>
  </r>
  <r>
    <s v="Tony Sayre"/>
    <x v="2"/>
  </r>
  <r>
    <s v="Chuck Magee"/>
    <x v="2"/>
  </r>
  <r>
    <s v="Shahid Collister"/>
    <x v="2"/>
  </r>
  <r>
    <s v="Lisa Ryan"/>
    <x v="2"/>
  </r>
  <r>
    <s v="Brian Moss"/>
    <x v="2"/>
  </r>
  <r>
    <s v="Shaun Weien"/>
    <x v="2"/>
  </r>
  <r>
    <s v="Andy Reiter"/>
    <x v="2"/>
  </r>
  <r>
    <s v="Maris LaWare"/>
    <x v="2"/>
  </r>
  <r>
    <s v="Sarah Jordon"/>
    <x v="2"/>
  </r>
  <r>
    <s v="Jamie Kunitz"/>
    <x v="2"/>
  </r>
  <r>
    <s v="Tim Taslimi"/>
    <x v="2"/>
  </r>
  <r>
    <s v="Tamara Chand"/>
    <x v="2"/>
  </r>
  <r>
    <s v="Emily Burns"/>
    <x v="2"/>
  </r>
  <r>
    <s v="Tracy Poddar"/>
    <x v="2"/>
  </r>
  <r>
    <s v="Daniel Raglin"/>
    <x v="2"/>
  </r>
  <r>
    <s v="Melanie Seite"/>
    <x v="2"/>
  </r>
  <r>
    <s v="Jonathan Howell"/>
    <x v="2"/>
  </r>
  <r>
    <s v="Mick Crebagga"/>
    <x v="2"/>
  </r>
  <r>
    <s v="Bart Watters"/>
    <x v="2"/>
  </r>
  <r>
    <s v="Joel Eaton"/>
    <x v="2"/>
  </r>
  <r>
    <s v="Peter McVee"/>
    <x v="2"/>
  </r>
  <r>
    <s v="Doug Bickford"/>
    <x v="2"/>
  </r>
  <r>
    <s v="Michael Paige"/>
    <x v="2"/>
  </r>
  <r>
    <s v="Maria Zettner"/>
    <x v="2"/>
  </r>
  <r>
    <s v="Emily Phan"/>
    <x v="2"/>
  </r>
  <r>
    <s v="Noah Childs"/>
    <x v="2"/>
  </r>
  <r>
    <s v="Nathan Cano"/>
    <x v="2"/>
  </r>
  <r>
    <s v="Patrick Bzostek"/>
    <x v="2"/>
  </r>
  <r>
    <s v="Cynthia Delaney"/>
    <x v="2"/>
  </r>
  <r>
    <s v="Frank Carlisle"/>
    <x v="2"/>
  </r>
  <r>
    <s v="Luke Foster"/>
    <x v="2"/>
  </r>
  <r>
    <s v="Andrew Gjertsen"/>
    <x v="2"/>
  </r>
  <r>
    <s v="Charles McCrossin"/>
    <x v="2"/>
  </r>
  <r>
    <s v="Victoria Wilson"/>
    <x v="2"/>
  </r>
  <r>
    <s v="MaryBeth Skach"/>
    <x v="2"/>
  </r>
  <r>
    <s v="Emily Ducich"/>
    <x v="2"/>
  </r>
  <r>
    <s v="Jill Stevenson"/>
    <x v="2"/>
  </r>
  <r>
    <s v="Jeremy Ellison"/>
    <x v="2"/>
  </r>
  <r>
    <s v="Bart Pistole"/>
    <x v="2"/>
  </r>
  <r>
    <s v="Ben Wallace"/>
    <x v="2"/>
  </r>
  <r>
    <s v="Pete Armstrong"/>
    <x v="2"/>
  </r>
  <r>
    <s v="Denise Leinenbach"/>
    <x v="2"/>
  </r>
  <r>
    <s v="Victoria Brennan"/>
    <x v="2"/>
  </r>
  <r>
    <s v="Jim Mitchum"/>
    <x v="2"/>
  </r>
  <r>
    <s v="Katrina Willman"/>
    <x v="2"/>
  </r>
  <r>
    <s v="Frank Olsen"/>
    <x v="2"/>
  </r>
  <r>
    <s v="Sylvia Foulston"/>
    <x v="2"/>
  </r>
  <r>
    <s v="Natalie Webber"/>
    <x v="2"/>
  </r>
  <r>
    <s v="Lisa Hazard"/>
    <x v="2"/>
  </r>
  <r>
    <s v="Carl Weiss"/>
    <x v="2"/>
  </r>
  <r>
    <s v="Michelle Arnett"/>
    <x v="2"/>
  </r>
  <r>
    <s v="Evan Bailliet"/>
    <x v="2"/>
  </r>
  <r>
    <s v="Liz Willingham"/>
    <x v="2"/>
  </r>
  <r>
    <s v="Eudokia Martin"/>
    <x v="2"/>
  </r>
  <r>
    <s v="Penelope Sewall"/>
    <x v="2"/>
  </r>
  <r>
    <s v="Michael Chen"/>
    <x v="2"/>
  </r>
  <r>
    <s v="Claire Gute"/>
    <x v="2"/>
  </r>
  <r>
    <s v="Pamela Coakley"/>
    <x v="2"/>
  </r>
  <r>
    <s v="Debra Catini"/>
    <x v="2"/>
  </r>
  <r>
    <s v="Art Foster"/>
    <x v="2"/>
  </r>
  <r>
    <s v="Kalyca Meade"/>
    <x v="2"/>
  </r>
  <r>
    <s v="Arianne Irving"/>
    <x v="2"/>
  </r>
  <r>
    <s v="Aaron Bergman"/>
    <x v="2"/>
  </r>
  <r>
    <s v="Scott Williamson"/>
    <x v="2"/>
  </r>
  <r>
    <s v="Brenda Bowman"/>
    <x v="2"/>
  </r>
  <r>
    <s v="Berenike Kampe"/>
    <x v="2"/>
  </r>
  <r>
    <s v="Liz Pelletier"/>
    <x v="2"/>
  </r>
  <r>
    <s v="Sung Chung"/>
    <x v="2"/>
  </r>
  <r>
    <s v="Adrian Shami"/>
    <x v="2"/>
  </r>
  <r>
    <s v="Ralph Ritter"/>
    <x v="2"/>
  </r>
  <r>
    <s v="Maria Bertelson"/>
    <x v="2"/>
  </r>
  <r>
    <s v="Barry Gonzalez"/>
    <x v="2"/>
  </r>
  <r>
    <s v="Sean Braxton"/>
    <x v="2"/>
  </r>
  <r>
    <s v="Ashley Jarboe"/>
    <x v="2"/>
  </r>
  <r>
    <s v="Doug Jacobs"/>
    <x v="2"/>
  </r>
  <r>
    <s v="Janet Molinari"/>
    <x v="2"/>
  </r>
  <r>
    <s v="Allen Goldenen"/>
    <x v="2"/>
  </r>
  <r>
    <s v="David Wiener"/>
    <x v="2"/>
  </r>
  <r>
    <s v="Barbara Fisher"/>
    <x v="2"/>
  </r>
  <r>
    <s v="Matt Connell"/>
    <x v="2"/>
  </r>
  <r>
    <s v="Shirley Jackson"/>
    <x v="2"/>
  </r>
  <r>
    <s v="Frank Atkinson"/>
    <x v="2"/>
  </r>
  <r>
    <s v="Rob Dowd"/>
    <x v="2"/>
  </r>
  <r>
    <s v="Luke Schmidt"/>
    <x v="2"/>
  </r>
  <r>
    <s v="Matthew Grinstein"/>
    <x v="2"/>
  </r>
  <r>
    <s v="Nat Carroll"/>
    <x v="2"/>
  </r>
  <r>
    <s v="Alyssa Tate"/>
    <x v="2"/>
  </r>
  <r>
    <s v="Neola Schneider"/>
    <x v="2"/>
  </r>
  <r>
    <s v="Carol Darley"/>
    <x v="2"/>
  </r>
  <r>
    <s v="George Ashbrook"/>
    <x v="2"/>
  </r>
  <r>
    <s v="Sung Pak"/>
    <x v="2"/>
  </r>
  <r>
    <s v="Barry Pond"/>
    <x v="2"/>
  </r>
  <r>
    <s v="Mark Hamilton"/>
    <x v="2"/>
  </r>
  <r>
    <s v="Cassandra Brandow"/>
    <x v="2"/>
  </r>
  <r>
    <s v="Sally Knutson"/>
    <x v="2"/>
  </r>
  <r>
    <s v="Anthony Jacobs"/>
    <x v="2"/>
  </r>
  <r>
    <s v="Nick Crebassa"/>
    <x v="2"/>
  </r>
  <r>
    <s v="Bruce Stewart"/>
    <x v="2"/>
  </r>
  <r>
    <s v="Carl Ludwig"/>
    <x v="2"/>
  </r>
  <r>
    <s v="John Murray"/>
    <x v="2"/>
  </r>
  <r>
    <s v="Eva Jacobs"/>
    <x v="2"/>
  </r>
  <r>
    <s v="Fred Hopkins"/>
    <x v="2"/>
  </r>
  <r>
    <s v="Mike Kennedy"/>
    <x v="2"/>
  </r>
  <r>
    <s v="Jamie Frazer"/>
    <x v="2"/>
  </r>
  <r>
    <s v="Alan Schoenberger"/>
    <x v="2"/>
  </r>
  <r>
    <s v="Emily Grady"/>
    <x v="2"/>
  </r>
  <r>
    <s v="Gary McGarr"/>
    <x v="2"/>
  </r>
  <r>
    <s v="Ellis Ballard"/>
    <x v="2"/>
  </r>
  <r>
    <s v="Justin Ellison"/>
    <x v="2"/>
  </r>
  <r>
    <s v="Aleksandra Gannaway"/>
    <x v="2"/>
  </r>
  <r>
    <s v="Mike Pelletier"/>
    <x v="2"/>
  </r>
  <r>
    <s v="Gene Hale"/>
    <x v="2"/>
  </r>
  <r>
    <s v="Stefania Perrino"/>
    <x v="2"/>
  </r>
  <r>
    <s v="Paul MacIntyre"/>
    <x v="2"/>
  </r>
  <r>
    <s v="Sara Luxemburg"/>
    <x v="2"/>
  </r>
  <r>
    <s v="Cynthia Arntzen"/>
    <x v="2"/>
  </r>
  <r>
    <s v="Erin Creighton"/>
    <x v="2"/>
  </r>
  <r>
    <s v="Shahid Hopkins"/>
    <x v="2"/>
  </r>
  <r>
    <s v="Sandra Flanagan"/>
    <x v="2"/>
  </r>
  <r>
    <s v="Alan Haines"/>
    <x v="2"/>
  </r>
  <r>
    <s v="Andy Yotov"/>
    <x v="2"/>
  </r>
  <r>
    <s v="Stuart Calhoun"/>
    <x v="2"/>
  </r>
  <r>
    <s v="Matt Collins"/>
    <x v="2"/>
  </r>
  <r>
    <s v="Sue Ann Reed"/>
    <x v="2"/>
  </r>
  <r>
    <s v="Carol Adams"/>
    <x v="2"/>
  </r>
  <r>
    <s v="Sean Christensen"/>
    <x v="2"/>
  </r>
  <r>
    <s v="Saphhira Shifley"/>
    <x v="2"/>
  </r>
  <r>
    <s v="Laurel Workman"/>
    <x v="2"/>
  </r>
  <r>
    <s v="Trudy Schmidt"/>
    <x v="2"/>
  </r>
  <r>
    <s v="Andrew Roberts"/>
    <x v="2"/>
  </r>
  <r>
    <s v="Mitch Webber"/>
    <x v="2"/>
  </r>
  <r>
    <s v="Joni Wasserman"/>
    <x v="2"/>
  </r>
  <r>
    <s v="Kelly Andreada"/>
    <x v="2"/>
  </r>
  <r>
    <s v="Carlos Daly"/>
    <x v="2"/>
  </r>
  <r>
    <s v="Carl Jackson"/>
    <x v="2"/>
  </r>
  <r>
    <s v="Duane Benoit"/>
    <x v="2"/>
  </r>
  <r>
    <s v="Guy Armstrong"/>
    <x v="3"/>
  </r>
  <r>
    <s v="Steven Cartwright"/>
    <x v="3"/>
  </r>
  <r>
    <s v="Dennis Pardue"/>
    <x v="3"/>
  </r>
  <r>
    <s v="Janet Martin"/>
    <x v="3"/>
  </r>
  <r>
    <s v="Aaron Smayling"/>
    <x v="3"/>
  </r>
  <r>
    <s v="Trudy Schmidt"/>
    <x v="3"/>
  </r>
  <r>
    <s v="Fred Wasserman"/>
    <x v="3"/>
  </r>
  <r>
    <s v="Delfina Latchford"/>
    <x v="3"/>
  </r>
  <r>
    <s v="Martinez"/>
    <x v="3"/>
  </r>
  <r>
    <s v="Bart Watters"/>
    <x v="3"/>
  </r>
  <r>
    <s v="Thais Sissman"/>
    <x v="3"/>
  </r>
  <r>
    <s v="Jamie Frazer"/>
    <x v="3"/>
  </r>
  <r>
    <s v="Ricardo Sperren"/>
    <x v="3"/>
  </r>
  <r>
    <s v="Beth Paige"/>
    <x v="3"/>
  </r>
  <r>
    <s v="Dianna Arnett"/>
    <x v="3"/>
  </r>
  <r>
    <s v="Linda Southworth"/>
    <x v="3"/>
  </r>
  <r>
    <s v="David Bremer"/>
    <x v="3"/>
  </r>
  <r>
    <s v="Cathy Prescott"/>
    <x v="3"/>
  </r>
  <r>
    <s v="Rob Beeghly"/>
    <x v="3"/>
  </r>
  <r>
    <s v="Tracy Poddar"/>
    <x v="3"/>
  </r>
  <r>
    <s v="Brosina Hoffman"/>
    <x v="3"/>
  </r>
  <r>
    <s v="Sean O'Donnell"/>
    <x v="3"/>
  </r>
  <r>
    <s v="Hallie Redmond"/>
    <x v="3"/>
  </r>
  <r>
    <s v="Robert Waldorf"/>
    <x v="3"/>
  </r>
  <r>
    <s v="Sanjit Chand"/>
    <x v="3"/>
  </r>
  <r>
    <s v="Tonja Turnell"/>
    <x v="3"/>
  </r>
  <r>
    <s v="Tim Brockman"/>
    <x v="3"/>
  </r>
  <r>
    <s v="Jack O'Briant"/>
    <x v="3"/>
  </r>
  <r>
    <s v="Andy Reiter"/>
    <x v="3"/>
  </r>
  <r>
    <s v="Dan Lawera"/>
    <x v="3"/>
  </r>
  <r>
    <s v="Neola Schneider"/>
    <x v="3"/>
  </r>
  <r>
    <s v="Raymond Messe"/>
    <x v="3"/>
  </r>
  <r>
    <s v="Cynthia Voltz"/>
    <x v="3"/>
  </r>
  <r>
    <s v="Thea Hendricks"/>
    <x v="3"/>
  </r>
  <r>
    <s v="Tamara Manning"/>
    <x v="3"/>
  </r>
  <r>
    <s v="Jeremy Farry"/>
    <x v="3"/>
  </r>
  <r>
    <s v="Maris LaWare"/>
    <x v="3"/>
  </r>
  <r>
    <s v="Darrin Sayre"/>
    <x v="3"/>
  </r>
  <r>
    <s v="Penelope Sewall"/>
    <x v="3"/>
  </r>
  <r>
    <s v="Mick Hernandez"/>
    <x v="3"/>
  </r>
  <r>
    <s v="Bobby Elias"/>
    <x v="3"/>
  </r>
  <r>
    <s v="Alan Dominguez"/>
    <x v="3"/>
  </r>
  <r>
    <s v="Edward Hooks"/>
    <x v="3"/>
  </r>
  <r>
    <s v="Matt Connell"/>
    <x v="3"/>
  </r>
  <r>
    <s v="Chris Selesnick"/>
    <x v="3"/>
  </r>
  <r>
    <s v="Harold Pawlan"/>
    <x v="3"/>
  </r>
  <r>
    <s v="Theone Pippenger"/>
    <x v="3"/>
  </r>
  <r>
    <s v="Keith Dawkins"/>
    <x v="3"/>
  </r>
  <r>
    <s v="Carol Adams"/>
    <x v="3"/>
  </r>
  <r>
    <s v="Claire Gute"/>
    <x v="3"/>
  </r>
  <r>
    <s v="Caroline Jumper"/>
    <x v="3"/>
  </r>
  <r>
    <s v="Bradley Drucker"/>
    <x v="3"/>
  </r>
  <r>
    <s v="John Huston"/>
    <x v="3"/>
  </r>
  <r>
    <s v="Toby Gnade"/>
    <x v="3"/>
  </r>
  <r>
    <s v="Beth Thompson"/>
    <x v="3"/>
  </r>
  <r>
    <s v="Giulietta Baptist"/>
    <x v="3"/>
  </r>
  <r>
    <s v="Craig Leslie"/>
    <x v="3"/>
  </r>
  <r>
    <s v="Clytie Kelty"/>
    <x v="3"/>
  </r>
  <r>
    <s v="Vivek Gonzalez"/>
    <x v="3"/>
  </r>
  <r>
    <s v="Rob Dowd"/>
    <x v="3"/>
  </r>
  <r>
    <s v="Bryan Davis"/>
    <x v="3"/>
  </r>
  <r>
    <s v="Benjamin Venier"/>
    <x v="3"/>
  </r>
  <r>
    <s v="Michael Moore"/>
    <x v="3"/>
  </r>
  <r>
    <s v="Eugene Hildebrand"/>
    <x v="3"/>
  </r>
  <r>
    <s v="Emily Burns"/>
    <x v="3"/>
  </r>
  <r>
    <s v="Liz Preis"/>
    <x v="3"/>
  </r>
  <r>
    <s v="Sam Zeldin"/>
    <x v="3"/>
  </r>
  <r>
    <s v="Dorothy Wardle"/>
    <x v="3"/>
  </r>
  <r>
    <s v="John Lee"/>
    <x v="3"/>
  </r>
  <r>
    <s v="Bill Overfelt"/>
    <x v="3"/>
  </r>
  <r>
    <s v="Matt Collins"/>
    <x v="3"/>
  </r>
  <r>
    <s v="Shahid Collister"/>
    <x v="3"/>
  </r>
  <r>
    <s v="Ross DeVincentis"/>
    <x v="3"/>
  </r>
  <r>
    <s v="Jay Fein"/>
    <x v="3"/>
  </r>
  <r>
    <s v="Cassandra Brandow"/>
    <x v="3"/>
  </r>
  <r>
    <s v="Fred Chung"/>
    <x v="3"/>
  </r>
  <r>
    <s v="Mark Van Huff"/>
    <x v="3"/>
  </r>
  <r>
    <s v="Sibella Parks"/>
    <x v="3"/>
  </r>
  <r>
    <s v="Skye Norling"/>
    <x v="3"/>
  </r>
  <r>
    <s v="Tom Prescott"/>
    <x v="3"/>
  </r>
  <r>
    <s v="Marina Lichtenstein"/>
    <x v="3"/>
  </r>
  <r>
    <s v="Sarah Bern"/>
    <x v="3"/>
  </r>
  <r>
    <s v="Mike Pelletier"/>
    <x v="3"/>
  </r>
  <r>
    <s v="Michael Nguyen"/>
    <x v="3"/>
  </r>
  <r>
    <s v="Victoria Wilson"/>
    <x v="3"/>
  </r>
  <r>
    <s v="Cari Sayre"/>
    <x v="3"/>
  </r>
  <r>
    <s v="Don Jones"/>
    <x v="3"/>
  </r>
  <r>
    <s v="Magdelene Morse"/>
    <x v="3"/>
  </r>
  <r>
    <s v="Fred Harton"/>
    <x v="3"/>
  </r>
  <r>
    <s v="Stewart Visinsky"/>
    <x v="3"/>
  </r>
  <r>
    <s v="Jennifer Patt"/>
    <x v="3"/>
  </r>
  <r>
    <s v="Mark Hamilton"/>
    <x v="3"/>
  </r>
  <r>
    <s v="Luke Foster"/>
    <x v="3"/>
  </r>
  <r>
    <s v="Nat Gilpin"/>
    <x v="3"/>
  </r>
  <r>
    <s v="Joy Smith"/>
    <x v="3"/>
  </r>
  <r>
    <s v="Julie Kriz"/>
    <x v="3"/>
  </r>
  <r>
    <s v="Lauren Leatherbury"/>
    <x v="3"/>
  </r>
  <r>
    <s v="Gary Hansen"/>
    <x v="3"/>
  </r>
  <r>
    <s v="Cyra Reiten"/>
    <x v="3"/>
  </r>
  <r>
    <s v="Christine Kargatis"/>
    <x v="3"/>
  </r>
  <r>
    <s v="Nicole Hansen"/>
    <x v="3"/>
  </r>
  <r>
    <s v="Max Engle"/>
    <x v="3"/>
  </r>
  <r>
    <s v="Emily Ducich"/>
    <x v="3"/>
  </r>
  <r>
    <s v="Helen Wasserman"/>
    <x v="3"/>
  </r>
  <r>
    <s v="Julie Prescott"/>
    <x v="3"/>
  </r>
  <r>
    <s v="Bart Pistole"/>
    <x v="3"/>
  </r>
  <r>
    <s v="Katherine Murray"/>
    <x v="3"/>
  </r>
  <r>
    <s v="Dave Kipp"/>
    <x v="3"/>
  </r>
  <r>
    <s v="Ann Chong"/>
    <x v="3"/>
  </r>
  <r>
    <s v="Christy Brittain"/>
    <x v="3"/>
  </r>
  <r>
    <s v="Erin Smith"/>
    <x v="3"/>
  </r>
  <r>
    <s v="Michelle Huthwaite"/>
    <x v="3"/>
  </r>
  <r>
    <s v="Scot Wooten"/>
    <x v="3"/>
  </r>
  <r>
    <s v="Bradley Talbott"/>
    <x v="3"/>
  </r>
  <r>
    <s v="Becky Martin"/>
    <x v="3"/>
  </r>
  <r>
    <s v="Dave Brooks"/>
    <x v="3"/>
  </r>
  <r>
    <s v="Duane Benoit"/>
    <x v="3"/>
  </r>
  <r>
    <s v="Stewart Carmichael"/>
    <x v="3"/>
  </r>
  <r>
    <s v="Maribeth Yedwab"/>
    <x v="3"/>
  </r>
  <r>
    <s v="Dorothy Badders"/>
    <x v="3"/>
  </r>
  <r>
    <s v="Joseph Airdo"/>
    <x v="3"/>
  </r>
  <r>
    <s v="Ken Dana"/>
    <x v="3"/>
  </r>
  <r>
    <s v="Roland Schwarz"/>
    <x v="3"/>
  </r>
  <r>
    <s v="Richard Eichhorn"/>
    <x v="3"/>
  </r>
  <r>
    <s v="Emily Phan"/>
    <x v="3"/>
  </r>
  <r>
    <s v="Ed Jacobs"/>
    <x v="3"/>
  </r>
  <r>
    <s v="Bill Tyler"/>
    <x v="3"/>
  </r>
  <r>
    <s v="Sung Pak"/>
    <x v="3"/>
  </r>
  <r>
    <s v="Darren Powers"/>
    <x v="3"/>
  </r>
  <r>
    <s v="Pete Kriz"/>
    <x v="3"/>
  </r>
  <r>
    <s v="Julia Dunbar"/>
    <x v="3"/>
  </r>
  <r>
    <s v="Claudia Bergmann"/>
    <x v="3"/>
  </r>
  <r>
    <s v="Roland Murray"/>
    <x v="3"/>
  </r>
  <r>
    <s v="Ben Ferrer"/>
    <x v="3"/>
  </r>
  <r>
    <s v="Sally Hughsby"/>
    <x v="3"/>
  </r>
  <r>
    <s v="Frank Carlisle"/>
    <x v="3"/>
  </r>
  <r>
    <s v="Don Weiss"/>
    <x v="3"/>
  </r>
  <r>
    <s v="Michael Granlund"/>
    <x v="3"/>
  </r>
  <r>
    <s v="Shahid Hopkins"/>
    <x v="3"/>
  </r>
  <r>
    <s v="Victoria Brennan"/>
    <x v="3"/>
  </r>
  <r>
    <s v="Alan Hwang"/>
    <x v="3"/>
  </r>
  <r>
    <s v="Lindsay Williams"/>
    <x v="3"/>
  </r>
  <r>
    <s v="Karl Braun"/>
    <x v="3"/>
  </r>
  <r>
    <s v="Karen Seio"/>
    <x v="3"/>
  </r>
  <r>
    <s v="Candace McMahon"/>
    <x v="3"/>
  </r>
  <r>
    <s v="Maribeth Dona"/>
    <x v="3"/>
  </r>
  <r>
    <s v="Max Jones"/>
    <x v="3"/>
  </r>
  <r>
    <s v="Marc Harrigan"/>
    <x v="3"/>
  </r>
  <r>
    <s v="Paul Van Hugh"/>
    <x v="3"/>
  </r>
  <r>
    <s v="Ken Black"/>
    <x v="3"/>
  </r>
  <r>
    <s v="Bill Stewart"/>
    <x v="3"/>
  </r>
  <r>
    <s v="Karen Ferguson"/>
    <x v="3"/>
  </r>
  <r>
    <s v="Benjamin Farhat"/>
    <x v="3"/>
  </r>
  <r>
    <s v="Sanjit Engle"/>
    <x v="3"/>
  </r>
  <r>
    <s v="Stephanie Ulpright"/>
    <x v="3"/>
  </r>
  <r>
    <s v="Joy Bell-"/>
    <x v="3"/>
  </r>
  <r>
    <s v="Meg Tillman"/>
    <x v="3"/>
  </r>
  <r>
    <s v="Frank Hawley"/>
    <x v="3"/>
  </r>
  <r>
    <s v="Brad Norvell"/>
    <x v="3"/>
  </r>
  <r>
    <s v="Valerie Mitchum"/>
    <x v="3"/>
  </r>
  <r>
    <s v="Matthew Grinstein"/>
    <x v="3"/>
  </r>
  <r>
    <s v="Susan Pistek"/>
    <x v="3"/>
  </r>
  <r>
    <s v="Clay Ludtke"/>
    <x v="3"/>
  </r>
  <r>
    <s v="Denny Blanton"/>
    <x v="3"/>
  </r>
  <r>
    <s v="Philisse Overcash"/>
    <x v="3"/>
  </r>
  <r>
    <s v="Ann Steele"/>
    <x v="3"/>
  </r>
  <r>
    <s v="Carol Darley"/>
    <x v="3"/>
  </r>
  <r>
    <s v="Edward Nazzal"/>
    <x v="3"/>
  </r>
  <r>
    <s v="Scott Williamson"/>
    <x v="3"/>
  </r>
  <r>
    <s v="Thomas Thornton"/>
    <x v="3"/>
  </r>
  <r>
    <s v="Barry Pond"/>
    <x v="3"/>
  </r>
  <r>
    <s v="Jason Klamczynski"/>
    <x v="3"/>
  </r>
  <r>
    <s v="Catherine Glotzbach"/>
    <x v="3"/>
  </r>
  <r>
    <s v="Natalie DeCherney"/>
    <x v="3"/>
  </r>
  <r>
    <s v="Sue Ann Reed"/>
    <x v="3"/>
  </r>
  <r>
    <s v="George Zrebassa"/>
    <x v="3"/>
  </r>
  <r>
    <s v="Vivek Grady"/>
    <x v="3"/>
  </r>
  <r>
    <s v="Troy Blackwell"/>
    <x v="3"/>
  </r>
  <r>
    <s v="Roger Demir"/>
    <x v="3"/>
  </r>
  <r>
    <s v="Harry Greene"/>
    <x v="3"/>
  </r>
  <r>
    <s v="Pauline Webber"/>
    <x v="3"/>
  </r>
  <r>
    <s v="Ted Butterfield"/>
    <x v="3"/>
  </r>
  <r>
    <s v="Paul Stevenson"/>
    <x v="3"/>
  </r>
  <r>
    <s v="Bill Eplett"/>
    <x v="3"/>
  </r>
  <r>
    <s v="Anna Chung"/>
    <x v="3"/>
  </r>
  <r>
    <s v="Erin Creighton"/>
    <x v="3"/>
  </r>
  <r>
    <s v="Mary Zewe"/>
    <x v="3"/>
  </r>
  <r>
    <s v="Sanjit Jacobs"/>
    <x v="3"/>
  </r>
  <r>
    <s v="Raymond Buch"/>
    <x v="3"/>
  </r>
  <r>
    <s v="Brian Moss"/>
    <x v="3"/>
  </r>
  <r>
    <s v="Harold Ryan"/>
    <x v="3"/>
  </r>
  <r>
    <s v="John Castell"/>
    <x v="3"/>
  </r>
  <r>
    <s v="Christina VanderZanden"/>
    <x v="3"/>
  </r>
  <r>
    <s v="Justin Deggeller"/>
    <x v="3"/>
  </r>
  <r>
    <s v="Filia McAdams"/>
    <x v="3"/>
  </r>
  <r>
    <s v="Gary McGarr"/>
    <x v="3"/>
  </r>
  <r>
    <s v="Maria Zettner"/>
    <x v="3"/>
  </r>
  <r>
    <s v="Michelle Lonsdale"/>
    <x v="3"/>
  </r>
  <r>
    <s v="Evan Minnotte"/>
    <x v="3"/>
  </r>
  <r>
    <s v="Heather Kirkland"/>
    <x v="3"/>
  </r>
  <r>
    <s v="Alejandro Grove"/>
    <x v="3"/>
  </r>
  <r>
    <s v="Brendan Dodson"/>
    <x v="3"/>
  </r>
  <r>
    <s v="Lena Cacioppo"/>
    <x v="3"/>
  </r>
  <r>
    <s v="Cyma Kinney"/>
    <x v="3"/>
  </r>
  <r>
    <s v="Dave Hallsten"/>
    <x v="3"/>
  </r>
  <r>
    <s v="Tony Molinari"/>
    <x v="3"/>
  </r>
  <r>
    <s v="Becky Pak"/>
    <x v="3"/>
  </r>
  <r>
    <s v="Maria Etezadi"/>
    <x v="3"/>
  </r>
  <r>
    <s v="Tom Boeckenhauer"/>
    <x v="3"/>
  </r>
  <r>
    <s v="Alan Barnes"/>
    <x v="3"/>
  </r>
  <r>
    <s v="David Smith"/>
    <x v="3"/>
  </r>
  <r>
    <s v="Chad McGuire"/>
    <x v="3"/>
  </r>
  <r>
    <s v="Denny Ordway"/>
    <x v="3"/>
  </r>
  <r>
    <s v="Daniel Byrd"/>
    <x v="3"/>
  </r>
  <r>
    <s v="Emily Grady"/>
    <x v="3"/>
  </r>
  <r>
    <s v="Jim Epp"/>
    <x v="3"/>
  </r>
  <r>
    <s v="Scott Cohen"/>
    <x v="3"/>
  </r>
  <r>
    <s v="Henry Goldwyn"/>
    <x v="3"/>
  </r>
  <r>
    <s v="Adam Shillingsburg"/>
    <x v="3"/>
  </r>
  <r>
    <s v="Maribeth Schnelling"/>
    <x v="3"/>
  </r>
  <r>
    <s v="Nick Crebassa"/>
    <x v="3"/>
  </r>
  <r>
    <s v="Barry FranzÃ¶sisch"/>
    <x v="3"/>
  </r>
  <r>
    <s v="George Bell"/>
    <x v="3"/>
  </r>
  <r>
    <s v="Tony Chapman"/>
    <x v="3"/>
  </r>
  <r>
    <s v="Alyssa Tate"/>
    <x v="3"/>
  </r>
  <r>
    <s v="Amy Hunt"/>
    <x v="3"/>
  </r>
  <r>
    <s v="Katherine Hughes"/>
    <x v="3"/>
  </r>
  <r>
    <s v="Anne McFarland"/>
    <x v="3"/>
  </r>
  <r>
    <s v="Tom Ashbrook"/>
    <x v="3"/>
  </r>
  <r>
    <s v="Max Ludwig"/>
    <x v="3"/>
  </r>
  <r>
    <s v="Charles Sheldon"/>
    <x v="3"/>
  </r>
  <r>
    <s v="Christopher Schild"/>
    <x v="3"/>
  </r>
  <r>
    <s v="Denise Monton"/>
    <x v="3"/>
  </r>
  <r>
    <s v="Adrian Hane"/>
    <x v="3"/>
  </r>
  <r>
    <s v="Bryan Spruell"/>
    <x v="3"/>
  </r>
  <r>
    <s v="Ken Lonsdale"/>
    <x v="3"/>
  </r>
  <r>
    <s v="Noah Childs"/>
    <x v="3"/>
  </r>
  <r>
    <s v="Russell D'Ascenzo"/>
    <x v="3"/>
  </r>
  <r>
    <s v="Mitch Gastineau"/>
    <x v="3"/>
  </r>
  <r>
    <s v="Dennis Bolton"/>
    <x v="3"/>
  </r>
  <r>
    <s v="Bruce Stewart"/>
    <x v="3"/>
  </r>
  <r>
    <s v="Luke Weiss"/>
    <x v="3"/>
  </r>
  <r>
    <s v="Sample Company A"/>
    <x v="3"/>
  </r>
  <r>
    <s v="Jack Lebron"/>
    <x v="3"/>
  </r>
  <r>
    <s v="Henry MacAllister"/>
    <x v="3"/>
  </r>
  <r>
    <s v="Bill Donatelli"/>
    <x v="3"/>
  </r>
  <r>
    <s v="Rob Williams"/>
    <x v="3"/>
  </r>
  <r>
    <s v="Yana Sorensen"/>
    <x v="3"/>
  </r>
  <r>
    <s v="Dave Poirier"/>
    <x v="3"/>
  </r>
  <r>
    <s v="Christine Sundaresam"/>
    <x v="3"/>
  </r>
  <r>
    <s v="Harry Marie"/>
    <x v="3"/>
  </r>
  <r>
    <s v="Andrew Allen"/>
    <x v="3"/>
  </r>
  <r>
    <s v="Adam Hart"/>
    <x v="3"/>
  </r>
  <r>
    <s v="Noel Staavos"/>
    <x v="3"/>
  </r>
  <r>
    <s v="Shirley Daniels"/>
    <x v="3"/>
  </r>
  <r>
    <s v="Paul Lucas"/>
    <x v="3"/>
  </r>
  <r>
    <s v="Roy FranzÃ¶sisch"/>
    <x v="3"/>
  </r>
  <r>
    <s v="Joel Eaton"/>
    <x v="3"/>
  </r>
  <r>
    <s v="Edward Becker"/>
    <x v="3"/>
  </r>
  <r>
    <s v="Jesus Ocampo"/>
    <x v="3"/>
  </r>
  <r>
    <s v="Sharelle Roach"/>
    <x v="3"/>
  </r>
  <r>
    <s v="Bruce Geld"/>
    <x v="3"/>
  </r>
  <r>
    <s v="Pamela Stobb"/>
    <x v="3"/>
  </r>
  <r>
    <s v="Brendan Murry"/>
    <x v="3"/>
  </r>
  <r>
    <s v="Sarah Jordon"/>
    <x v="3"/>
  </r>
  <r>
    <s v="Brad Eason"/>
    <x v="3"/>
  </r>
  <r>
    <s v="Shirley Jackson"/>
    <x v="3"/>
  </r>
  <r>
    <s v="Resi PÃ¶lking"/>
    <x v="3"/>
  </r>
  <r>
    <s v="Joni Wasserman"/>
    <x v="3"/>
  </r>
  <r>
    <s v="Katherine Nockton"/>
    <x v="3"/>
  </r>
  <r>
    <s v="Meg O'Connel"/>
    <x v="3"/>
  </r>
  <r>
    <s v="Bruce Degenhardt"/>
    <x v="3"/>
  </r>
  <r>
    <s v="Sally Knutson"/>
    <x v="3"/>
  </r>
  <r>
    <s v="Sean Christensen"/>
    <x v="3"/>
  </r>
  <r>
    <s v="Tamara Dahlen"/>
    <x v="3"/>
  </r>
  <r>
    <s v="Greg Guthrie"/>
    <x v="3"/>
  </r>
  <r>
    <s v="Parhena Norris"/>
    <x v="3"/>
  </r>
  <r>
    <s v="Damala Kotsonis"/>
    <x v="3"/>
  </r>
  <r>
    <s v="Christine Phan"/>
    <x v="3"/>
  </r>
  <r>
    <s v="Susan Vittorini"/>
    <x v="3"/>
  </r>
  <r>
    <s v="Art Ferguson"/>
    <x v="3"/>
  </r>
  <r>
    <s v="Mick Brown"/>
    <x v="3"/>
  </r>
  <r>
    <s v="Larry Hughes"/>
    <x v="3"/>
  </r>
  <r>
    <s v="Speros Goranitis"/>
    <x v="3"/>
  </r>
  <r>
    <s v="Rob Lucas"/>
    <x v="3"/>
  </r>
  <r>
    <s v="Larry Blacks"/>
    <x v="3"/>
  </r>
  <r>
    <s v="Arthur Prichep"/>
    <x v="3"/>
  </r>
  <r>
    <s v="Janet Lee"/>
    <x v="3"/>
  </r>
  <r>
    <s v="Kean Thornton"/>
    <x v="3"/>
  </r>
  <r>
    <s v="Dionis Lloyd"/>
    <x v="3"/>
  </r>
  <r>
    <s v="Quincy Jones"/>
    <x v="3"/>
  </r>
  <r>
    <s v="Saphhira Shifley"/>
    <x v="3"/>
  </r>
  <r>
    <s v="Neoma Murray"/>
    <x v="3"/>
  </r>
  <r>
    <s v="Erin Ashbrook"/>
    <x v="3"/>
  </r>
  <r>
    <s v="Nick Zandusky"/>
    <x v="3"/>
  </r>
  <r>
    <s v="Arthur Gainer"/>
    <x v="3"/>
  </r>
  <r>
    <s v="Elizabeth Moffitt"/>
    <x v="3"/>
  </r>
  <r>
    <s v="Dorothy Dickinson"/>
    <x v="3"/>
  </r>
  <r>
    <s v="Darren Budd"/>
    <x v="3"/>
  </r>
  <r>
    <s v="Mike Kennedy"/>
    <x v="3"/>
  </r>
  <r>
    <s v="Muhammed Yedwab"/>
    <x v="3"/>
  </r>
  <r>
    <s v="Chris Cortes"/>
    <x v="3"/>
  </r>
  <r>
    <s v="Darren Koutras"/>
    <x v="3"/>
  </r>
  <r>
    <s v="Lisa Hazard"/>
    <x v="3"/>
  </r>
  <r>
    <s v="Arianne Irving"/>
    <x v="3"/>
  </r>
  <r>
    <s v="Toby Carlisle"/>
    <x v="3"/>
  </r>
  <r>
    <s v="Gary Zandusky"/>
    <x v="3"/>
  </r>
  <r>
    <s v="Doug Bickford"/>
    <x v="3"/>
  </r>
  <r>
    <s v="Rick Wilson"/>
    <x v="3"/>
  </r>
  <r>
    <s v="Adam Bellavance"/>
    <x v="3"/>
  </r>
  <r>
    <s v="Carlos Soltero"/>
    <x v="3"/>
  </r>
  <r>
    <s v="Michelle Moray"/>
    <x v="3"/>
  </r>
  <r>
    <s v="Ed Braxton"/>
    <x v="3"/>
  </r>
  <r>
    <s v="Laurel Beltran"/>
    <x v="3"/>
  </r>
  <r>
    <s v="Liz Pelletier"/>
    <x v="3"/>
  </r>
  <r>
    <s v="Todd Sumrall"/>
    <x v="3"/>
  </r>
  <r>
    <s v="Zuschuss Carroll"/>
    <x v="3"/>
  </r>
  <r>
    <s v="Alyssa Crouse"/>
    <x v="3"/>
  </r>
  <r>
    <s v="Chloris Kastensmidt"/>
    <x v="3"/>
  </r>
  <r>
    <s v="Jonathan Howell"/>
    <x v="3"/>
  </r>
  <r>
    <s v="Cynthia Arntzen"/>
    <x v="3"/>
  </r>
  <r>
    <s v="Ross Baird"/>
    <x v="3"/>
  </r>
  <r>
    <s v="Carl Weiss"/>
    <x v="3"/>
  </r>
  <r>
    <s v="Pauline Johnson"/>
    <x v="3"/>
  </r>
  <r>
    <s v="Eva Jacobs"/>
    <x v="3"/>
  </r>
  <r>
    <s v="Greg Tran"/>
    <x v="3"/>
  </r>
  <r>
    <s v="Anthony Jacobs"/>
    <x v="3"/>
  </r>
  <r>
    <s v="Jason Fortune-"/>
    <x v="3"/>
  </r>
  <r>
    <s v="Joy Daniels"/>
    <x v="3"/>
  </r>
  <r>
    <s v="John Murray"/>
    <x v="3"/>
  </r>
  <r>
    <s v="Toby Swindell"/>
    <x v="3"/>
  </r>
  <r>
    <s v="Susan Gilcrest"/>
    <x v="3"/>
  </r>
  <r>
    <s v="Todd Boyes"/>
    <x v="3"/>
  </r>
  <r>
    <s v="Adrian Barton"/>
    <x v="3"/>
  </r>
  <r>
    <s v="Paul Prost"/>
    <x v="3"/>
  </r>
  <r>
    <s v="Annie Thurman"/>
    <x v="3"/>
  </r>
  <r>
    <s v="Becky Castell"/>
    <x v="3"/>
  </r>
  <r>
    <s v="Patrick Jones"/>
    <x v="3"/>
  </r>
  <r>
    <s v="Neil Ducich"/>
    <x v="3"/>
  </r>
  <r>
    <s v="Nat Carroll"/>
    <x v="3"/>
  </r>
  <r>
    <s v="Chuck Clark"/>
    <x v="3"/>
  </r>
  <r>
    <s v="Allen Rosenblatt"/>
    <x v="3"/>
  </r>
  <r>
    <s v="Rick Duston"/>
    <x v="3"/>
  </r>
  <r>
    <s v="John Grady"/>
    <x v="3"/>
  </r>
  <r>
    <s v="Laurel Elliston"/>
    <x v="3"/>
  </r>
  <r>
    <s v="Eric Hoffmann"/>
    <x v="3"/>
  </r>
  <r>
    <s v="Vicky Freymann"/>
    <x v="3"/>
  </r>
  <r>
    <s v="Vivek Sundaresam"/>
    <x v="3"/>
  </r>
  <r>
    <s v="Trudy Brown"/>
    <x v="3"/>
  </r>
  <r>
    <s v="Jeremy Lonsdale"/>
    <x v="3"/>
  </r>
  <r>
    <s v="Kimberly Carter"/>
    <x v="3"/>
  </r>
  <r>
    <s v="Bryan Mills"/>
    <x v="3"/>
  </r>
  <r>
    <s v="Carlos Daly"/>
    <x v="3"/>
  </r>
  <r>
    <s v="Dianna Wilson"/>
    <x v="3"/>
  </r>
  <r>
    <s v="Roy Phan"/>
    <x v="3"/>
  </r>
  <r>
    <s v="James Galang"/>
    <x v="3"/>
  </r>
  <r>
    <s v="Duane Noonan"/>
    <x v="3"/>
  </r>
  <r>
    <s v="Patrick O'Donnell"/>
    <x v="3"/>
  </r>
  <r>
    <s v="Lori Olson"/>
    <x v="3"/>
  </r>
  <r>
    <s v="Tiffany House"/>
    <x v="3"/>
  </r>
  <r>
    <s v="Michael Dominguez"/>
    <x v="3"/>
  </r>
  <r>
    <s v="Alice McCarthy"/>
    <x v="3"/>
  </r>
  <r>
    <s v="Guy Thornton"/>
    <x v="3"/>
  </r>
  <r>
    <s v="Henia Zydlo"/>
    <x v="3"/>
  </r>
  <r>
    <s v="Suzanne McNair"/>
    <x v="3"/>
  </r>
  <r>
    <s v="Kelly Andreada"/>
    <x v="3"/>
  </r>
  <r>
    <s v="Barry Blumstein"/>
    <x v="3"/>
  </r>
  <r>
    <s v="Barry Weirich"/>
    <x v="3"/>
  </r>
  <r>
    <s v="Alejandro Ballentine"/>
    <x v="3"/>
  </r>
  <r>
    <s v="Cari Schnelling"/>
    <x v="3"/>
  </r>
  <r>
    <s v="John Dryer"/>
    <x v="3"/>
  </r>
  <r>
    <s v="Giulietta Dortch"/>
    <x v="3"/>
  </r>
  <r>
    <s v="Nick Radford"/>
    <x v="3"/>
  </r>
  <r>
    <s v="Dan Campbell"/>
    <x v="3"/>
  </r>
  <r>
    <s v="Carol Triggs"/>
    <x v="3"/>
  </r>
  <r>
    <s v="Erica Hernandez"/>
    <x v="3"/>
  </r>
  <r>
    <s v="Erin Mull"/>
    <x v="3"/>
  </r>
  <r>
    <s v="Dorris liebe"/>
    <x v="3"/>
  </r>
  <r>
    <s v="Liz Willingham"/>
    <x v="3"/>
  </r>
  <r>
    <s v="Ben Wallace"/>
    <x v="3"/>
  </r>
  <r>
    <s v="Maureen Gastineau"/>
    <x v="3"/>
  </r>
  <r>
    <s v="Frank Olsen"/>
    <x v="3"/>
  </r>
  <r>
    <s v="Anna Gayman"/>
    <x v="3"/>
  </r>
  <r>
    <s v="Michelle Tran"/>
    <x v="3"/>
  </r>
  <r>
    <s v="Carl Ludwig"/>
    <x v="3"/>
  </r>
  <r>
    <s v="Linda Cazamias"/>
    <x v="3"/>
  </r>
  <r>
    <s v="Muhammed MacIntyre"/>
    <x v="3"/>
  </r>
  <r>
    <s v="Dianna Vittorini"/>
    <x v="3"/>
  </r>
  <r>
    <s v="Kristina Nunn"/>
    <x v="3"/>
  </r>
  <r>
    <s v="Zuschuss Donatelli"/>
    <x v="3"/>
  </r>
  <r>
    <s v="Lena Creighton"/>
    <x v="3"/>
  </r>
  <r>
    <s v="Hunter Glantz"/>
    <x v="3"/>
  </r>
  <r>
    <s v="Sarah Brown"/>
    <x v="3"/>
  </r>
  <r>
    <s v="Troy Staebel"/>
    <x v="3"/>
  </r>
  <r>
    <s v="Paul Gonzalez"/>
    <x v="3"/>
  </r>
  <r>
    <s v="Tamara Willingham"/>
    <x v="3"/>
  </r>
  <r>
    <s v="Clay Cheatham"/>
    <x v="3"/>
  </r>
  <r>
    <s v="Stuart Calhoun"/>
    <x v="3"/>
  </r>
  <r>
    <s v="Dean percer"/>
    <x v="3"/>
  </r>
  <r>
    <s v="Kristen Hastings"/>
    <x v="3"/>
  </r>
  <r>
    <s v="Thomas Seio"/>
    <x v="3"/>
  </r>
  <r>
    <s v="Joe Elijah"/>
    <x v="3"/>
  </r>
  <r>
    <s v="Michael Kennedy"/>
    <x v="3"/>
  </r>
  <r>
    <s v="Katherine Ducich"/>
    <x v="3"/>
  </r>
  <r>
    <s v="Philip Fox"/>
    <x v="3"/>
  </r>
  <r>
    <s v="Luke Schmidt"/>
    <x v="3"/>
  </r>
  <r>
    <s v="Ryan Akin"/>
    <x v="3"/>
  </r>
  <r>
    <s v="Steven Roelle"/>
    <x v="3"/>
  </r>
  <r>
    <s v="Craig Carreira"/>
    <x v="3"/>
  </r>
  <r>
    <s v="Neil Knudson"/>
    <x v="3"/>
  </r>
  <r>
    <s v="Katharine Harms"/>
    <x v="3"/>
  </r>
  <r>
    <s v="Deborah Brumfield"/>
    <x v="3"/>
  </r>
  <r>
    <s v="Jim Sink"/>
    <x v="3"/>
  </r>
  <r>
    <s v="George Ashbrook"/>
    <x v="3"/>
  </r>
  <r>
    <s v="Toby Ritter"/>
    <x v="3"/>
  </r>
  <r>
    <s v="Jeremy Ellison"/>
    <x v="3"/>
  </r>
  <r>
    <s v="Shui Tom"/>
    <x v="3"/>
  </r>
  <r>
    <s v="Alan Shonely"/>
    <x v="3"/>
  </r>
  <r>
    <s v="Joe Kamberova"/>
    <x v="3"/>
  </r>
  <r>
    <s v="Rick Bensley"/>
    <x v="3"/>
  </r>
  <r>
    <s v="Maria Bertelson"/>
    <x v="3"/>
  </r>
  <r>
    <s v="Matthew Clasen"/>
    <x v="3"/>
  </r>
  <r>
    <s v="Sonia Cooley"/>
    <x v="3"/>
  </r>
  <r>
    <s v="Fred McMath"/>
    <x v="3"/>
  </r>
  <r>
    <s v="Olvera Toch"/>
    <x v="3"/>
  </r>
  <r>
    <s v="Tracy Hopkins"/>
    <x v="3"/>
  </r>
  <r>
    <s v="Nora Preis"/>
    <x v="3"/>
  </r>
  <r>
    <s v="Dan Reichenbach"/>
    <x v="3"/>
  </r>
  <r>
    <s v="Michelle Arnett"/>
    <x v="3"/>
  </r>
  <r>
    <s v="Dean Katz"/>
    <x v="3"/>
  </r>
  <r>
    <s v="Alex Avila"/>
    <x v="3"/>
  </r>
  <r>
    <s v="William Brown"/>
    <x v="3"/>
  </r>
  <r>
    <s v="Victor Preis"/>
    <x v="3"/>
  </r>
  <r>
    <s v="Sheri Gordon"/>
    <x v="3"/>
  </r>
  <r>
    <s v="Ralph Arnett"/>
    <x v="3"/>
  </r>
  <r>
    <s v="Darrin Van Huff"/>
    <x v="3"/>
  </r>
  <r>
    <s v="Chuck Sachs"/>
    <x v="3"/>
  </r>
  <r>
    <s v="Christina Anderson"/>
    <x v="3"/>
  </r>
  <r>
    <s v="Jim Kriz"/>
    <x v="3"/>
  </r>
  <r>
    <s v="Frank Merwin"/>
    <x v="3"/>
  </r>
  <r>
    <s v="Michael Oakman"/>
    <x v="3"/>
  </r>
  <r>
    <s v="Tony Sayre"/>
    <x v="3"/>
  </r>
  <r>
    <s v="Fred Hopkins"/>
    <x v="3"/>
  </r>
  <r>
    <s v="Angele Hood"/>
    <x v="3"/>
  </r>
  <r>
    <s v="Patrick O'Brill"/>
    <x v="3"/>
  </r>
  <r>
    <s v="Michael Paige"/>
    <x v="3"/>
  </r>
  <r>
    <s v="Jenna Caffey"/>
    <x v="3"/>
  </r>
  <r>
    <s v="Harold Engle"/>
    <x v="3"/>
  </r>
  <r>
    <s v="Mathew Reese"/>
    <x v="3"/>
  </r>
  <r>
    <s v="Sean Miller"/>
    <x v="3"/>
  </r>
  <r>
    <s v="Frank Gastineau"/>
    <x v="3"/>
  </r>
  <r>
    <s v="Beth Fritzler"/>
    <x v="3"/>
  </r>
  <r>
    <s v="Natalie Webber"/>
    <x v="3"/>
  </r>
  <r>
    <s v="Karen Bern"/>
    <x v="3"/>
  </r>
  <r>
    <s v="Tom Stivers"/>
    <x v="3"/>
  </r>
  <r>
    <s v="Rick Reed"/>
    <x v="3"/>
  </r>
  <r>
    <s v="Sandra Flanagan"/>
    <x v="3"/>
  </r>
  <r>
    <s v="Natalie Fritzler"/>
    <x v="3"/>
  </r>
  <r>
    <s v="Shaun Weien"/>
    <x v="3"/>
  </r>
  <r>
    <s v="Anthony Johnson"/>
    <x v="3"/>
  </r>
  <r>
    <s v="Seth Vernon"/>
    <x v="3"/>
  </r>
  <r>
    <s v="Anthony Rawles"/>
    <x v="3"/>
  </r>
  <r>
    <s v="Sarah Foster"/>
    <x v="3"/>
  </r>
  <r>
    <s v="Sean Wendt"/>
    <x v="3"/>
  </r>
  <r>
    <s v="Gene McClure"/>
    <x v="3"/>
  </r>
  <r>
    <s v="Kelly Lampkin"/>
    <x v="3"/>
  </r>
  <r>
    <s v="Pete Takahito"/>
    <x v="3"/>
  </r>
  <r>
    <s v="Eric Barreto"/>
    <x v="3"/>
  </r>
  <r>
    <s v="Lena Hernandez"/>
    <x v="3"/>
  </r>
  <r>
    <s v="Lisa Ryan"/>
    <x v="3"/>
  </r>
  <r>
    <s v="Nathan Mautz"/>
    <x v="3"/>
  </r>
  <r>
    <s v="Tracy Blumstein"/>
    <x v="3"/>
  </r>
  <r>
    <s v="Annie Zypern"/>
    <x v="3"/>
  </r>
  <r>
    <s v="Mike Gockenbach"/>
    <x v="3"/>
  </r>
  <r>
    <s v="Dennis Kane"/>
    <x v="3"/>
  </r>
  <r>
    <s v="Matt Hagelstein"/>
    <x v="3"/>
  </r>
  <r>
    <s v="Giulietta Weimer"/>
    <x v="3"/>
  </r>
  <r>
    <s v="Laura Armstrong"/>
    <x v="3"/>
  </r>
  <r>
    <s v="Roland Fjeld"/>
    <x v="3"/>
  </r>
  <r>
    <s v="Katrina Willman"/>
    <x v="3"/>
  </r>
  <r>
    <s v="Greg Matthias"/>
    <x v="3"/>
  </r>
  <r>
    <s v="Eric Murdock"/>
    <x v="3"/>
  </r>
  <r>
    <s v="Charlotte Melton"/>
    <x v="3"/>
  </r>
  <r>
    <s v="Scot Coram"/>
    <x v="3"/>
  </r>
  <r>
    <s v="Gary Mitchum"/>
    <x v="3"/>
  </r>
  <r>
    <s v="Jay Kimmel"/>
    <x v="3"/>
  </r>
  <r>
    <s v="Cindy Chapman"/>
    <x v="3"/>
  </r>
  <r>
    <s v="Ivan Liston"/>
    <x v="3"/>
  </r>
  <r>
    <s v="Steve Chapman"/>
    <x v="3"/>
  </r>
  <r>
    <s v="Sylvia Foulston"/>
    <x v="3"/>
  </r>
  <r>
    <s v="Daniel Raglin"/>
    <x v="3"/>
  </r>
  <r>
    <s v="Rick Hansen"/>
    <x v="3"/>
  </r>
  <r>
    <s v="Justin MacKendrick"/>
    <x v="3"/>
  </r>
  <r>
    <s v="Brenda Bowman"/>
    <x v="3"/>
  </r>
  <r>
    <s v="Dana Kaydos"/>
    <x v="3"/>
  </r>
  <r>
    <s v="Russell Applegate"/>
    <x v="3"/>
  </r>
  <r>
    <s v="Nicole Fjeld"/>
    <x v="3"/>
  </r>
  <r>
    <s v="Charles McCrossin"/>
    <x v="3"/>
  </r>
  <r>
    <s v="Jennifer Braxton"/>
    <x v="3"/>
  </r>
  <r>
    <s v="Doug O'Connell"/>
    <x v="3"/>
  </r>
  <r>
    <s v="Eleni McCrary"/>
    <x v="3"/>
  </r>
  <r>
    <s v="Patrick Ryan"/>
    <x v="3"/>
  </r>
  <r>
    <s v="Sung Chung"/>
    <x v="3"/>
  </r>
  <r>
    <s v="Alan Haines"/>
    <x v="3"/>
  </r>
  <r>
    <s v="Darrin Martin"/>
    <x v="3"/>
  </r>
  <r>
    <s v="Steve Carroll"/>
    <x v="3"/>
  </r>
  <r>
    <s v="Heather Jas"/>
    <x v="3"/>
  </r>
  <r>
    <s v="Stefania Perrino"/>
    <x v="3"/>
  </r>
  <r>
    <s v="Ben Peterman"/>
    <x v="3"/>
  </r>
  <r>
    <s v="Ashley Jarboe"/>
    <x v="3"/>
  </r>
  <r>
    <s v="Arthur Wiediger"/>
    <x v="3"/>
  </r>
  <r>
    <s v="Barry Gonzalez"/>
    <x v="3"/>
  </r>
  <r>
    <s v="Maxwell Schwartz"/>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DBC483-555F-4369-AA7E-1E02D385C2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1">
    <pivotField showAll="0"/>
    <pivotField showAll="0"/>
    <pivotField showAll="0"/>
    <pivotField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Items count="1">
    <i/>
  </rowItems>
  <colItems count="1">
    <i/>
  </colItems>
  <dataFields count="1">
    <dataField name="Sum of Sales" fld="6"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510117-6AF8-4355-9DAD-2C912FF7B6B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5:V56" firstHeaderRow="1" firstDataRow="1" firstDataCol="1"/>
  <pivotFields count="11">
    <pivotField showAll="0"/>
    <pivotField showAll="0"/>
    <pivotField axis="axisRow" showAll="0">
      <items count="51">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x="49"/>
        <item t="default"/>
      </items>
    </pivotField>
    <pivotField showAll="0">
      <items count="5">
        <item x="1"/>
        <item x="0"/>
        <item x="2"/>
        <item x="3"/>
        <item t="default"/>
      </items>
    </pivotField>
    <pivotField showAll="0"/>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2"/>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Sales" fld="6" baseField="0" baseItem="0"/>
  </dataFields>
  <formats count="1">
    <format dxfId="1">
      <pivotArea collapsedLevelsAreSubtotals="1" fieldPosition="0">
        <references count="1">
          <reference field="2" count="49">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44FA75-6295-45F8-99E2-D4BDBDB215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1">
    <pivotField showAll="0"/>
    <pivotField showAll="0"/>
    <pivotField showAll="0"/>
    <pivotField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Items count="1">
    <i/>
  </rowItems>
  <colItems count="1">
    <i/>
  </colItems>
  <dataFields count="1">
    <dataField name="Sum of Profit" fld="8"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08612D0-74C9-4FAB-BB8C-690F0063B22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A4:AB10" firstHeaderRow="1" firstDataRow="1" firstDataCol="1"/>
  <pivotFields count="11">
    <pivotField showAll="0"/>
    <pivotField axis="axisRow" showAll="0" measureFilter="1">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showAll="0"/>
    <pivotField showAll="0"/>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1"/>
  </rowFields>
  <rowItems count="6">
    <i>
      <x v="6"/>
    </i>
    <i>
      <x v="495"/>
    </i>
    <i>
      <x v="619"/>
    </i>
    <i>
      <x v="668"/>
    </i>
    <i>
      <x v="727"/>
    </i>
    <i t="grand">
      <x/>
    </i>
  </rowItems>
  <colItems count="1">
    <i/>
  </colItems>
  <dataFields count="1">
    <dataField name="Sum of Profit" fld="8" baseField="0" baseItem="0" numFmtId="164"/>
  </dataFields>
  <formats count="1">
    <format dxfId="3">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FAE66D-FA35-4222-BE8F-D6F8BAFF4E2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D4:AE18" firstHeaderRow="1" firstDataRow="1" firstDataCol="1"/>
  <pivotFields count="11">
    <pivotField showAll="0"/>
    <pivotField showAll="0">
      <items count="791">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x="789"/>
        <item t="default"/>
      </items>
    </pivotField>
    <pivotField showAll="0"/>
    <pivotField showAll="0">
      <items count="5">
        <item x="1"/>
        <item x="0"/>
        <item x="2"/>
        <item x="3"/>
        <item t="default"/>
      </items>
    </pivotField>
    <pivotField showAll="0"/>
    <pivotField showAll="0"/>
    <pivotField dataField="1" showAll="0"/>
    <pivotField showAll="0"/>
    <pivotField showAll="0">
      <items count="4620">
        <item x="3825"/>
        <item x="714"/>
        <item x="4226"/>
        <item x="2780"/>
        <item x="1647"/>
        <item x="3058"/>
        <item x="200"/>
        <item x="2318"/>
        <item x="1264"/>
        <item x="893"/>
        <item x="4558"/>
        <item x="1807"/>
        <item x="4018"/>
        <item x="2722"/>
        <item x="2541"/>
        <item x="1610"/>
        <item x="981"/>
        <item x="3630"/>
        <item x="2347"/>
        <item x="3094"/>
        <item x="2818"/>
        <item x="2957"/>
        <item x="3483"/>
        <item x="1186"/>
        <item x="3592"/>
        <item x="1569"/>
        <item x="3004"/>
        <item x="4567"/>
        <item x="917"/>
        <item x="872"/>
        <item x="186"/>
        <item x="2899"/>
        <item x="891"/>
        <item x="2041"/>
        <item x="1855"/>
        <item x="978"/>
        <item x="2646"/>
        <item x="1715"/>
        <item x="3644"/>
        <item x="2840"/>
        <item x="1591"/>
        <item x="138"/>
        <item x="4273"/>
        <item x="897"/>
        <item x="4497"/>
        <item x="185"/>
        <item x="1616"/>
        <item x="4066"/>
        <item x="4069"/>
        <item x="330"/>
        <item x="986"/>
        <item x="1996"/>
        <item x="3982"/>
        <item x="2816"/>
        <item x="2444"/>
        <item x="3378"/>
        <item x="4486"/>
        <item x="2056"/>
        <item x="3971"/>
        <item x="1628"/>
        <item x="4304"/>
        <item x="3223"/>
        <item x="2458"/>
        <item x="4464"/>
        <item x="520"/>
        <item x="3425"/>
        <item x="1055"/>
        <item x="2709"/>
        <item x="849"/>
        <item x="1472"/>
        <item x="427"/>
        <item x="3941"/>
        <item x="42"/>
        <item x="4139"/>
        <item x="3328"/>
        <item x="3519"/>
        <item x="1637"/>
        <item x="3938"/>
        <item x="3824"/>
        <item x="3852"/>
        <item x="3522"/>
        <item x="4122"/>
        <item x="1215"/>
        <item x="4602"/>
        <item x="4450"/>
        <item x="3721"/>
        <item x="2143"/>
        <item x="4077"/>
        <item x="2948"/>
        <item x="3954"/>
        <item x="4532"/>
        <item x="3464"/>
        <item x="1887"/>
        <item x="3404"/>
        <item x="979"/>
        <item x="3712"/>
        <item x="3607"/>
        <item x="1274"/>
        <item x="1370"/>
        <item x="4199"/>
        <item x="2758"/>
        <item x="2635"/>
        <item x="1608"/>
        <item x="4238"/>
        <item x="3027"/>
        <item x="3671"/>
        <item x="4017"/>
        <item x="798"/>
        <item x="4168"/>
        <item x="2933"/>
        <item x="3610"/>
        <item x="2110"/>
        <item x="3956"/>
        <item x="3244"/>
        <item x="410"/>
        <item x="3273"/>
        <item x="1800"/>
        <item x="1366"/>
        <item x="527"/>
        <item x="2195"/>
        <item x="2135"/>
        <item x="3948"/>
        <item x="1404"/>
        <item x="136"/>
        <item x="3785"/>
        <item x="3894"/>
        <item x="2964"/>
        <item x="1594"/>
        <item x="2109"/>
        <item x="1917"/>
        <item x="3640"/>
        <item x="2149"/>
        <item x="4001"/>
        <item x="2464"/>
        <item x="4085"/>
        <item x="484"/>
        <item x="2007"/>
        <item x="2681"/>
        <item x="4113"/>
        <item x="4452"/>
        <item x="2146"/>
        <item x="1324"/>
        <item x="4111"/>
        <item x="3436"/>
        <item x="422"/>
        <item x="576"/>
        <item x="122"/>
        <item x="1445"/>
        <item x="4008"/>
        <item x="3946"/>
        <item x="434"/>
        <item x="3037"/>
        <item x="3565"/>
        <item x="1388"/>
        <item x="3503"/>
        <item x="464"/>
        <item x="2207"/>
        <item x="3120"/>
        <item x="4509"/>
        <item x="1952"/>
        <item x="3051"/>
        <item x="2676"/>
        <item x="731"/>
        <item x="2490"/>
        <item x="3256"/>
        <item x="3724"/>
        <item x="4265"/>
        <item x="3538"/>
        <item x="2671"/>
        <item x="3870"/>
        <item x="3409"/>
        <item x="2170"/>
        <item x="4285"/>
        <item x="250"/>
        <item x="3646"/>
        <item x="2250"/>
        <item x="3475"/>
        <item x="3892"/>
        <item x="1145"/>
        <item x="4477"/>
        <item x="2793"/>
        <item x="3073"/>
        <item x="2755"/>
        <item x="3010"/>
        <item x="249"/>
        <item x="3108"/>
        <item x="669"/>
        <item x="3001"/>
        <item x="3869"/>
        <item x="3916"/>
        <item x="3608"/>
        <item x="2217"/>
        <item x="2273"/>
        <item x="349"/>
        <item x="3140"/>
        <item x="4143"/>
        <item x="944"/>
        <item x="424"/>
        <item x="2955"/>
        <item x="564"/>
        <item x="3092"/>
        <item x="2126"/>
        <item x="1662"/>
        <item x="4313"/>
        <item x="3142"/>
        <item x="2650"/>
        <item x="1152"/>
        <item x="187"/>
        <item x="2694"/>
        <item x="1379"/>
        <item x="2089"/>
        <item x="861"/>
        <item x="3226"/>
        <item x="1447"/>
        <item x="2275"/>
        <item x="3832"/>
        <item x="3259"/>
        <item x="4290"/>
        <item x="2218"/>
        <item x="3262"/>
        <item x="2998"/>
        <item x="2611"/>
        <item x="1793"/>
        <item x="3618"/>
        <item x="3830"/>
        <item x="4369"/>
        <item x="3340"/>
        <item x="1870"/>
        <item x="3843"/>
        <item x="2154"/>
        <item x="4471"/>
        <item x="1827"/>
        <item x="2190"/>
        <item x="4277"/>
        <item x="3361"/>
        <item x="850"/>
        <item x="1420"/>
        <item x="1780"/>
        <item x="707"/>
        <item x="2754"/>
        <item x="952"/>
        <item x="1487"/>
        <item x="1205"/>
        <item x="4000"/>
        <item x="4080"/>
        <item x="2802"/>
        <item x="4460"/>
        <item x="2430"/>
        <item x="2324"/>
        <item x="4198"/>
        <item x="2394"/>
        <item x="1645"/>
        <item x="3570"/>
        <item x="2890"/>
        <item x="1315"/>
        <item x="4566"/>
        <item x="3018"/>
        <item x="1820"/>
        <item x="563"/>
        <item x="3718"/>
        <item x="1033"/>
        <item x="4334"/>
        <item x="4448"/>
        <item x="3603"/>
        <item x="3591"/>
        <item x="347"/>
        <item x="2460"/>
        <item x="3016"/>
        <item x="314"/>
        <item x="1234"/>
        <item x="1189"/>
        <item x="686"/>
        <item x="2634"/>
        <item x="1707"/>
        <item x="4035"/>
        <item x="2061"/>
        <item x="4188"/>
        <item x="2831"/>
        <item x="3485"/>
        <item x="2735"/>
        <item x="4600"/>
        <item x="3186"/>
        <item x="629"/>
        <item x="1389"/>
        <item x="4394"/>
        <item x="1354"/>
        <item x="2393"/>
        <item x="1972"/>
        <item x="2060"/>
        <item x="4418"/>
        <item x="3191"/>
        <item x="2544"/>
        <item x="418"/>
        <item x="4595"/>
        <item x="3046"/>
        <item x="2208"/>
        <item x="1016"/>
        <item x="3461"/>
        <item x="1052"/>
        <item x="4128"/>
        <item x="1674"/>
        <item x="1782"/>
        <item x="2862"/>
        <item x="1961"/>
        <item x="898"/>
        <item x="3376"/>
        <item x="4098"/>
        <item x="2909"/>
        <item x="3801"/>
        <item x="4362"/>
        <item x="1876"/>
        <item x="2642"/>
        <item x="3472"/>
        <item x="2220"/>
        <item x="3119"/>
        <item x="4512"/>
        <item x="1495"/>
        <item x="2483"/>
        <item x="3849"/>
        <item x="2715"/>
        <item x="2094"/>
        <item x="2580"/>
        <item x="2961"/>
        <item x="4378"/>
        <item x="2805"/>
        <item x="1103"/>
        <item x="3116"/>
        <item x="2434"/>
        <item x="993"/>
        <item x="1073"/>
        <item x="4263"/>
        <item x="2481"/>
        <item x="4268"/>
        <item x="421"/>
        <item x="1797"/>
        <item x="4058"/>
        <item x="1350"/>
        <item x="3463"/>
        <item x="3635"/>
        <item x="1745"/>
        <item x="2649"/>
        <item x="3093"/>
        <item x="3085"/>
        <item x="1327"/>
        <item x="2106"/>
        <item x="4173"/>
        <item x="3405"/>
        <item x="1110"/>
        <item x="4356"/>
        <item x="2"/>
        <item x="1227"/>
        <item x="1209"/>
        <item x="3514"/>
        <item x="3502"/>
        <item x="2359"/>
        <item x="1551"/>
        <item x="3563"/>
        <item x="1986"/>
        <item x="3039"/>
        <item x="1184"/>
        <item x="2895"/>
        <item x="2390"/>
        <item x="2348"/>
        <item x="804"/>
        <item x="2734"/>
        <item x="894"/>
        <item x="3086"/>
        <item x="4291"/>
        <item x="3833"/>
        <item x="4530"/>
        <item x="549"/>
        <item x="3460"/>
        <item x="2953"/>
        <item x="3411"/>
        <item x="1868"/>
        <item x="1644"/>
        <item x="4446"/>
        <item x="2443"/>
        <item x="4526"/>
        <item x="14"/>
        <item x="32"/>
        <item x="4305"/>
        <item x="1466"/>
        <item x="1942"/>
        <item x="3457"/>
        <item x="1854"/>
        <item x="4503"/>
        <item x="789"/>
        <item x="4292"/>
        <item x="4029"/>
        <item x="1482"/>
        <item x="2127"/>
        <item x="4232"/>
        <item x="1416"/>
        <item x="3912"/>
        <item x="59"/>
        <item x="2545"/>
        <item x="1217"/>
        <item x="3290"/>
        <item x="1583"/>
        <item x="1593"/>
        <item x="2633"/>
        <item x="1314"/>
        <item x="1936"/>
        <item x="1521"/>
        <item x="3412"/>
        <item x="3082"/>
        <item x="4489"/>
        <item x="3798"/>
        <item x="4386"/>
        <item x="2388"/>
        <item x="4174"/>
        <item x="3973"/>
        <item x="2931"/>
        <item x="3860"/>
        <item x="3670"/>
        <item x="2528"/>
        <item x="2833"/>
        <item x="927"/>
        <item x="3484"/>
        <item x="627"/>
        <item x="4343"/>
        <item x="3748"/>
        <item x="4319"/>
        <item x="4115"/>
        <item x="653"/>
        <item x="1833"/>
        <item x="2494"/>
        <item x="985"/>
        <item x="4470"/>
        <item x="1828"/>
        <item x="1440"/>
        <item x="4278"/>
        <item x="1238"/>
        <item x="515"/>
        <item x="619"/>
        <item x="3146"/>
        <item x="3118"/>
        <item x="4231"/>
        <item x="4601"/>
        <item x="771"/>
        <item x="4416"/>
        <item x="1631"/>
        <item x="128"/>
        <item x="4498"/>
        <item x="2002"/>
        <item x="2204"/>
        <item x="1556"/>
        <item x="1477"/>
        <item x="1519"/>
        <item x="4257"/>
        <item x="3000"/>
        <item x="4138"/>
        <item x="1317"/>
        <item x="2658"/>
        <item x="2596"/>
        <item x="3619"/>
        <item x="511"/>
        <item x="3440"/>
        <item x="831"/>
        <item x="4447"/>
        <item x="228"/>
        <item x="4393"/>
        <item x="400"/>
        <item x="4004"/>
        <item x="3220"/>
        <item x="4217"/>
        <item x="521"/>
        <item x="1383"/>
        <item x="3661"/>
        <item x="369"/>
        <item x="2096"/>
        <item x="3038"/>
        <item x="4533"/>
        <item x="2018"/>
        <item x="3068"/>
        <item x="1166"/>
        <item x="1646"/>
        <item x="4180"/>
        <item x="1901"/>
        <item x="1700"/>
        <item x="295"/>
        <item x="293"/>
        <item x="1762"/>
        <item x="3327"/>
        <item x="3011"/>
        <item x="1358"/>
        <item x="230"/>
        <item x="3997"/>
        <item x="620"/>
        <item x="1139"/>
        <item x="125"/>
        <item x="1367"/>
        <item x="3096"/>
        <item x="4517"/>
        <item x="3665"/>
        <item x="3534"/>
        <item x="4422"/>
        <item x="4360"/>
        <item x="1232"/>
        <item x="1757"/>
        <item x="3326"/>
        <item x="2812"/>
        <item x="3197"/>
        <item x="3437"/>
        <item x="4575"/>
        <item x="4408"/>
        <item x="3520"/>
        <item x="4412"/>
        <item x="2653"/>
        <item x="3166"/>
        <item x="4071"/>
        <item x="3385"/>
        <item x="4155"/>
        <item x="3633"/>
        <item x="4220"/>
        <item x="2922"/>
        <item x="3067"/>
        <item x="3105"/>
        <item x="3920"/>
        <item x="177"/>
        <item x="2484"/>
        <item x="916"/>
        <item x="2198"/>
        <item x="1446"/>
        <item x="2176"/>
        <item x="1906"/>
        <item x="1529"/>
        <item x="35"/>
        <item x="455"/>
        <item x="3858"/>
        <item x="1669"/>
        <item x="479"/>
        <item x="3959"/>
        <item x="1325"/>
        <item x="4381"/>
        <item x="1437"/>
        <item x="3952"/>
        <item x="2526"/>
        <item x="4172"/>
        <item x="696"/>
        <item x="3705"/>
        <item x="2713"/>
        <item x="3625"/>
        <item x="2068"/>
        <item x="2316"/>
        <item x="705"/>
        <item x="3899"/>
        <item x="3445"/>
        <item x="453"/>
        <item x="2563"/>
        <item x="2487"/>
        <item x="3747"/>
        <item x="4211"/>
        <item x="4353"/>
        <item x="4166"/>
        <item x="2546"/>
        <item x="3339"/>
        <item x="1960"/>
        <item x="4041"/>
        <item x="3731"/>
        <item x="3003"/>
        <item x="475"/>
        <item x="1695"/>
        <item x="1693"/>
        <item x="3289"/>
        <item x="3242"/>
        <item x="3141"/>
        <item x="1831"/>
        <item x="3465"/>
        <item x="3315"/>
        <item x="1665"/>
        <item x="2003"/>
        <item x="717"/>
        <item x="2583"/>
        <item x="716"/>
        <item x="2939"/>
        <item x="2853"/>
        <item x="3588"/>
        <item x="3263"/>
        <item x="2632"/>
        <item x="3642"/>
        <item x="3617"/>
        <item x="3293"/>
        <item x="4065"/>
        <item x="4518"/>
        <item x="661"/>
        <item x="2585"/>
        <item x="213"/>
        <item x="4396"/>
        <item x="2024"/>
        <item x="2967"/>
        <item x="2261"/>
        <item x="1568"/>
        <item x="3960"/>
        <item x="2329"/>
        <item x="3606"/>
        <item x="3637"/>
        <item x="895"/>
        <item x="3499"/>
        <item x="1422"/>
        <item x="2868"/>
        <item x="1146"/>
        <item x="1550"/>
        <item x="3836"/>
        <item x="3181"/>
        <item x="3200"/>
        <item x="101"/>
        <item x="3806"/>
        <item x="2736"/>
        <item x="465"/>
        <item x="3981"/>
        <item x="2647"/>
        <item x="1423"/>
        <item x="1438"/>
        <item x="3629"/>
        <item x="1321"/>
        <item x="1869"/>
        <item x="39"/>
        <item x="139"/>
        <item x="3231"/>
        <item x="880"/>
        <item x="4185"/>
        <item x="600"/>
        <item x="3820"/>
        <item x="4003"/>
        <item x="126"/>
        <item x="2399"/>
        <item x="4550"/>
        <item x="2424"/>
        <item x="4565"/>
        <item x="3007"/>
        <item x="2976"/>
        <item x="4136"/>
        <item x="975"/>
        <item x="671"/>
        <item x="1486"/>
        <item x="3275"/>
        <item x="3778"/>
        <item x="3455"/>
        <item x="3155"/>
        <item x="1517"/>
        <item x="1632"/>
        <item x="4508"/>
        <item x="4252"/>
        <item x="4236"/>
        <item x="1755"/>
        <item x="4006"/>
        <item x="3677"/>
        <item x="3767"/>
        <item x="3095"/>
        <item x="1698"/>
        <item x="2048"/>
        <item x="3019"/>
        <item x="2260"/>
        <item x="3426"/>
        <item x="4054"/>
        <item x="526"/>
        <item x="3972"/>
        <item x="3139"/>
        <item x="1882"/>
        <item x="1852"/>
        <item x="2887"/>
        <item x="4090"/>
        <item x="1056"/>
        <item x="3015"/>
        <item x="3380"/>
        <item x="2727"/>
        <item x="3175"/>
        <item x="561"/>
        <item x="832"/>
        <item x="1558"/>
        <item x="2790"/>
        <item x="3286"/>
        <item x="2017"/>
        <item x="1532"/>
        <item x="3471"/>
        <item x="3513"/>
        <item x="1417"/>
        <item x="1101"/>
        <item x="4193"/>
        <item x="1080"/>
        <item x="1883"/>
        <item x="3362"/>
        <item x="4289"/>
        <item x="1501"/>
        <item x="548"/>
        <item x="2130"/>
        <item x="3434"/>
        <item x="15"/>
        <item x="1567"/>
        <item x="3787"/>
        <item x="1871"/>
        <item x="1460"/>
        <item x="2923"/>
        <item x="326"/>
        <item x="341"/>
        <item x="1365"/>
        <item x="3288"/>
        <item x="2595"/>
        <item x="1944"/>
        <item x="1133"/>
        <item x="1305"/>
        <item x="1202"/>
        <item x="3736"/>
        <item x="3857"/>
        <item x="4465"/>
        <item x="2044"/>
        <item x="4276"/>
        <item x="3473"/>
        <item x="3506"/>
        <item x="645"/>
        <item x="4372"/>
        <item x="2552"/>
        <item x="1132"/>
        <item x="2606"/>
        <item x="2078"/>
        <item x="4079"/>
        <item x="2781"/>
        <item x="2543"/>
        <item x="1805"/>
        <item x="1713"/>
        <item x="572"/>
        <item x="835"/>
        <item x="70"/>
        <item x="1411"/>
        <item x="2225"/>
        <item x="3456"/>
        <item x="1348"/>
        <item x="199"/>
        <item x="4407"/>
        <item x="3794"/>
        <item x="1318"/>
        <item x="2237"/>
        <item x="3723"/>
        <item x="1922"/>
        <item x="154"/>
        <item x="4227"/>
        <item x="2789"/>
        <item x="4274"/>
        <item x="2426"/>
        <item x="2879"/>
        <item x="2619"/>
        <item x="2830"/>
        <item x="2628"/>
        <item x="3002"/>
        <item x="1886"/>
        <item x="586"/>
        <item x="2834"/>
        <item x="1826"/>
        <item x="3206"/>
        <item x="4031"/>
        <item x="3486"/>
        <item x="3631"/>
        <item x="4302"/>
        <item x="4021"/>
        <item x="88"/>
        <item x="1149"/>
        <item x="1609"/>
        <item x="2262"/>
        <item x="650"/>
        <item x="2488"/>
        <item x="1526"/>
        <item x="869"/>
        <item x="550"/>
        <item x="2431"/>
        <item x="3873"/>
        <item x="4248"/>
        <item x="1387"/>
        <item x="3717"/>
        <item x="1443"/>
        <item x="3924"/>
        <item x="668"/>
        <item x="3005"/>
        <item x="2969"/>
        <item x="2271"/>
        <item x="3965"/>
        <item x="3695"/>
        <item x="3700"/>
        <item x="657"/>
        <item x="2450"/>
        <item x="108"/>
        <item x="1485"/>
        <item x="1809"/>
        <item x="3413"/>
        <item x="2814"/>
        <item x="261"/>
        <item x="3102"/>
        <item x="908"/>
        <item x="2117"/>
        <item x="4468"/>
        <item x="1784"/>
        <item x="114"/>
        <item x="961"/>
        <item x="3008"/>
        <item x="1091"/>
        <item x="36"/>
        <item x="2693"/>
        <item x="4057"/>
        <item x="4007"/>
        <item x="2212"/>
        <item x="1206"/>
        <item x="4542"/>
        <item x="3713"/>
        <item x="445"/>
        <item x="4208"/>
        <item x="3478"/>
        <item x="718"/>
        <item x="3320"/>
        <item x="2476"/>
        <item x="1639"/>
        <item x="1953"/>
        <item x="1286"/>
        <item x="684"/>
        <item x="2255"/>
        <item x="2540"/>
        <item x="3020"/>
        <item x="3558"/>
        <item x="4081"/>
        <item x="3769"/>
        <item x="3219"/>
        <item x="1949"/>
        <item x="3091"/>
        <item x="3526"/>
        <item x="2400"/>
        <item x="2843"/>
        <item x="3477"/>
        <item x="4005"/>
        <item x="2962"/>
        <item x="933"/>
        <item x="3167"/>
        <item x="4094"/>
        <item x="3458"/>
        <item x="78"/>
        <item x="1995"/>
        <item x="797"/>
        <item x="2300"/>
        <item x="3681"/>
        <item x="253"/>
        <item x="719"/>
        <item x="1804"/>
        <item x="353"/>
        <item x="3531"/>
        <item x="4060"/>
        <item x="1673"/>
        <item x="4222"/>
        <item x="311"/>
        <item x="3901"/>
        <item x="4249"/>
        <item x="3511"/>
        <item x="3609"/>
        <item x="864"/>
        <item x="4576"/>
        <item x="2151"/>
        <item x="2639"/>
        <item x="110"/>
        <item x="4346"/>
        <item x="4562"/>
        <item x="1347"/>
        <item x="3579"/>
        <item x="4417"/>
        <item x="3648"/>
        <item x="2865"/>
        <item x="3452"/>
        <item x="226"/>
        <item x="762"/>
        <item x="4306"/>
        <item x="4322"/>
        <item x="1537"/>
        <item x="3800"/>
        <item x="1216"/>
        <item x="2322"/>
        <item x="1934"/>
        <item x="2741"/>
        <item x="2480"/>
        <item x="4453"/>
        <item x="2323"/>
        <item x="3106"/>
        <item x="265"/>
        <item x="715"/>
        <item x="137"/>
        <item x="2301"/>
        <item x="998"/>
        <item x="3377"/>
        <item x="2873"/>
        <item x="1752"/>
        <item x="3149"/>
        <item x="1799"/>
        <item x="3743"/>
        <item x="3590"/>
        <item x="937"/>
        <item x="4002"/>
        <item x="2152"/>
        <item x="3809"/>
        <item x="1160"/>
        <item x="2036"/>
        <item x="3893"/>
        <item x="2652"/>
        <item x="3675"/>
        <item x="4266"/>
        <item x="4225"/>
        <item x="1439"/>
        <item x="1990"/>
        <item x="1177"/>
        <item x="392"/>
        <item x="3807"/>
        <item x="256"/>
        <item x="4051"/>
        <item x="2203"/>
        <item x="1903"/>
        <item x="4403"/>
        <item x="1233"/>
        <item x="1479"/>
        <item x="1322"/>
        <item x="3204"/>
        <item x="4114"/>
        <item x="2440"/>
        <item x="1548"/>
        <item x="1640"/>
        <item x="1123"/>
        <item x="2305"/>
        <item x="2679"/>
        <item x="1566"/>
        <item x="3953"/>
        <item x="3771"/>
        <item x="4108"/>
        <item x="1450"/>
        <item x="3363"/>
        <item x="2411"/>
        <item x="3407"/>
        <item x="1522"/>
        <item x="2004"/>
        <item x="571"/>
        <item x="4456"/>
        <item x="3403"/>
        <item x="1368"/>
        <item x="1449"/>
        <item x="926"/>
        <item x="3427"/>
        <item x="1278"/>
        <item x="3401"/>
        <item x="4581"/>
        <item x="3939"/>
        <item x="1130"/>
        <item x="3318"/>
        <item x="4246"/>
        <item x="1781"/>
        <item x="2263"/>
        <item x="768"/>
        <item x="2472"/>
        <item x="1505"/>
        <item x="3851"/>
        <item x="2363"/>
        <item x="3301"/>
        <item x="3957"/>
        <item x="3148"/>
        <item x="2760"/>
        <item x="4282"/>
        <item x="1013"/>
        <item x="3508"/>
        <item x="2590"/>
        <item x="4129"/>
        <item x="4137"/>
        <item x="2636"/>
        <item x="3501"/>
        <item x="4284"/>
        <item x="4123"/>
        <item x="2249"/>
        <item x="4482"/>
        <item x="578"/>
        <item x="3955"/>
        <item x="2966"/>
        <item x="1710"/>
        <item x="2319"/>
        <item x="1448"/>
        <item x="4303"/>
        <item x="2272"/>
        <item x="1796"/>
        <item x="1620"/>
        <item x="3758"/>
        <item x="1287"/>
        <item x="1851"/>
        <item x="2946"/>
        <item x="623"/>
        <item x="116"/>
        <item x="2258"/>
        <item x="3810"/>
        <item x="960"/>
        <item x="4030"/>
        <item x="3391"/>
        <item x="1087"/>
        <item x="775"/>
        <item x="2756"/>
        <item x="890"/>
        <item x="3509"/>
        <item x="1997"/>
        <item x="1235"/>
        <item x="4341"/>
        <item x="4084"/>
        <item x="4237"/>
        <item x="1425"/>
        <item x="2963"/>
        <item x="2482"/>
        <item x="1987"/>
        <item x="2859"/>
        <item x="4234"/>
        <item x="2259"/>
        <item x="1932"/>
        <item x="3292"/>
        <item x="2226"/>
        <item x="4223"/>
        <item x="587"/>
        <item x="809"/>
        <item x="3584"/>
        <item x="443"/>
        <item x="3173"/>
        <item x="227"/>
        <item x="2848"/>
        <item x="1872"/>
        <item x="2697"/>
        <item x="2072"/>
        <item x="2884"/>
        <item x="2321"/>
        <item x="693"/>
        <item x="3845"/>
        <item x="1581"/>
        <item x="4534"/>
        <item x="176"/>
        <item x="2996"/>
        <item x="3"/>
        <item x="2099"/>
        <item x="2191"/>
        <item x="1711"/>
        <item x="2419"/>
        <item x="3127"/>
        <item x="2197"/>
        <item x="354"/>
        <item x="4413"/>
        <item x="670"/>
        <item x="3153"/>
        <item x="473"/>
        <item x="560"/>
        <item x="3850"/>
        <item x="1014"/>
        <item x="4424"/>
        <item x="1660"/>
        <item x="1326"/>
        <item x="1941"/>
        <item x="1836"/>
        <item x="585"/>
        <item x="915"/>
        <item x="1401"/>
        <item x="879"/>
        <item x="1584"/>
        <item x="4224"/>
        <item x="2360"/>
        <item x="3317"/>
        <item x="2093"/>
        <item x="4239"/>
        <item x="3773"/>
        <item x="3224"/>
        <item x="2380"/>
        <item x="2423"/>
        <item x="3765"/>
        <item x="1376"/>
        <item x="1039"/>
        <item x="833"/>
        <item x="3257"/>
        <item x="1457"/>
        <item x="1962"/>
        <item x="2029"/>
        <item x="4374"/>
        <item x="2125"/>
        <item x="1410"/>
        <item x="1747"/>
        <item x="3638"/>
        <item x="1034"/>
        <item x="4519"/>
        <item x="2700"/>
        <item x="2219"/>
        <item x="3180"/>
        <item x="3716"/>
        <item x="1478"/>
        <item x="1971"/>
        <item x="4368"/>
        <item x="965"/>
        <item x="3057"/>
        <item x="3966"/>
        <item x="3915"/>
        <item x="664"/>
        <item x="1499"/>
        <item x="2702"/>
        <item x="1381"/>
        <item x="2227"/>
        <item x="2205"/>
        <item x="4399"/>
        <item x="219"/>
        <item x="2584"/>
        <item x="2651"/>
        <item x="4389"/>
        <item x="4086"/>
        <item x="3110"/>
        <item x="1083"/>
        <item x="2579"/>
        <item x="1500"/>
        <item x="1590"/>
        <item x="4076"/>
        <item x="444"/>
        <item x="612"/>
        <item x="4047"/>
        <item x="3114"/>
        <item x="4406"/>
        <item x="1078"/>
        <item x="4200"/>
        <item x="124"/>
        <item x="2536"/>
        <item x="4377"/>
        <item x="4366"/>
        <item x="3711"/>
        <item x="3571"/>
        <item x="1929"/>
        <item x="3419"/>
        <item x="1691"/>
        <item x="4510"/>
        <item x="3766"/>
        <item x="2027"/>
        <item x="3742"/>
        <item x="4323"/>
        <item x="3128"/>
        <item x="1071"/>
        <item x="3171"/>
        <item x="1798"/>
        <item x="2838"/>
        <item x="2010"/>
        <item x="1283"/>
        <item x="2512"/>
        <item x="1082"/>
        <item x="761"/>
        <item x="1097"/>
        <item x="2100"/>
        <item x="881"/>
        <item x="3958"/>
        <item x="2315"/>
        <item x="2470"/>
        <item x="3227"/>
        <item x="3462"/>
        <item x="2193"/>
        <item x="3639"/>
        <item x="2425"/>
        <item x="4070"/>
        <item x="2898"/>
        <item x="3260"/>
        <item x="4359"/>
        <item x="3432"/>
        <item x="458"/>
        <item x="3831"/>
        <item x="1201"/>
        <item x="1459"/>
        <item x="1497"/>
        <item x="2282"/>
        <item x="2362"/>
        <item x="1353"/>
        <item x="2648"/>
        <item x="2265"/>
        <item x="31"/>
        <item x="3896"/>
        <item x="3517"/>
        <item x="2074"/>
        <item x="599"/>
        <item x="2695"/>
        <item x="3812"/>
        <item x="2065"/>
        <item x="834"/>
        <item x="2381"/>
        <item x="4467"/>
        <item x="656"/>
        <item x="2090"/>
        <item x="2803"/>
        <item x="1241"/>
        <item x="294"/>
        <item x="2150"/>
        <item x="2992"/>
        <item x="3245"/>
        <item x="3421"/>
        <item x="2102"/>
        <item x="4431"/>
        <item x="2311"/>
        <item x="1323"/>
        <item x="2383"/>
        <item x="2269"/>
        <item x="3611"/>
        <item x="2299"/>
        <item x="938"/>
        <item x="2657"/>
        <item x="1265"/>
        <item x="4344"/>
        <item x="3799"/>
        <item x="2192"/>
        <item x="3207"/>
        <item x="1727"/>
        <item x="1714"/>
        <item x="4024"/>
        <item x="687"/>
        <item x="813"/>
        <item x="1709"/>
        <item x="3123"/>
        <item x="352"/>
        <item x="2607"/>
        <item x="107"/>
        <item x="1675"/>
        <item x="1214"/>
        <item x="1134"/>
        <item x="1102"/>
        <item x="4281"/>
        <item x="2391"/>
        <item x="2047"/>
        <item x="2645"/>
        <item x="3347"/>
        <item x="1320"/>
        <item x="3023"/>
        <item x="1037"/>
        <item x="958"/>
        <item x="2122"/>
        <item x="3280"/>
        <item x="2854"/>
        <item x="263"/>
        <item x="1708"/>
        <item x="1464"/>
        <item x="375"/>
        <item x="3510"/>
        <item x="2603"/>
        <item x="1337"/>
        <item x="4414"/>
        <item x="1304"/>
        <item x="1539"/>
        <item x="786"/>
        <item x="4492"/>
        <item x="4251"/>
        <item x="774"/>
        <item x="524"/>
        <item x="4321"/>
        <item x="1687"/>
        <item x="1488"/>
        <item x="4563"/>
        <item x="2960"/>
        <item x="2405"/>
        <item x="3075"/>
        <item x="3795"/>
        <item x="2020"/>
        <item x="2513"/>
        <item x="2206"/>
        <item x="4365"/>
        <item x="1783"/>
        <item x="260"/>
        <item x="1900"/>
        <item x="2692"/>
        <item x="1072"/>
        <item x="62"/>
        <item x="1164"/>
        <item x="3309"/>
        <item x="4025"/>
        <item x="984"/>
        <item x="1552"/>
        <item x="461"/>
        <item x="3441"/>
        <item x="3188"/>
        <item x="2914"/>
        <item x="1546"/>
        <item x="2168"/>
        <item x="3397"/>
        <item x="1832"/>
        <item x="2187"/>
        <item x="2270"/>
        <item x="732"/>
        <item x="1481"/>
        <item x="12"/>
        <item x="2361"/>
        <item x="190"/>
        <item x="2809"/>
        <item x="590"/>
        <item x="3355"/>
        <item x="1476"/>
        <item x="622"/>
        <item x="1821"/>
        <item x="1018"/>
        <item x="3147"/>
        <item x="1360"/>
        <item x="1699"/>
        <item x="973"/>
        <item x="1041"/>
        <item x="1294"/>
        <item x="1538"/>
        <item x="817"/>
        <item x="1763"/>
        <item x="357"/>
        <item x="1759"/>
        <item x="651"/>
        <item x="2292"/>
        <item x="1908"/>
        <item x="537"/>
        <item x="4014"/>
        <item x="4342"/>
        <item x="748"/>
        <item x="4286"/>
        <item x="574"/>
        <item x="1494"/>
        <item x="3547"/>
        <item x="2101"/>
        <item x="2929"/>
        <item x="2841"/>
        <item x="2223"/>
        <item x="1881"/>
        <item x="1732"/>
        <item x="4260"/>
        <item x="2710"/>
        <item x="1230"/>
        <item x="1261"/>
        <item x="595"/>
        <item x="308"/>
        <item x="243"/>
        <item x="2406"/>
        <item x="3077"/>
        <item x="1079"/>
        <item x="1155"/>
        <item x="1170"/>
        <item x="1191"/>
        <item x="3542"/>
        <item x="695"/>
        <item x="3632"/>
        <item x="2825"/>
        <item x="591"/>
        <item x="2166"/>
        <item x="3055"/>
        <item x="988"/>
        <item x="202"/>
        <item x="340"/>
        <item x="2708"/>
        <item x="812"/>
        <item x="2326"/>
        <item x="3569"/>
        <item x="266"/>
        <item x="130"/>
        <item x="588"/>
        <item x="570"/>
        <item x="1035"/>
        <item x="1553"/>
        <item x="329"/>
        <item x="805"/>
        <item x="1513"/>
        <item x="16"/>
        <item x="1212"/>
        <item x="3647"/>
        <item x="217"/>
        <item x="968"/>
        <item x="4201"/>
        <item x="3764"/>
        <item x="1148"/>
        <item x="164"/>
        <item x="2506"/>
        <item x="818"/>
        <item x="1830"/>
        <item x="2516"/>
        <item x="948"/>
        <item x="660"/>
        <item x="1394"/>
        <item x="72"/>
        <item x="2514"/>
        <item x="2877"/>
        <item x="18"/>
        <item x="214"/>
        <item x="3657"/>
        <item x="1020"/>
        <item x="3352"/>
        <item x="631"/>
        <item x="1415"/>
        <item x="437"/>
        <item x="1777"/>
        <item x="1068"/>
        <item x="935"/>
        <item x="9"/>
        <item x="366"/>
        <item x="367"/>
        <item x="1257"/>
        <item x="1657"/>
        <item x="2918"/>
        <item x="839"/>
        <item x="1630"/>
        <item x="3135"/>
        <item x="2286"/>
        <item x="218"/>
        <item x="121"/>
        <item x="2121"/>
        <item x="2912"/>
        <item x="454"/>
        <item x="606"/>
        <item x="826"/>
        <item x="1355"/>
        <item x="688"/>
        <item x="967"/>
        <item x="566"/>
        <item x="157"/>
        <item x="3125"/>
        <item x="1081"/>
        <item x="1515"/>
        <item x="803"/>
        <item x="589"/>
        <item x="1406"/>
        <item x="2519"/>
        <item x="46"/>
        <item x="1666"/>
        <item x="1534"/>
        <item x="4048"/>
        <item x="666"/>
        <item x="4367"/>
        <item x="387"/>
        <item x="1433"/>
        <item x="2461"/>
        <item x="191"/>
        <item x="238"/>
        <item x="1090"/>
        <item x="727"/>
        <item x="2201"/>
        <item x="212"/>
        <item x="532"/>
        <item x="1340"/>
        <item x="1380"/>
        <item x="866"/>
        <item x="751"/>
        <item x="1275"/>
        <item x="298"/>
        <item x="2118"/>
        <item x="1899"/>
        <item x="1966"/>
        <item x="163"/>
        <item x="4375"/>
        <item x="4594"/>
        <item x="2266"/>
        <item x="1642"/>
        <item x="959"/>
        <item x="2147"/>
        <item x="2310"/>
        <item x="1733"/>
        <item x="614"/>
        <item x="939"/>
        <item x="1692"/>
        <item x="481"/>
        <item x="635"/>
        <item x="2160"/>
        <item x="2446"/>
        <item x="281"/>
        <item x="2211"/>
        <item x="2477"/>
        <item x="925"/>
        <item x="156"/>
        <item x="2889"/>
        <item x="3264"/>
        <item x="2139"/>
        <item x="141"/>
        <item x="115"/>
        <item x="279"/>
        <item x="4215"/>
        <item x="1036"/>
        <item x="459"/>
        <item x="1712"/>
        <item x="426"/>
        <item x="4148"/>
        <item x="1454"/>
        <item x="3062"/>
        <item x="1967"/>
        <item x="4421"/>
        <item x="3158"/>
        <item x="840"/>
        <item x="312"/>
        <item x="1114"/>
        <item x="368"/>
        <item x="2445"/>
        <item x="2350"/>
        <item x="2309"/>
        <item x="1393"/>
        <item x="1117"/>
        <item x="3360"/>
        <item x="100"/>
        <item x="2934"/>
        <item x="557"/>
        <item x="1791"/>
        <item x="172"/>
        <item x="505"/>
        <item x="1613"/>
        <item x="268"/>
        <item x="773"/>
        <item x="222"/>
        <item x="24"/>
        <item x="397"/>
        <item x="892"/>
        <item x="3115"/>
        <item x="2210"/>
        <item x="304"/>
        <item x="3232"/>
        <item x="644"/>
        <item x="1120"/>
        <item x="1218"/>
        <item x="4152"/>
        <item x="386"/>
        <item x="1029"/>
        <item x="4549"/>
        <item x="245"/>
        <item x="1131"/>
        <item x="608"/>
        <item x="1973"/>
        <item x="1461"/>
        <item x="252"/>
        <item x="1057"/>
        <item x="1989"/>
        <item x="1894"/>
        <item x="1559"/>
        <item x="13"/>
        <item x="3354"/>
        <item x="1344"/>
        <item x="602"/>
        <item x="1810"/>
        <item x="269"/>
        <item x="2620"/>
        <item x="20"/>
        <item x="2137"/>
        <item x="1040"/>
        <item x="1006"/>
        <item x="3381"/>
        <item x="1063"/>
        <item x="1999"/>
        <item x="673"/>
        <item x="3341"/>
        <item x="474"/>
        <item x="1161"/>
        <item x="2194"/>
        <item x="234"/>
        <item x="689"/>
        <item x="167"/>
        <item x="3090"/>
        <item x="3083"/>
        <item x="1880"/>
        <item x="649"/>
        <item x="1300"/>
        <item x="3267"/>
        <item x="2799"/>
        <item x="3183"/>
        <item x="2627"/>
        <item x="318"/>
        <item x="1220"/>
        <item x="3786"/>
        <item x="432"/>
        <item x="1737"/>
        <item x="119"/>
        <item x="919"/>
        <item x="75"/>
        <item x="2119"/>
        <item x="951"/>
        <item x="2463"/>
        <item x="1540"/>
        <item x="994"/>
        <item x="3137"/>
        <item x="3424"/>
        <item x="1098"/>
        <item x="2958"/>
        <item x="339"/>
        <item x="1242"/>
        <item x="3294"/>
        <item x="980"/>
        <item x="1074"/>
        <item x="333"/>
        <item x="3927"/>
        <item x="1561"/>
        <item x="316"/>
        <item x="3878"/>
        <item x="3056"/>
        <item x="1918"/>
        <item x="603"/>
        <item x="239"/>
        <item x="435"/>
        <item x="1048"/>
        <item x="2972"/>
        <item x="3504"/>
        <item x="949"/>
        <item x="2822"/>
        <item x="1158"/>
        <item x="338"/>
        <item x="1509"/>
        <item x="3698"/>
        <item x="654"/>
        <item x="430"/>
        <item x="995"/>
        <item x="1729"/>
        <item x="1977"/>
        <item x="2014"/>
        <item x="577"/>
        <item x="388"/>
        <item x="288"/>
        <item x="1111"/>
        <item x="28"/>
        <item x="3258"/>
        <item x="383"/>
        <item x="393"/>
        <item x="3215"/>
        <item x="3393"/>
        <item x="211"/>
        <item x="2288"/>
        <item x="4271"/>
        <item x="2035"/>
        <item x="1163"/>
        <item x="1129"/>
        <item x="51"/>
        <item x="837"/>
        <item x="403"/>
        <item x="562"/>
        <item x="1834"/>
        <item x="60"/>
        <item x="889"/>
        <item x="1012"/>
        <item x="2420"/>
        <item x="3079"/>
        <item x="4473"/>
        <item x="2050"/>
        <item x="1112"/>
        <item x="1682"/>
        <item x="902"/>
        <item x="783"/>
        <item x="2881"/>
        <item x="1362"/>
        <item x="390"/>
        <item x="4516"/>
        <item x="738"/>
        <item x="1"/>
        <item x="1180"/>
        <item x="1254"/>
        <item x="3071"/>
        <item x="81"/>
        <item x="870"/>
        <item x="1398"/>
        <item x="2342"/>
        <item x="1787"/>
        <item x="409"/>
        <item x="3645"/>
        <item x="3944"/>
        <item x="652"/>
        <item x="1661"/>
        <item x="1892"/>
        <item x="955"/>
        <item x="97"/>
        <item x="823"/>
        <item x="3940"/>
        <item x="519"/>
        <item x="65"/>
        <item x="1611"/>
        <item x="630"/>
        <item x="704"/>
        <item x="1473"/>
        <item x="662"/>
        <item x="1865"/>
        <item x="406"/>
        <item x="801"/>
        <item x="1838"/>
        <item x="290"/>
        <item x="2224"/>
        <item x="132"/>
        <item x="1621"/>
        <item x="1076"/>
        <item x="1070"/>
        <item x="4541"/>
        <item x="633"/>
        <item x="148"/>
        <item x="1444"/>
        <item x="658"/>
        <item x="542"/>
        <item x="1588"/>
        <item x="522"/>
        <item x="2559"/>
        <item x="73"/>
        <item x="2401"/>
        <item x="105"/>
        <item x="741"/>
        <item x="546"/>
        <item x="2808"/>
        <item x="1636"/>
        <item x="3545"/>
        <item x="3667"/>
        <item x="4267"/>
        <item x="57"/>
        <item x="604"/>
        <item x="4"/>
        <item x="1077"/>
        <item x="4253"/>
        <item x="135"/>
        <item x="1921"/>
        <item x="1937"/>
        <item x="517"/>
        <item x="700"/>
        <item x="1281"/>
        <item x="2066"/>
        <item x="1094"/>
        <item x="3323"/>
        <item x="1648"/>
        <item x="67"/>
        <item x="1766"/>
        <item x="3709"/>
        <item x="2080"/>
        <item x="2338"/>
        <item x="2011"/>
        <item x="947"/>
        <item x="1194"/>
        <item x="2016"/>
        <item x="3602"/>
        <item x="3229"/>
        <item x="175"/>
        <item x="2668"/>
        <item x="2379"/>
        <item x="4586"/>
        <item x="510"/>
        <item x="376"/>
        <item x="3121"/>
        <item x="4338"/>
        <item x="1172"/>
        <item x="1292"/>
        <item x="6"/>
        <item x="4026"/>
        <item x="1803"/>
        <item x="4261"/>
        <item x="1319"/>
        <item x="1754"/>
        <item x="411"/>
        <item x="3720"/>
        <item x="1299"/>
        <item x="3399"/>
        <item x="21"/>
        <item x="394"/>
        <item x="193"/>
        <item x="1907"/>
        <item x="1174"/>
        <item x="144"/>
        <item x="2116"/>
        <item x="2369"/>
        <item x="776"/>
        <item x="192"/>
        <item x="1027"/>
        <item x="147"/>
        <item x="2337"/>
        <item x="215"/>
        <item x="4514"/>
        <item x="1547"/>
        <item x="91"/>
        <item x="2372"/>
        <item x="0"/>
        <item x="2703"/>
        <item x="2181"/>
        <item x="276"/>
        <item x="3583"/>
        <item x="1925"/>
        <item x="348"/>
        <item x="3297"/>
        <item x="1554"/>
        <item x="1291"/>
        <item x="2452"/>
        <item x="814"/>
        <item x="123"/>
        <item x="1974"/>
        <item x="182"/>
        <item x="362"/>
        <item x="4056"/>
        <item x="480"/>
        <item x="2568"/>
        <item x="885"/>
        <item x="169"/>
        <item x="436"/>
        <item x="50"/>
        <item x="77"/>
        <item x="4010"/>
        <item x="1244"/>
        <item x="460"/>
        <item x="679"/>
        <item x="1243"/>
        <item x="513"/>
        <item x="2891"/>
        <item x="2905"/>
        <item x="3564"/>
        <item x="204"/>
        <item x="371"/>
        <item x="2869"/>
        <item x="936"/>
        <item x="4169"/>
        <item x="3636"/>
        <item x="2795"/>
        <item x="1964"/>
        <item x="1813"/>
        <item x="3112"/>
        <item x="1175"/>
        <item x="84"/>
        <item x="1587"/>
        <item x="3919"/>
        <item x="102"/>
        <item x="2471"/>
        <item x="2622"/>
        <item x="1853"/>
        <item x="483"/>
        <item x="2661"/>
        <item x="539"/>
        <item x="2459"/>
        <item x="2140"/>
        <item x="1113"/>
        <item x="363"/>
        <item x="113"/>
        <item x="3990"/>
        <item x="3184"/>
        <item x="795"/>
        <item x="963"/>
        <item x="907"/>
        <item x="655"/>
        <item x="417"/>
        <item x="1738"/>
        <item x="3734"/>
        <item x="3853"/>
        <item x="195"/>
        <item x="1290"/>
        <item x="822"/>
        <item x="1873"/>
        <item x="642"/>
        <item x="846"/>
        <item x="2630"/>
        <item x="2765"/>
        <item x="1802"/>
        <item x="2155"/>
        <item x="257"/>
        <item x="1536"/>
        <item x="38"/>
        <item x="1667"/>
        <item x="231"/>
        <item x="1898"/>
        <item x="3189"/>
        <item x="2981"/>
        <item x="945"/>
        <item x="325"/>
        <item x="29"/>
        <item x="990"/>
        <item x="225"/>
        <item x="2079"/>
        <item x="168"/>
        <item x="824"/>
        <item x="3555"/>
        <item x="4023"/>
        <item x="44"/>
        <item x="2936"/>
        <item x="4142"/>
        <item x="516"/>
        <item x="2499"/>
        <item x="1690"/>
        <item x="466"/>
        <item x="787"/>
        <item x="1359"/>
        <item x="1266"/>
        <item x="2986"/>
        <item x="1084"/>
        <item x="1054"/>
        <item x="896"/>
        <item x="2382"/>
        <item x="2358"/>
        <item x="96"/>
        <item x="1435"/>
        <item x="309"/>
        <item x="74"/>
        <item x="112"/>
        <item x="1028"/>
        <item x="4165"/>
        <item x="1126"/>
        <item x="3596"/>
        <item x="610"/>
        <item x="2556"/>
        <item x="1592"/>
        <item x="3233"/>
        <item x="2427"/>
        <item x="162"/>
        <item x="634"/>
        <item x="639"/>
        <item x="2578"/>
        <item x="2502"/>
        <item x="2376"/>
        <item x="2908"/>
        <item x="4593"/>
        <item x="4616"/>
        <item x="270"/>
        <item x="2978"/>
        <item x="928"/>
        <item x="4506"/>
        <item x="3329"/>
        <item x="476"/>
        <item x="85"/>
        <item x="106"/>
        <item x="2920"/>
        <item x="2820"/>
        <item x="1332"/>
        <item x="416"/>
        <item x="3994"/>
        <item x="2009"/>
        <item x="1007"/>
        <item x="4311"/>
        <item x="4020"/>
        <item x="2673"/>
        <item x="842"/>
        <item x="886"/>
        <item x="3989"/>
        <item x="3988"/>
        <item x="2071"/>
        <item x="3050"/>
        <item x="2766"/>
        <item x="3914"/>
        <item x="3122"/>
        <item x="201"/>
        <item x="509"/>
        <item x="2977"/>
        <item x="3744"/>
        <item x="1004"/>
        <item x="1864"/>
        <item x="4272"/>
        <item x="1982"/>
        <item x="3780"/>
        <item x="285"/>
        <item x="920"/>
        <item x="2956"/>
        <item x="419"/>
        <item x="1474"/>
        <item x="617"/>
        <item x="4582"/>
        <item x="3573"/>
        <item x="196"/>
        <item x="118"/>
        <item x="472"/>
        <item x="4597"/>
        <item x="1672"/>
        <item x="4072"/>
        <item x="3813"/>
        <item x="3546"/>
        <item x="1182"/>
        <item x="1296"/>
        <item x="1273"/>
        <item x="3935"/>
        <item x="4545"/>
        <item x="355"/>
        <item x="3033"/>
        <item x="4348"/>
        <item x="1267"/>
        <item x="3759"/>
        <item x="1959"/>
        <item x="3202"/>
        <item x="399"/>
        <item x="1271"/>
        <item x="2538"/>
        <item x="1150"/>
        <item x="740"/>
        <item x="2333"/>
        <item x="1374"/>
        <item x="1582"/>
        <item x="697"/>
        <item x="2638"/>
        <item x="1825"/>
        <item x="2507"/>
        <item x="3249"/>
        <item x="1000"/>
        <item x="858"/>
        <item x="203"/>
        <item x="2184"/>
        <item x="2718"/>
        <item x="1778"/>
        <item x="2276"/>
        <item x="3454"/>
        <item x="1555"/>
        <item x="3682"/>
        <item x="2842"/>
        <item x="94"/>
        <item x="1576"/>
        <item x="1228"/>
        <item x="4437"/>
        <item x="3447"/>
        <item x="800"/>
        <item x="2312"/>
        <item x="1187"/>
        <item x="1384"/>
        <item x="1109"/>
        <item x="855"/>
        <item x="2435"/>
        <item x="64"/>
        <item x="2063"/>
        <item x="3254"/>
        <item x="332"/>
        <item x="573"/>
        <item x="286"/>
        <item x="3533"/>
        <item x="2438"/>
        <item x="871"/>
        <item x="1031"/>
        <item x="197"/>
        <item x="838"/>
        <item x="3431"/>
        <item x="1779"/>
        <item x="2523"/>
        <item x="3585"/>
        <item x="3998"/>
        <item x="2296"/>
        <item x="127"/>
        <item x="3059"/>
        <item x="373"/>
        <item x="242"/>
        <item x="3030"/>
        <item x="3097"/>
        <item x="1570"/>
        <item x="1061"/>
        <item x="3031"/>
        <item x="2341"/>
        <item x="3492"/>
        <item x="1541"/>
        <item x="3495"/>
        <item x="4254"/>
        <item x="1943"/>
        <item x="450"/>
        <item x="1357"/>
        <item x="109"/>
        <item x="1231"/>
        <item x="2346"/>
        <item x="1877"/>
        <item x="1352"/>
        <item x="3532"/>
        <item x="2073"/>
        <item x="2874"/>
        <item x="53"/>
        <item x="857"/>
        <item x="946"/>
        <item x="2989"/>
        <item x="246"/>
        <item x="3080"/>
        <item x="3298"/>
        <item x="2726"/>
        <item x="579"/>
        <item x="1246"/>
        <item x="278"/>
        <item x="4219"/>
        <item x="499"/>
        <item x="3614"/>
        <item x="729"/>
        <item x="1739"/>
        <item x="4055"/>
        <item x="2491"/>
        <item x="134"/>
        <item x="3138"/>
        <item x="3375"/>
        <item x="2229"/>
        <item x="439"/>
        <item x="321"/>
        <item x="1623"/>
        <item x="713"/>
        <item x="4146"/>
        <item x="49"/>
        <item x="282"/>
        <item x="2503"/>
        <item x="440"/>
        <item x="5"/>
        <item x="2022"/>
        <item x="273"/>
        <item x="155"/>
        <item x="2602"/>
        <item x="364"/>
        <item x="3222"/>
        <item x="244"/>
        <item x="4301"/>
        <item x="3321"/>
        <item x="1119"/>
        <item x="1011"/>
        <item x="150"/>
        <item x="3623"/>
        <item x="2429"/>
        <item x="821"/>
        <item x="3159"/>
        <item x="1776"/>
        <item x="2631"/>
        <item x="1676"/>
        <item x="852"/>
        <item x="665"/>
        <item x="1614"/>
        <item x="1196"/>
        <item x="4107"/>
        <item x="887"/>
        <item x="1369"/>
        <item x="3676"/>
        <item x="2759"/>
        <item x="420"/>
        <item x="2320"/>
        <item x="584"/>
        <item x="2123"/>
        <item x="90"/>
        <item x="17"/>
        <item x="674"/>
        <item x="336"/>
        <item x="2686"/>
        <item x="1861"/>
        <item x="1199"/>
        <item x="3435"/>
        <item x="745"/>
        <item x="2773"/>
        <item x="2023"/>
        <item x="3654"/>
        <item x="385"/>
        <item x="1528"/>
        <item x="241"/>
        <item x="2293"/>
        <item x="512"/>
        <item x="3561"/>
        <item x="425"/>
        <item x="3470"/>
        <item x="1638"/>
        <item x="2864"/>
        <item x="3678"/>
        <item x="3554"/>
        <item x="331"/>
        <item x="1026"/>
        <item x="2656"/>
        <item x="1816"/>
        <item x="4331"/>
        <item x="37"/>
        <item x="3336"/>
        <item x="4358"/>
        <item x="2005"/>
        <item x="725"/>
        <item x="2339"/>
        <item x="2776"/>
        <item x="1848"/>
        <item x="568"/>
        <item x="2413"/>
        <item x="3026"/>
        <item x="381"/>
        <item x="607"/>
        <item x="1156"/>
        <item x="538"/>
        <item x="2183"/>
        <item x="3993"/>
        <item x="2368"/>
        <item x="3668"/>
        <item x="1889"/>
        <item x="274"/>
        <item x="1248"/>
        <item x="4204"/>
        <item x="554"/>
        <item x="448"/>
        <item x="1893"/>
        <item x="3933"/>
        <item x="3359"/>
        <item x="1032"/>
        <item x="1105"/>
        <item x="2711"/>
        <item x="2925"/>
        <item x="540"/>
        <item x="987"/>
        <item x="529"/>
        <item x="2158"/>
        <item x="3408"/>
        <item x="677"/>
        <item x="153"/>
        <item x="2437"/>
        <item x="819"/>
        <item x="423"/>
        <item x="777"/>
        <item x="1334"/>
        <item x="848"/>
        <item x="3691"/>
        <item x="2161"/>
        <item x="1005"/>
        <item x="782"/>
        <item x="2325"/>
        <item x="929"/>
        <item x="616"/>
        <item x="2938"/>
        <item x="4144"/>
        <item x="1301"/>
        <item x="47"/>
        <item x="2757"/>
        <item x="4572"/>
        <item x="1121"/>
        <item x="3762"/>
        <item x="1135"/>
        <item x="659"/>
        <item x="2019"/>
        <item x="414"/>
        <item x="1890"/>
        <item x="117"/>
        <item x="2731"/>
        <item x="1626"/>
        <item x="4196"/>
        <item x="1157"/>
        <item x="2928"/>
        <item x="1911"/>
        <item x="166"/>
        <item x="3032"/>
        <item x="3225"/>
        <item x="592"/>
        <item x="1498"/>
        <item x="3490"/>
        <item x="1771"/>
        <item x="3451"/>
        <item x="1065"/>
        <item x="1272"/>
        <item x="4279"/>
        <item x="4230"/>
        <item x="4156"/>
        <item x="3194"/>
        <item x="3099"/>
        <item x="1392"/>
        <item x="4379"/>
        <item x="2717"/>
        <item x="4609"/>
        <item x="2240"/>
        <item x="4528"/>
        <item x="1607"/>
        <item x="1088"/>
        <item x="3364"/>
        <item x="4109"/>
        <item x="391"/>
        <item x="1920"/>
        <item x="4605"/>
        <item x="45"/>
        <item x="3296"/>
        <item x="3418"/>
        <item x="4591"/>
        <item x="3126"/>
        <item x="3512"/>
        <item x="4544"/>
        <item x="2901"/>
        <item x="1734"/>
        <item x="235"/>
        <item x="4556"/>
        <item x="1564"/>
        <item x="1956"/>
        <item x="3217"/>
        <item x="1143"/>
        <item x="2882"/>
        <item x="1408"/>
        <item x="1402"/>
        <item x="699"/>
        <item x="2562"/>
        <item x="4427"/>
        <item x="4539"/>
        <item x="989"/>
        <item x="551"/>
        <item x="851"/>
        <item x="2162"/>
        <item x="1441"/>
        <item x="2537"/>
        <item x="441"/>
        <item x="1259"/>
        <item x="3193"/>
        <item x="1471"/>
        <item x="2723"/>
        <item x="71"/>
        <item x="4520"/>
        <item x="2303"/>
        <item x="628"/>
        <item x="3416"/>
        <item x="2178"/>
        <item x="2949"/>
        <item x="724"/>
        <item x="867"/>
        <item x="1176"/>
        <item x="3072"/>
        <item x="3515"/>
        <item x="2894"/>
        <item x="559"/>
        <item x="4555"/>
        <item x="1153"/>
        <item x="3906"/>
        <item x="1512"/>
        <item x="1378"/>
        <item x="2566"/>
        <item x="3163"/>
        <item x="3562"/>
        <item x="502"/>
        <item x="4250"/>
        <item x="3334"/>
        <item x="3337"/>
        <item x="496"/>
        <item x="4126"/>
        <item x="1046"/>
        <item x="4574"/>
        <item x="1765"/>
        <item x="844"/>
        <item x="1316"/>
        <item x="728"/>
        <item x="964"/>
        <item x="457"/>
        <item x="3302"/>
        <item x="3689"/>
        <item x="4063"/>
        <item x="3732"/>
        <item x="2510"/>
        <item x="2714"/>
        <item x="4145"/>
        <item x="2308"/>
        <item x="1285"/>
        <item x="3575"/>
        <item x="56"/>
        <item x="2295"/>
        <item x="3808"/>
        <item x="3278"/>
        <item x="2730"/>
        <item x="3061"/>
        <item x="3299"/>
        <item x="914"/>
        <item x="1596"/>
        <item x="899"/>
        <item x="749"/>
        <item x="918"/>
        <item x="3177"/>
        <item x="300"/>
        <item x="2428"/>
        <item x="3540"/>
        <item x="2091"/>
        <item x="931"/>
        <item x="372"/>
        <item x="648"/>
        <item x="4488"/>
        <item x="3942"/>
        <item x="1681"/>
        <item x="3775"/>
        <item x="2156"/>
        <item x="1225"/>
        <item x="974"/>
        <item x="30"/>
        <item x="1764"/>
        <item x="3136"/>
        <item x="2371"/>
        <item x="2422"/>
        <item x="829"/>
        <item x="966"/>
        <item x="2180"/>
        <item x="3803"/>
        <item x="2592"/>
        <item x="1574"/>
        <item x="3154"/>
        <item x="1260"/>
        <item x="1965"/>
        <item x="3704"/>
        <item x="58"/>
        <item x="970"/>
        <item x="910"/>
        <item x="3557"/>
        <item x="1663"/>
        <item x="2597"/>
        <item x="1066"/>
        <item x="2985"/>
        <item x="4228"/>
        <item x="1668"/>
        <item x="79"/>
        <item x="3641"/>
        <item x="4133"/>
        <item x="2520"/>
        <item x="2410"/>
        <item x="1151"/>
        <item x="1452"/>
        <item x="2012"/>
        <item x="1086"/>
        <item x="1075"/>
        <item x="4330"/>
        <item x="3346"/>
        <item x="3089"/>
        <item x="2725"/>
        <item x="647"/>
        <item x="1895"/>
        <item x="3536"/>
        <item x="1245"/>
        <item x="1562"/>
        <item x="1563"/>
        <item x="2999"/>
        <item x="3214"/>
        <item x="1641"/>
        <item x="2234"/>
        <item x="1480"/>
        <item x="3626"/>
        <item x="262"/>
        <item x="3306"/>
        <item x="4511"/>
        <item x="3269"/>
        <item x="632"/>
        <item x="2294"/>
        <item x="160"/>
        <item x="1758"/>
        <item x="544"/>
        <item x="1897"/>
        <item x="2846"/>
        <item x="1302"/>
        <item x="1303"/>
        <item x="2403"/>
        <item x="1891"/>
        <item x="69"/>
        <item x="555"/>
        <item x="1963"/>
        <item x="2610"/>
        <item x="1038"/>
        <item x="2389"/>
        <item x="1165"/>
        <item x="207"/>
        <item x="3655"/>
        <item x="2784"/>
        <item x="2351"/>
        <item x="598"/>
        <item x="825"/>
        <item x="3205"/>
        <item x="382"/>
        <item x="236"/>
        <item x="3842"/>
        <item x="1293"/>
        <item x="2317"/>
        <item x="2800"/>
        <item x="3527"/>
        <item x="1489"/>
        <item x="2904"/>
        <item x="3025"/>
        <item x="4349"/>
        <item x="3969"/>
        <item x="4022"/>
        <item x="878"/>
        <item x="267"/>
        <item x="259"/>
        <item x="3970"/>
        <item x="2788"/>
        <item x="3449"/>
        <item x="3325"/>
        <item x="1256"/>
        <item x="194"/>
        <item x="1309"/>
        <item x="2015"/>
        <item x="2987"/>
        <item x="3036"/>
        <item x="405"/>
        <item x="4420"/>
        <item x="4384"/>
        <item x="2177"/>
        <item x="701"/>
        <item x="1270"/>
        <item x="796"/>
        <item x="678"/>
        <item x="2235"/>
        <item x="1938"/>
        <item x="1656"/>
        <item x="2247"/>
        <item x="1407"/>
        <item x="3274"/>
        <item x="95"/>
        <item x="2990"/>
        <item x="2404"/>
        <item x="4527"/>
        <item x="3819"/>
        <item x="205"/>
        <item x="1276"/>
        <item x="3884"/>
        <item x="3387"/>
        <item x="2623"/>
        <item x="3840"/>
        <item x="883"/>
        <item x="2685"/>
        <item x="3528"/>
        <item x="4307"/>
        <item x="4124"/>
        <item x="142"/>
        <item x="675"/>
        <item x="2952"/>
        <item x="1617"/>
        <item x="1030"/>
        <item x="1192"/>
        <item x="327"/>
        <item x="1419"/>
        <item x="2465"/>
        <item x="2054"/>
        <item x="299"/>
        <item x="854"/>
        <item x="4325"/>
        <item x="1181"/>
        <item x="3898"/>
        <item x="2242"/>
        <item x="3234"/>
        <item x="2038"/>
        <item x="2006"/>
        <item x="1421"/>
        <item x="2145"/>
        <item x="4570"/>
        <item x="3710"/>
        <item x="3578"/>
        <item x="2696"/>
        <item x="1533"/>
        <item x="785"/>
        <item x="2034"/>
        <item x="2182"/>
        <item x="2770"/>
        <item x="240"/>
        <item x="1535"/>
        <item x="3012"/>
        <item x="3109"/>
        <item x="3235"/>
        <item x="55"/>
        <item x="624"/>
        <item x="2297"/>
        <item x="841"/>
        <item x="1770"/>
        <item x="1203"/>
        <item x="83"/>
        <item x="2277"/>
        <item x="1939"/>
        <item x="1652"/>
        <item x="1598"/>
        <item x="859"/>
        <item x="1806"/>
        <item x="1122"/>
        <item x="1024"/>
        <item x="969"/>
        <item x="377"/>
        <item x="328"/>
        <item x="2209"/>
        <item x="3178"/>
        <item x="1200"/>
        <item x="3268"/>
        <item x="3006"/>
        <item x="188"/>
        <item x="1706"/>
        <item x="2767"/>
        <item x="4523"/>
        <item x="2581"/>
        <item x="3714"/>
        <item x="722"/>
        <item x="1651"/>
        <item x="4101"/>
        <item x="2364"/>
        <item x="4603"/>
        <item x="2032"/>
        <item x="2599"/>
        <item x="395"/>
        <item x="2748"/>
        <item x="1760"/>
        <item x="1269"/>
        <item x="3587"/>
        <item x="4177"/>
        <item x="145"/>
        <item x="977"/>
        <item x="1051"/>
        <item x="1919"/>
        <item x="1748"/>
        <item x="3622"/>
        <item x="1049"/>
        <item x="3828"/>
        <item x="962"/>
        <item x="4102"/>
        <item x="2344"/>
        <item x="2600"/>
        <item x="1463"/>
        <item x="2791"/>
        <item x="3291"/>
        <item x="1846"/>
        <item x="3333"/>
        <item x="792"/>
        <item x="3599"/>
        <item x="1015"/>
        <item x="4320"/>
        <item x="3761"/>
        <item x="184"/>
        <item x="4480"/>
        <item x="766"/>
        <item x="4186"/>
        <item x="1684"/>
        <item x="3157"/>
        <item x="1009"/>
        <item x="2880"/>
        <item x="816"/>
        <item x="1341"/>
        <item x="3187"/>
        <item x="2412"/>
        <item x="129"/>
        <item x="4382"/>
        <item x="2943"/>
        <item x="3396"/>
        <item x="3246"/>
        <item x="1622"/>
        <item x="3673"/>
        <item x="2466"/>
        <item x="1875"/>
        <item x="2551"/>
        <item x="3443"/>
        <item x="2280"/>
        <item x="140"/>
        <item x="1926"/>
        <item x="2893"/>
        <item x="1822"/>
        <item x="174"/>
        <item x="3029"/>
        <item x="3702"/>
        <item x="3600"/>
        <item x="594"/>
        <item x="1845"/>
        <item x="1601"/>
        <item x="488"/>
        <item x="2373"/>
        <item x="1829"/>
        <item x="3415"/>
        <item x="1053"/>
        <item x="4288"/>
        <item x="2264"/>
        <item x="289"/>
        <item x="1736"/>
        <item x="1490"/>
        <item x="3943"/>
        <item x="2907"/>
        <item x="1912"/>
        <item x="2947"/>
        <item x="4132"/>
        <item x="1543"/>
        <item x="4235"/>
        <item x="3788"/>
        <item x="711"/>
        <item x="1211"/>
        <item x="2171"/>
        <item x="2222"/>
        <item x="1794"/>
        <item x="301"/>
        <item x="3977"/>
        <item x="3395"/>
        <item x="853"/>
        <item x="3044"/>
        <item x="3793"/>
        <item x="1159"/>
        <item x="4178"/>
        <item x="4117"/>
        <item x="2654"/>
        <item x="2395"/>
        <item x="2107"/>
        <item x="3530"/>
        <item x="3978"/>
        <item x="4039"/>
        <item x="1179"/>
        <item x="778"/>
        <item x="733"/>
        <item x="4336"/>
        <item x="4340"/>
        <item x="1229"/>
        <item x="2794"/>
        <item x="1219"/>
        <item x="3156"/>
        <item x="2775"/>
        <item x="2186"/>
        <item x="2752"/>
        <item x="389"/>
        <item x="1107"/>
        <item x="4411"/>
        <item x="2815"/>
        <item x="2153"/>
        <item x="692"/>
        <item x="412"/>
        <item x="1557"/>
        <item x="1578"/>
        <item x="61"/>
        <item x="4256"/>
        <item x="2655"/>
        <item x="3686"/>
        <item x="4192"/>
        <item x="3024"/>
        <item x="4483"/>
        <item x="3961"/>
        <item x="1823"/>
        <item x="2701"/>
        <item x="2421"/>
        <item x="503"/>
        <item x="553"/>
        <item x="1195"/>
        <item x="3835"/>
        <item x="3837"/>
        <item x="3308"/>
        <item x="1951"/>
        <item x="4354"/>
        <item x="40"/>
        <item x="3737"/>
        <item x="4095"/>
        <item x="1744"/>
        <item x="1138"/>
        <item x="3252"/>
        <item x="4485"/>
        <item x="1458"/>
        <item x="2982"/>
        <item x="593"/>
        <item x="3826"/>
        <item x="865"/>
        <item x="2375"/>
        <item x="1400"/>
        <item x="3929"/>
        <item x="1618"/>
        <item x="613"/>
        <item x="3586"/>
        <item x="3604"/>
        <item x="2082"/>
        <item x="2511"/>
        <item x="942"/>
        <item x="2448"/>
        <item x="1144"/>
        <item x="874"/>
        <item x="2415"/>
        <item x="1750"/>
        <item x="3738"/>
        <item x="468"/>
        <item x="170"/>
        <item x="2508"/>
        <item x="4500"/>
        <item x="3634"/>
        <item x="4212"/>
        <item x="1940"/>
        <item x="3491"/>
        <item x="3877"/>
        <item x="3881"/>
        <item x="2478"/>
        <item x="2737"/>
        <item x="1022"/>
        <item x="2608"/>
        <item x="2753"/>
        <item x="1689"/>
        <item x="3312"/>
        <item x="2128"/>
        <item x="291"/>
        <item x="2994"/>
        <item x="2028"/>
        <item x="2660"/>
        <item x="1465"/>
        <item x="1775"/>
        <item x="3230"/>
        <item x="3757"/>
        <item x="251"/>
        <item x="4484"/>
        <item x="1284"/>
        <item x="1173"/>
        <item x="497"/>
        <item x="2824"/>
        <item x="429"/>
        <item x="1237"/>
        <item x="2924"/>
        <item x="1462"/>
        <item x="452"/>
        <item x="1980"/>
        <item x="2500"/>
        <item x="384"/>
        <item x="957"/>
        <item x="514"/>
        <item x="2051"/>
        <item x="4046"/>
        <item x="1093"/>
        <item x="4419"/>
        <item x="1795"/>
        <item x="4175"/>
        <item x="1356"/>
        <item x="3088"/>
        <item x="1773"/>
        <item x="747"/>
        <item x="4110"/>
        <item x="1914"/>
        <item x="19"/>
        <item x="3213"/>
        <item x="4218"/>
        <item x="3429"/>
        <item x="2086"/>
        <item x="2750"/>
        <item x="2806"/>
        <item x="4270"/>
        <item x="2268"/>
        <item x="1252"/>
        <item x="4075"/>
        <item x="2783"/>
        <item x="2821"/>
        <item x="1518"/>
        <item x="903"/>
        <item x="2768"/>
        <item x="1968"/>
        <item x="3331"/>
        <item x="3524"/>
        <item x="923"/>
        <item x="407"/>
        <item x="1279"/>
        <item x="3951"/>
        <item x="151"/>
        <item x="1902"/>
        <item x="3796"/>
        <item x="296"/>
        <item x="4214"/>
        <item x="1909"/>
        <item x="504"/>
        <item x="2549"/>
        <item x="4297"/>
        <item x="3047"/>
        <item x="757"/>
        <item x="4159"/>
        <item x="921"/>
        <item x="3487"/>
        <item x="3792"/>
        <item x="224"/>
        <item x="4370"/>
        <item x="1612"/>
        <item x="750"/>
        <item x="769"/>
        <item x="2662"/>
        <item x="596"/>
        <item x="1399"/>
        <item x="3107"/>
        <item x="4466"/>
        <item x="4580"/>
        <item x="111"/>
        <item x="3277"/>
        <item x="4135"/>
        <item x="525"/>
        <item x="1726"/>
        <item x="815"/>
        <item x="3595"/>
        <item x="470"/>
        <item x="2021"/>
        <item x="808"/>
        <item x="3516"/>
        <item x="3459"/>
        <item x="767"/>
        <item x="755"/>
        <item x="2674"/>
        <item x="248"/>
        <item x="4296"/>
        <item x="2625"/>
        <item x="1788"/>
        <item x="3703"/>
        <item x="4397"/>
        <item x="2617"/>
        <item x="3367"/>
        <item x="3042"/>
        <item x="4130"/>
        <item x="3733"/>
        <item x="1670"/>
        <item x="104"/>
        <item x="836"/>
        <item x="356"/>
        <item x="2416"/>
        <item x="361"/>
        <item x="641"/>
        <item x="2392"/>
        <item x="2641"/>
        <item x="4561"/>
        <item x="4104"/>
        <item x="471"/>
        <item x="229"/>
        <item x="2975"/>
        <item x="431"/>
        <item x="1599"/>
        <item x="3496"/>
        <item x="3900"/>
        <item x="3390"/>
        <item x="2454"/>
        <item x="3525"/>
        <item x="2196"/>
        <item x="3521"/>
        <item x="2672"/>
        <item x="2911"/>
        <item x="4189"/>
        <item x="2637"/>
        <item x="4317"/>
        <item x="181"/>
        <item x="873"/>
        <item x="1426"/>
        <item x="3164"/>
        <item x="3190"/>
        <item x="302"/>
        <item x="3838"/>
        <item x="280"/>
        <item x="1351"/>
        <item x="4314"/>
        <item x="3865"/>
        <item x="1916"/>
        <item x="494"/>
        <item x="2598"/>
        <item x="3649"/>
        <item x="1580"/>
        <item x="1010"/>
        <item x="2355"/>
        <item x="1204"/>
        <item x="1221"/>
        <item x="3923"/>
        <item x="2534"/>
        <item x="1349"/>
        <item x="1627"/>
        <item x="3081"/>
        <item x="1818"/>
        <item x="1785"/>
        <item x="3947"/>
        <item x="901"/>
        <item x="320"/>
        <item x="99"/>
        <item x="4049"/>
        <item x="943"/>
        <item x="1850"/>
        <item x="1633"/>
        <item x="2991"/>
        <item x="2876"/>
        <item x="3727"/>
        <item x="3348"/>
        <item x="1746"/>
        <item x="3930"/>
        <item x="1769"/>
        <item x="983"/>
        <item x="3358"/>
        <item x="4502"/>
        <item x="1247"/>
        <item x="3203"/>
        <item x="3760"/>
        <item x="183"/>
        <item x="2253"/>
        <item x="1728"/>
        <item x="2666"/>
        <item x="3781"/>
        <item x="1306"/>
        <item x="4034"/>
        <item x="3917"/>
        <item x="3995"/>
        <item x="3283"/>
        <item x="4339"/>
        <item x="3344"/>
        <item x="4118"/>
        <item x="4560"/>
        <item x="22"/>
        <item x="3693"/>
        <item x="3770"/>
        <item x="4525"/>
        <item x="3987"/>
        <item x="4449"/>
        <item x="1288"/>
        <item x="4183"/>
        <item x="530"/>
        <item x="3152"/>
        <item x="681"/>
        <item x="4361"/>
        <item x="2533"/>
        <item x="4425"/>
        <item x="807"/>
        <item x="3690"/>
        <item x="3160"/>
        <item x="3568"/>
        <item x="4479"/>
        <item x="4540"/>
        <item x="3730"/>
        <item x="1979"/>
        <item x="4141"/>
        <item x="485"/>
        <item x="4052"/>
        <item x="438"/>
        <item x="3379"/>
        <item x="4247"/>
        <item x="4611"/>
        <item x="1310"/>
        <item x="2409"/>
        <item x="1680"/>
        <item x="734"/>
        <item x="284"/>
        <item x="4430"/>
        <item x="344"/>
        <item x="3643"/>
        <item x="345"/>
        <item x="2542"/>
        <item x="581"/>
        <item x="3218"/>
        <item x="3143"/>
        <item x="3867"/>
        <item x="1239"/>
        <item x="3498"/>
        <item x="2618"/>
        <item x="1697"/>
        <item x="1118"/>
        <item x="2474"/>
        <item x="3784"/>
        <item x="3168"/>
        <item x="3889"/>
        <item x="2439"/>
        <item x="80"/>
        <item x="683"/>
        <item x="4573"/>
        <item x="4554"/>
        <item x="1361"/>
        <item x="3692"/>
        <item x="1600"/>
        <item x="467"/>
        <item x="2774"/>
        <item x="2327"/>
        <item x="3369"/>
        <item x="868"/>
        <item x="4255"/>
        <item x="742"/>
        <item x="350"/>
        <item x="3374"/>
        <item x="1002"/>
        <item x="2046"/>
        <item x="2900"/>
        <item x="1789"/>
        <item x="1141"/>
        <item x="2850"/>
        <item x="4009"/>
        <item x="4134"/>
        <item x="2683"/>
        <item x="3453"/>
        <item x="306"/>
        <item x="3305"/>
        <item x="1255"/>
        <item x="3132"/>
        <item x="2132"/>
        <item x="1686"/>
        <item x="2185"/>
        <item x="2200"/>
        <item x="4326"/>
        <item x="876"/>
        <item x="4264"/>
        <item x="210"/>
        <item x="2945"/>
        <item x="3482"/>
        <item x="2087"/>
        <item x="2644"/>
        <item x="343"/>
        <item x="1413"/>
        <item x="34"/>
        <item x="2858"/>
        <item x="4350"/>
        <item x="2550"/>
        <item x="2398"/>
        <item x="2591"/>
        <item x="1975"/>
        <item x="3236"/>
        <item x="3066"/>
        <item x="1589"/>
        <item x="575"/>
        <item x="2165"/>
        <item x="1250"/>
        <item x="2345"/>
        <item x="4495"/>
        <item x="2232"/>
        <item x="3950"/>
        <item x="3500"/>
        <item x="82"/>
        <item x="3706"/>
        <item x="1295"/>
        <item x="2233"/>
        <item x="2684"/>
        <item x="1409"/>
        <item x="1507"/>
        <item x="3745"/>
        <item x="4061"/>
        <item x="1946"/>
        <item x="726"/>
        <item x="3672"/>
        <item x="1405"/>
        <item x="179"/>
        <item x="4536"/>
        <item x="3910"/>
        <item x="4504"/>
        <item x="1824"/>
        <item x="4287"/>
        <item x="3746"/>
        <item x="685"/>
        <item x="791"/>
        <item x="2665"/>
        <item x="3839"/>
        <item x="3145"/>
        <item x="1725"/>
        <item x="3211"/>
        <item x="2720"/>
        <item x="1424"/>
        <item x="1573"/>
        <item x="2290"/>
        <item x="2604"/>
        <item x="1849"/>
        <item x="52"/>
        <item x="3913"/>
        <item x="1127"/>
        <item x="924"/>
        <item x="1913"/>
        <item x="900"/>
        <item x="790"/>
        <item x="398"/>
        <item x="4476"/>
        <item x="3392"/>
        <item x="3577"/>
        <item x="676"/>
        <item x="3967"/>
        <item x="3420"/>
        <item x="4501"/>
        <item x="828"/>
        <item x="3467"/>
        <item x="3559"/>
        <item x="4040"/>
        <item x="2667"/>
        <item x="3679"/>
        <item x="4557"/>
        <item x="2704"/>
        <item x="2104"/>
        <item x="1595"/>
        <item x="63"/>
        <item x="2496"/>
        <item x="3129"/>
        <item x="2629"/>
        <item x="3613"/>
        <item x="3480"/>
        <item x="3172"/>
        <item x="556"/>
        <item x="334"/>
        <item x="3489"/>
        <item x="1096"/>
        <item x="1085"/>
        <item x="4131"/>
        <item x="2008"/>
        <item x="3481"/>
        <item x="4589"/>
        <item x="2387"/>
        <item x="1047"/>
        <item x="2254"/>
        <item x="2792"/>
        <item x="1282"/>
        <item x="888"/>
        <item x="469"/>
        <item x="2763"/>
        <item x="2845"/>
        <item x="2983"/>
        <item x="1147"/>
        <item x="4434"/>
        <item x="2883"/>
        <item x="781"/>
        <item x="1928"/>
        <item x="173"/>
        <item x="2336"/>
        <item x="4015"/>
        <item x="4439"/>
        <item x="3060"/>
        <item x="1935"/>
        <item x="415"/>
        <item x="131"/>
        <item x="3697"/>
        <item x="4116"/>
        <item x="3699"/>
        <item x="721"/>
        <item x="2377"/>
        <item x="2698"/>
        <item x="552"/>
        <item x="2417"/>
        <item x="2940"/>
        <item x="2875"/>
        <item x="2678"/>
        <item x="3750"/>
        <item x="2084"/>
        <item x="3660"/>
        <item x="2749"/>
        <item x="4521"/>
        <item x="1786"/>
        <item x="3653"/>
        <item x="491"/>
        <item x="3768"/>
        <item x="2163"/>
        <item x="2281"/>
        <item x="4608"/>
        <item x="3789"/>
        <item x="1719"/>
        <item x="4233"/>
        <item x="2937"/>
        <item x="3384"/>
        <item x="4197"/>
        <item x="4093"/>
        <item x="3388"/>
        <item x="4258"/>
        <item x="2026"/>
        <item x="4571"/>
        <item x="3276"/>
        <item x="2547"/>
        <item x="3543"/>
        <item x="149"/>
        <item x="4038"/>
        <item x="735"/>
        <item x="3650"/>
        <item x="3307"/>
        <item x="523"/>
        <item x="3248"/>
        <item x="3863"/>
        <item x="4357"/>
        <item x="3479"/>
        <item x="3111"/>
        <item x="2524"/>
        <item x="456"/>
        <item x="2157"/>
        <item x="4240"/>
        <item x="346"/>
        <item x="703"/>
        <item x="3338"/>
        <item x="25"/>
        <item x="2872"/>
        <item x="2574"/>
        <item x="1931"/>
        <item x="2095"/>
        <item x="534"/>
        <item x="2202"/>
        <item x="2179"/>
        <item x="3628"/>
        <item x="2174"/>
        <item x="710"/>
        <item x="1701"/>
        <item x="3827"/>
        <item x="3117"/>
        <item x="3474"/>
        <item x="2764"/>
        <item x="1814"/>
        <item x="2772"/>
        <item x="3241"/>
        <item x="1403"/>
        <item x="1089"/>
        <item x="739"/>
        <item x="1655"/>
        <item x="4547"/>
        <item x="3936"/>
        <item x="1019"/>
        <item x="2441"/>
        <item x="2570"/>
        <item x="3666"/>
        <item x="3261"/>
        <item x="1905"/>
        <item x="3216"/>
        <item x="2451"/>
        <item x="999"/>
        <item x="4243"/>
        <item x="2832"/>
        <item x="3410"/>
        <item x="2239"/>
        <item x="2535"/>
        <item x="1171"/>
        <item x="1863"/>
        <item x="4064"/>
        <item x="2609"/>
        <item x="1525"/>
        <item x="3859"/>
        <item x="2501"/>
        <item x="1992"/>
        <item x="1586"/>
        <item x="4182"/>
        <item x="708"/>
        <item x="2092"/>
        <item x="3356"/>
        <item x="992"/>
        <item x="1523"/>
        <item x="2777"/>
        <item x="1060"/>
        <item x="543"/>
        <item x="1504"/>
        <item x="1978"/>
        <item x="180"/>
        <item x="41"/>
        <item x="753"/>
        <item x="4244"/>
        <item x="1008"/>
        <item x="1844"/>
        <item x="3908"/>
        <item x="4318"/>
        <item x="3518"/>
        <item x="4436"/>
        <item x="2819"/>
        <item x="1467"/>
        <item x="765"/>
        <item x="4584"/>
        <item x="2886"/>
        <item x="4036"/>
        <item x="1043"/>
        <item x="2954"/>
        <item x="2040"/>
        <item x="233"/>
        <item x="3100"/>
        <item x="1062"/>
        <item x="478"/>
        <item x="1634"/>
        <item x="4190"/>
        <item x="3022"/>
        <item x="720"/>
        <item x="3330"/>
        <item x="2851"/>
        <item x="159"/>
        <item x="1167"/>
        <item x="2856"/>
        <item x="3389"/>
        <item x="1812"/>
        <item x="324"/>
        <item x="3069"/>
        <item x="1162"/>
        <item x="2786"/>
        <item x="1042"/>
        <item x="667"/>
        <item x="4335"/>
        <item x="2761"/>
        <item x="3311"/>
        <item x="2529"/>
        <item x="4590"/>
        <item x="4062"/>
        <item x="2141"/>
        <item x="3751"/>
        <item x="3282"/>
        <item x="1874"/>
        <item x="4259"/>
        <item x="4444"/>
        <item x="3749"/>
        <item x="3774"/>
        <item x="3300"/>
        <item x="2134"/>
        <item x="1491"/>
        <item x="4179"/>
        <item x="2927"/>
        <item x="2112"/>
        <item x="1740"/>
        <item x="68"/>
        <item x="3921"/>
        <item x="2935"/>
        <item x="4078"/>
        <item x="1395"/>
        <item x="3078"/>
        <item x="2747"/>
        <item x="1045"/>
        <item x="272"/>
        <item x="404"/>
        <item x="2586"/>
        <item x="3365"/>
        <item x="4423"/>
        <item x="1397"/>
        <item x="4440"/>
        <item x="1236"/>
        <item x="2088"/>
        <item x="3855"/>
        <item x="4164"/>
        <item x="2863"/>
        <item x="3782"/>
        <item x="2199"/>
        <item x="133"/>
        <item x="2993"/>
        <item x="3582"/>
        <item x="3581"/>
        <item x="3488"/>
        <item x="2555"/>
        <item x="1654"/>
        <item x="2525"/>
        <item x="198"/>
        <item x="2640"/>
        <item x="1685"/>
        <item x="3694"/>
        <item x="2742"/>
        <item x="2485"/>
        <item x="1542"/>
        <item x="4612"/>
        <item x="1884"/>
        <item x="1475"/>
        <item x="1847"/>
        <item x="1924"/>
        <item x="3104"/>
        <item x="493"/>
        <item x="2244"/>
        <item x="784"/>
        <item x="2835"/>
        <item x="3931"/>
        <item x="794"/>
        <item x="4388"/>
        <item x="2148"/>
        <item x="3739"/>
        <item x="754"/>
        <item x="4390"/>
        <item x="317"/>
        <item x="1930"/>
        <item x="86"/>
        <item x="1468"/>
        <item x="87"/>
        <item x="2083"/>
        <item x="3741"/>
        <item x="2475"/>
        <item x="4105"/>
        <item x="2738"/>
        <item x="2058"/>
        <item x="1017"/>
        <item x="3133"/>
        <item x="4587"/>
        <item x="2594"/>
        <item x="2699"/>
        <item x="793"/>
        <item x="2457"/>
        <item x="1483"/>
        <item x="283"/>
        <item x="2553"/>
        <item x="3351"/>
        <item x="2589"/>
        <item x="640"/>
        <item x="1328"/>
        <item x="2575"/>
        <item x="4617"/>
        <item x="2798"/>
        <item x="1364"/>
        <item x="3414"/>
        <item x="4481"/>
        <item x="1396"/>
        <item x="2114"/>
        <item x="1696"/>
        <item x="3444"/>
        <item x="827"/>
        <item x="1858"/>
        <item x="4543"/>
        <item x="2968"/>
        <item x="3063"/>
        <item x="1585"/>
        <item x="3295"/>
        <item x="2849"/>
        <item x="4013"/>
        <item x="1391"/>
        <item x="1976"/>
        <item x="646"/>
        <item x="2467"/>
        <item x="3725"/>
        <item x="1044"/>
        <item x="3433"/>
        <item x="884"/>
        <item x="1998"/>
        <item x="378"/>
        <item x="1251"/>
        <item x="3342"/>
        <item x="1371"/>
        <item x="1625"/>
        <item x="4161"/>
        <item x="4275"/>
        <item x="433"/>
        <item x="2064"/>
        <item x="146"/>
        <item x="3802"/>
        <item x="2593"/>
        <item x="1240"/>
        <item x="275"/>
        <item x="4298"/>
        <item x="971"/>
        <item x="976"/>
        <item x="4405"/>
        <item x="2251"/>
        <item x="2055"/>
        <item x="4229"/>
        <item x="2577"/>
        <item x="3144"/>
        <item x="2827"/>
        <item x="2690"/>
        <item x="3238"/>
        <item x="2449"/>
        <item x="3811"/>
        <item x="4140"/>
        <item x="4096"/>
        <item x="1023"/>
        <item x="4082"/>
        <item x="1385"/>
        <item x="2997"/>
        <item x="4415"/>
        <item x="2489"/>
        <item x="4559"/>
        <item x="3345"/>
        <item x="643"/>
        <item x="178"/>
        <item x="2385"/>
        <item x="626"/>
        <item x="1178"/>
        <item x="1575"/>
        <item x="2349"/>
        <item x="4494"/>
        <item x="2386"/>
        <item x="4195"/>
        <item x="1808"/>
        <item x="2175"/>
        <item x="2971"/>
        <item x="4429"/>
        <item x="3371"/>
        <item x="2785"/>
        <item x="1453"/>
        <item x="1213"/>
        <item x="3150"/>
        <item x="4478"/>
        <item x="1375"/>
        <item x="2215"/>
        <item x="2732"/>
        <item x="2283"/>
        <item x="2062"/>
        <item x="158"/>
        <item x="2124"/>
        <item x="2133"/>
        <item x="4119"/>
        <item x="2522"/>
        <item x="3814"/>
        <item x="2970"/>
        <item x="2103"/>
        <item x="4043"/>
        <item x="2944"/>
        <item x="89"/>
        <item x="2108"/>
        <item x="4458"/>
        <item x="4428"/>
        <item x="2867"/>
        <item x="4332"/>
        <item x="1624"/>
        <item x="3335"/>
        <item x="682"/>
        <item x="2414"/>
        <item x="3199"/>
        <item x="307"/>
        <item x="672"/>
        <item x="3726"/>
        <item x="2921"/>
        <item x="1958"/>
        <item x="780"/>
        <item x="342"/>
        <item x="2740"/>
        <item x="518"/>
        <item x="3598"/>
        <item x="2285"/>
        <item x="4401"/>
        <item x="991"/>
        <item x="4395"/>
        <item x="1703"/>
        <item x="1653"/>
        <item x="1545"/>
        <item x="2804"/>
        <item x="482"/>
        <item x="3875"/>
        <item x="120"/>
        <item x="3322"/>
        <item x="3883"/>
        <item x="2246"/>
        <item x="2836"/>
        <item x="3854"/>
        <item x="3251"/>
        <item x="911"/>
        <item x="3905"/>
        <item x="1860"/>
        <item x="2521"/>
        <item x="2621"/>
        <item x="638"/>
        <item x="3266"/>
        <item x="2855"/>
        <item x="428"/>
        <item x="3402"/>
        <item x="3544"/>
        <item x="799"/>
        <item x="66"/>
        <item x="950"/>
        <item x="1718"/>
        <item x="3728"/>
        <item x="396"/>
        <item x="4091"/>
        <item x="2915"/>
        <item x="2896"/>
        <item x="4373"/>
        <item x="3846"/>
        <item x="2497"/>
        <item x="216"/>
        <item x="4019"/>
        <item x="746"/>
        <item x="98"/>
        <item x="1363"/>
        <item x="3976"/>
        <item x="2675"/>
        <item x="934"/>
        <item x="597"/>
        <item x="1957"/>
        <item x="847"/>
        <item x="3996"/>
        <item x="2442"/>
        <item x="860"/>
        <item x="2569"/>
        <item x="4371"/>
        <item x="4380"/>
        <item x="1092"/>
        <item x="152"/>
        <item x="1985"/>
        <item x="4383"/>
        <item x="4463"/>
        <item x="3271"/>
        <item x="4355"/>
        <item x="1386"/>
        <item x="3868"/>
        <item x="4529"/>
        <item x="2664"/>
        <item x="1190"/>
        <item x="3040"/>
        <item x="3493"/>
        <item x="3755"/>
        <item x="3074"/>
        <item x="3170"/>
        <item x="4588"/>
        <item x="2057"/>
        <item x="3422"/>
        <item x="1329"/>
        <item x="3084"/>
        <item x="2530"/>
        <item x="2302"/>
        <item x="4171"/>
        <item x="759"/>
        <item x="1095"/>
        <item x="2408"/>
        <item x="1382"/>
        <item x="3715"/>
        <item x="4245"/>
        <item x="3658"/>
        <item x="1262"/>
        <item x="3281"/>
        <item x="462"/>
        <item x="1527"/>
        <item x="2030"/>
        <item x="3847"/>
        <item x="3594"/>
        <item x="2813"/>
        <item x="2131"/>
        <item x="292"/>
        <item x="2000"/>
        <item x="583"/>
        <item x="2069"/>
        <item x="2680"/>
        <item x="463"/>
        <item x="2588"/>
        <item x="856"/>
        <item x="2356"/>
        <item x="2045"/>
        <item x="636"/>
        <item x="547"/>
        <item x="1338"/>
        <item x="277"/>
        <item x="2432"/>
        <item x="1531"/>
        <item x="1947"/>
        <item x="1955"/>
        <item x="4170"/>
        <item x="3535"/>
        <item x="2396"/>
        <item x="2031"/>
        <item x="1108"/>
        <item x="1888"/>
        <item x="3932"/>
        <item x="2330"/>
        <item x="2554"/>
        <item x="2903"/>
        <item x="223"/>
        <item x="3130"/>
        <item x="3394"/>
        <item x="4553"/>
        <item x="4455"/>
        <item x="1606"/>
        <item x="1067"/>
        <item x="2291"/>
        <item x="442"/>
        <item x="1253"/>
        <item x="221"/>
        <item x="3991"/>
        <item x="2077"/>
        <item x="4535"/>
        <item x="698"/>
        <item x="3279"/>
        <item x="2252"/>
        <item x="941"/>
        <item x="3034"/>
        <item x="2762"/>
        <item x="3468"/>
        <item x="1983"/>
        <item x="909"/>
        <item x="2733"/>
        <item x="1116"/>
        <item x="615"/>
        <item x="3754"/>
        <item x="3523"/>
        <item x="1430"/>
        <item x="3823"/>
        <item x="3949"/>
        <item x="4347"/>
        <item x="4099"/>
        <item x="2433"/>
        <item x="4162"/>
        <item x="3103"/>
        <item x="1927"/>
        <item x="3438"/>
        <item x="1970"/>
        <item x="3804"/>
        <item x="3541"/>
        <item x="1432"/>
        <item x="4299"/>
        <item x="2115"/>
        <item x="3250"/>
        <item x="358"/>
        <item x="3430"/>
        <item x="2817"/>
        <item x="2473"/>
        <item x="4149"/>
        <item x="3439"/>
        <item x="2075"/>
        <item x="1704"/>
        <item x="3400"/>
        <item x="2959"/>
        <item x="2129"/>
        <item x="2682"/>
        <item x="4598"/>
        <item x="3101"/>
        <item x="1428"/>
        <item x="1678"/>
        <item x="237"/>
        <item x="3529"/>
        <item x="4068"/>
        <item x="33"/>
        <item x="1100"/>
        <item x="3605"/>
        <item x="501"/>
        <item x="2941"/>
        <item x="4537"/>
        <item x="1226"/>
        <item x="4088"/>
        <item x="2548"/>
        <item x="4451"/>
        <item x="506"/>
        <item x="4599"/>
        <item x="2857"/>
        <item x="3992"/>
        <item x="4493"/>
        <item x="1705"/>
        <item x="621"/>
        <item x="4391"/>
        <item x="1106"/>
        <item x="2456"/>
        <item x="3918"/>
        <item x="770"/>
        <item x="2719"/>
        <item x="536"/>
        <item x="691"/>
        <item x="1842"/>
        <item x="2932"/>
        <item x="451"/>
        <item x="1142"/>
        <item x="2173"/>
        <item x="2782"/>
        <item x="2049"/>
        <item x="1373"/>
        <item x="1619"/>
        <item x="1923"/>
        <item x="4505"/>
        <item x="820"/>
        <item x="3841"/>
        <item x="2582"/>
        <item x="1819"/>
        <item x="3208"/>
        <item x="4194"/>
        <item x="1455"/>
        <item x="709"/>
        <item x="3882"/>
        <item x="374"/>
        <item x="4027"/>
        <item x="3162"/>
        <item x="206"/>
        <item x="2085"/>
        <item x="1492"/>
        <item x="4221"/>
        <item x="1137"/>
        <item x="2743"/>
        <item x="3469"/>
        <item x="3729"/>
        <item x="3041"/>
        <item x="2453"/>
        <item x="3615"/>
        <item x="4213"/>
        <item x="690"/>
        <item x="2839"/>
        <item x="611"/>
        <item x="1099"/>
        <item x="3382"/>
        <item x="1312"/>
        <item x="3324"/>
        <item x="1442"/>
        <item x="4033"/>
        <item x="4435"/>
        <item x="4337"/>
        <item x="2059"/>
        <item x="4283"/>
        <item x="1503"/>
        <item x="528"/>
        <item x="3314"/>
        <item x="1427"/>
        <item x="3574"/>
        <item x="567"/>
        <item x="2828"/>
        <item x="1510"/>
        <item x="2043"/>
        <item x="1168"/>
        <item x="1502"/>
        <item x="2493"/>
        <item x="2844"/>
        <item x="3616"/>
        <item x="93"/>
        <item x="1263"/>
        <item x="3237"/>
        <item x="4410"/>
        <item x="830"/>
        <item x="3687"/>
        <item x="3065"/>
        <item x="3696"/>
        <item x="2486"/>
        <item x="2418"/>
        <item x="4324"/>
        <item x="189"/>
        <item x="940"/>
        <item x="2885"/>
        <item x="2614"/>
        <item x="2892"/>
        <item x="4154"/>
        <item x="1867"/>
        <item x="2407"/>
        <item x="2728"/>
        <item x="922"/>
        <item x="2557"/>
        <item x="712"/>
        <item x="1434"/>
        <item x="3974"/>
        <item x="3925"/>
        <item x="335"/>
        <item x="2988"/>
        <item x="3722"/>
        <item x="4569"/>
        <item x="408"/>
        <item x="4615"/>
        <item x="1520"/>
        <item x="4585"/>
        <item x="2455"/>
        <item x="1856"/>
        <item x="3888"/>
        <item x="487"/>
        <item x="4454"/>
        <item x="1390"/>
        <item x="3685"/>
        <item x="2729"/>
        <item x="359"/>
        <item x="1604"/>
        <item x="3201"/>
        <item x="3772"/>
        <item x="2332"/>
        <item x="2111"/>
        <item x="1418"/>
        <item x="1549"/>
        <item x="2136"/>
        <item x="2916"/>
        <item x="1339"/>
        <item x="4067"/>
        <item x="3332"/>
        <item x="2284"/>
        <item x="4207"/>
        <item x="912"/>
        <item x="2052"/>
        <item x="1223"/>
        <item x="4269"/>
        <item x="4016"/>
        <item x="956"/>
        <item x="3497"/>
        <item x="3688"/>
        <item x="1456"/>
        <item x="1694"/>
        <item x="2243"/>
        <item x="3895"/>
        <item x="3064"/>
        <item x="3589"/>
        <item x="1933"/>
        <item x="1859"/>
        <item x="1307"/>
        <item x="315"/>
        <item x="3098"/>
        <item x="3366"/>
        <item x="1649"/>
        <item x="4127"/>
        <item x="1724"/>
        <item x="1198"/>
        <item x="1659"/>
        <item x="2236"/>
        <item x="3964"/>
        <item x="4613"/>
        <item x="2278"/>
        <item x="287"/>
        <item x="3372"/>
        <item x="1185"/>
        <item x="3255"/>
        <item x="1021"/>
        <item x="3113"/>
        <item x="531"/>
        <item x="498"/>
        <item x="756"/>
        <item x="1643"/>
        <item x="4385"/>
        <item x="3566"/>
        <item x="3601"/>
        <item x="2796"/>
        <item x="1572"/>
        <item x="2613"/>
        <item x="1954"/>
        <item x="4262"/>
        <item x="1615"/>
        <item x="2716"/>
        <item x="3818"/>
        <item x="2965"/>
        <item x="535"/>
        <item x="4472"/>
        <item x="232"/>
        <item x="972"/>
        <item x="3683"/>
        <item x="3174"/>
        <item x="103"/>
        <item x="3017"/>
        <item x="26"/>
        <item x="3448"/>
        <item x="2687"/>
        <item x="1948"/>
        <item x="4242"/>
        <item x="2973"/>
        <item x="4300"/>
        <item x="1249"/>
        <item x="3134"/>
        <item x="3221"/>
        <item x="4209"/>
        <item x="4120"/>
        <item x="255"/>
        <item x="2677"/>
        <item x="4490"/>
        <item x="2974"/>
        <item x="3886"/>
        <item x="1801"/>
        <item x="2169"/>
        <item x="1514"/>
        <item x="3423"/>
        <item x="3013"/>
        <item x="1671"/>
        <item x="380"/>
        <item x="904"/>
        <item x="4400"/>
        <item x="4044"/>
        <item x="533"/>
        <item x="4442"/>
        <item x="1866"/>
        <item x="4402"/>
        <item x="3386"/>
        <item x="906"/>
        <item x="322"/>
        <item x="760"/>
        <item x="2878"/>
        <item x="1602"/>
        <item x="3182"/>
        <item x="2039"/>
        <item x="2228"/>
        <item x="3505"/>
        <item x="2138"/>
        <item x="2001"/>
        <item x="4457"/>
        <item x="1761"/>
        <item x="1635"/>
        <item x="1377"/>
        <item x="4462"/>
        <item x="3624"/>
        <item x="4469"/>
        <item x="54"/>
        <item x="663"/>
        <item x="2769"/>
        <item x="3872"/>
        <item x="323"/>
        <item x="2587"/>
        <item x="1330"/>
        <item x="2214"/>
        <item x="1268"/>
        <item x="863"/>
        <item x="3791"/>
        <item x="4310"/>
        <item x="1469"/>
        <item x="1716"/>
        <item x="1496"/>
        <item x="1753"/>
        <item x="1372"/>
        <item x="2289"/>
        <item x="4606"/>
        <item x="3373"/>
        <item x="3284"/>
        <item x="337"/>
        <item x="2469"/>
        <item x="3198"/>
        <item x="1721"/>
        <item x="4564"/>
        <item x="4206"/>
        <item x="779"/>
        <item x="788"/>
        <item x="4328"/>
        <item x="264"/>
        <item x="3450"/>
        <item x="4474"/>
        <item x="3902"/>
        <item x="2605"/>
        <item x="3417"/>
        <item x="4089"/>
        <item x="1774"/>
        <item x="1508"/>
        <item x="1530"/>
        <item x="3446"/>
        <item x="4522"/>
        <item x="3844"/>
        <item x="2037"/>
        <item x="1743"/>
        <item x="1125"/>
        <item x="3550"/>
        <item x="3735"/>
        <item x="4604"/>
        <item x="1544"/>
        <item x="1493"/>
        <item x="2267"/>
        <item x="4352"/>
        <item x="4443"/>
        <item x="4092"/>
        <item x="1335"/>
        <item x="3871"/>
        <item x="4150"/>
        <item x="1730"/>
        <item x="92"/>
        <item x="2837"/>
        <item x="2492"/>
        <item x="3879"/>
        <item x="2098"/>
        <item x="744"/>
        <item x="3876"/>
        <item x="3070"/>
        <item x="1208"/>
        <item x="2144"/>
        <item x="2189"/>
        <item x="1910"/>
        <item x="2531"/>
        <item x="2515"/>
        <item x="4158"/>
        <item x="1896"/>
        <item x="247"/>
        <item x="4147"/>
        <item x="507"/>
        <item x="1790"/>
        <item x="1069"/>
        <item x="3576"/>
        <item x="3270"/>
        <item x="3319"/>
        <item x="4404"/>
        <item x="2287"/>
        <item x="4073"/>
        <item x="609"/>
        <item x="605"/>
        <item x="3805"/>
        <item x="2053"/>
        <item x="3212"/>
        <item x="877"/>
        <item x="1280"/>
        <item x="1414"/>
        <item x="763"/>
        <item x="1193"/>
        <item x="297"/>
        <item x="1431"/>
        <item x="3922"/>
        <item x="2257"/>
        <item x="882"/>
        <item x="4426"/>
        <item x="1154"/>
        <item x="2447"/>
        <item x="4499"/>
        <item x="4100"/>
        <item x="1104"/>
        <item x="1258"/>
        <item x="254"/>
        <item x="508"/>
        <item x="3253"/>
        <item x="10"/>
        <item x="1815"/>
        <item x="4327"/>
        <item x="706"/>
        <item x="4459"/>
        <item x="4205"/>
        <item x="3494"/>
        <item x="3777"/>
        <item x="2561"/>
        <item x="3192"/>
        <item x="3659"/>
        <item x="3885"/>
        <item x="3567"/>
        <item x="2576"/>
        <item x="601"/>
        <item x="1436"/>
        <item x="1904"/>
        <item x="3701"/>
        <item x="3821"/>
        <item x="2304"/>
        <item x="2870"/>
        <item x="4294"/>
        <item x="1839"/>
        <item x="2861"/>
        <item x="3349"/>
        <item x="4125"/>
        <item x="1629"/>
        <item x="3303"/>
        <item x="351"/>
        <item x="2691"/>
        <item x="4507"/>
        <item x="905"/>
        <item x="2724"/>
        <item x="2238"/>
        <item x="802"/>
        <item x="3928"/>
        <item x="3285"/>
        <item x="3891"/>
        <item x="3035"/>
        <item x="2505"/>
        <item x="743"/>
        <item x="3048"/>
        <item x="2216"/>
        <item x="2984"/>
        <item x="3612"/>
        <item x="2705"/>
        <item x="477"/>
        <item x="413"/>
        <item x="2279"/>
        <item x="1840"/>
        <item x="2518"/>
        <item x="370"/>
        <item x="2917"/>
        <item x="3350"/>
        <item x="1579"/>
        <item x="2926"/>
        <item x="2771"/>
        <item x="1841"/>
        <item x="365"/>
        <item x="2951"/>
        <item x="1224"/>
        <item x="3580"/>
        <item x="2334"/>
        <item x="4387"/>
        <item x="4037"/>
        <item x="2745"/>
        <item x="2689"/>
        <item x="1331"/>
        <item x="1772"/>
        <item x="3552"/>
        <item x="1862"/>
        <item x="303"/>
        <item x="3247"/>
        <item x="4151"/>
        <item x="4524"/>
        <item x="2343"/>
        <item x="1429"/>
        <item x="486"/>
        <item x="1988"/>
        <item x="3866"/>
        <item x="4315"/>
        <item x="489"/>
        <item x="3357"/>
        <item x="1470"/>
        <item x="2811"/>
        <item x="4433"/>
        <item x="3549"/>
        <item x="4160"/>
        <item x="3398"/>
        <item x="2787"/>
        <item x="2167"/>
        <item x="2256"/>
        <item x="2810"/>
        <item x="2942"/>
        <item x="3985"/>
        <item x="4121"/>
        <item x="4351"/>
        <item x="313"/>
        <item x="2033"/>
        <item x="997"/>
        <item x="1969"/>
        <item x="4103"/>
        <item x="1981"/>
        <item x="4376"/>
        <item x="2353"/>
        <item x="2612"/>
        <item x="2871"/>
        <item x="2558"/>
        <item x="4392"/>
        <item x="2573"/>
        <item x="3593"/>
        <item x="4513"/>
        <item x="2897"/>
        <item x="1811"/>
        <item x="2067"/>
        <item x="810"/>
        <item x="1140"/>
        <item x="2509"/>
        <item x="1664"/>
        <item x="3054"/>
        <item x="3021"/>
        <item x="1298"/>
        <item x="3087"/>
        <item x="3009"/>
        <item x="2352"/>
        <item x="1837"/>
        <item x="4432"/>
        <item x="2159"/>
        <item x="3664"/>
        <item x="360"/>
        <item x="4487"/>
        <item x="1524"/>
        <item x="930"/>
        <item x="4312"/>
        <item x="4176"/>
        <item x="2746"/>
        <item x="3856"/>
        <item x="3196"/>
        <item x="1605"/>
        <item x="2213"/>
        <item x="4042"/>
        <item x="3185"/>
        <item x="2340"/>
        <item x="1511"/>
        <item x="3272"/>
        <item x="3890"/>
        <item x="1064"/>
        <item x="1197"/>
        <item x="2365"/>
        <item x="565"/>
        <item x="171"/>
        <item x="1751"/>
        <item x="2076"/>
        <item x="1345"/>
        <item x="1683"/>
        <item x="4491"/>
        <item x="4053"/>
        <item x="996"/>
        <item x="3903"/>
        <item x="2328"/>
        <item x="4309"/>
        <item x="3708"/>
        <item x="2616"/>
        <item x="3834"/>
        <item x="680"/>
        <item x="580"/>
        <item x="2919"/>
        <item x="3240"/>
        <item x="1560"/>
        <item x="2479"/>
        <item x="3684"/>
        <item x="4333"/>
        <item x="3904"/>
        <item x="618"/>
        <item x="305"/>
        <item x="161"/>
        <item x="2495"/>
        <item x="2643"/>
        <item x="3383"/>
        <item x="1702"/>
        <item x="4280"/>
        <item x="4614"/>
        <item x="3963"/>
        <item x="2852"/>
        <item x="2274"/>
        <item x="843"/>
        <item x="4106"/>
        <item x="1994"/>
        <item x="1720"/>
        <item x="2913"/>
        <item x="3984"/>
        <item x="3176"/>
        <item x="806"/>
        <item x="447"/>
        <item x="3243"/>
        <item x="3983"/>
        <item x="3597"/>
        <item x="625"/>
        <item x="2930"/>
        <item x="4181"/>
        <item x="2357"/>
        <item x="2120"/>
        <item x="3897"/>
        <item x="982"/>
        <item x="143"/>
        <item x="3680"/>
        <item x="2539"/>
        <item x="2688"/>
        <item x="2572"/>
        <item x="694"/>
        <item x="3169"/>
        <item x="3161"/>
        <item x="3779"/>
        <item x="3428"/>
        <item x="2663"/>
        <item x="1991"/>
        <item x="43"/>
        <item x="4583"/>
        <item x="3049"/>
        <item x="3926"/>
        <item x="1565"/>
        <item x="4445"/>
        <item x="1756"/>
        <item x="3753"/>
        <item x="1677"/>
        <item x="4184"/>
        <item x="1722"/>
        <item x="3560"/>
        <item x="3816"/>
        <item x="2669"/>
        <item x="3752"/>
        <item x="2113"/>
        <item x="3368"/>
        <item x="2097"/>
        <item x="1679"/>
        <item x="2995"/>
        <item x="2504"/>
        <item x="1597"/>
        <item x="3353"/>
        <item x="3310"/>
        <item x="490"/>
        <item x="954"/>
        <item x="3934"/>
        <item x="3999"/>
        <item x="2313"/>
        <item x="2241"/>
        <item x="3962"/>
        <item x="1297"/>
        <item x="11"/>
        <item x="76"/>
        <item x="2712"/>
        <item x="4316"/>
        <item x="2571"/>
        <item x="4345"/>
        <item x="3975"/>
        <item x="2081"/>
        <item x="2532"/>
        <item x="4461"/>
        <item x="4607"/>
        <item x="1792"/>
        <item x="2164"/>
        <item x="3815"/>
        <item x="4496"/>
        <item x="2188"/>
        <item x="913"/>
        <item x="875"/>
        <item x="2367"/>
        <item x="637"/>
        <item x="4438"/>
        <item x="4087"/>
        <item x="2462"/>
        <item x="379"/>
        <item x="2565"/>
        <item x="1817"/>
        <item x="1650"/>
        <item x="1342"/>
        <item x="2331"/>
        <item x="737"/>
        <item x="449"/>
        <item x="1210"/>
        <item x="3740"/>
        <item x="4551"/>
        <item x="4210"/>
        <item x="3756"/>
        <item x="3662"/>
        <item x="3909"/>
        <item x="3862"/>
        <item x="1050"/>
        <item x="1723"/>
        <item x="4398"/>
        <item x="48"/>
        <item x="4577"/>
        <item x="2744"/>
        <item x="2826"/>
        <item x="2910"/>
        <item x="3313"/>
        <item x="730"/>
        <item x="3239"/>
        <item x="4241"/>
        <item x="3719"/>
        <item x="500"/>
        <item x="2615"/>
        <item x="3937"/>
        <item x="1289"/>
        <item x="2670"/>
        <item x="1336"/>
        <item x="3797"/>
        <item x="27"/>
        <item x="1207"/>
        <item x="402"/>
        <item x="2374"/>
        <item x="3151"/>
        <item x="545"/>
        <item x="3763"/>
        <item x="401"/>
        <item x="3028"/>
        <item x="541"/>
        <item x="1950"/>
        <item x="4538"/>
        <item x="1188"/>
        <item x="2626"/>
        <item x="2751"/>
        <item x="4610"/>
        <item x="4059"/>
        <item x="3656"/>
        <item x="258"/>
        <item x="3979"/>
        <item x="2306"/>
        <item x="23"/>
        <item x="3556"/>
        <item x="723"/>
        <item x="1128"/>
        <item x="319"/>
        <item x="1658"/>
        <item x="2707"/>
        <item x="2231"/>
        <item x="2498"/>
        <item x="3669"/>
        <item x="3165"/>
        <item x="3651"/>
        <item x="2172"/>
        <item x="8"/>
        <item x="764"/>
        <item x="3343"/>
        <item x="3442"/>
        <item x="1768"/>
        <item x="165"/>
        <item x="2070"/>
        <item x="3406"/>
        <item x="2847"/>
        <item x="1577"/>
        <item x="4579"/>
        <item x="1346"/>
        <item x="3304"/>
        <item x="3043"/>
        <item x="271"/>
        <item x="3553"/>
        <item x="752"/>
        <item x="2397"/>
        <item x="3014"/>
        <item x="1857"/>
        <item x="3911"/>
        <item x="845"/>
        <item x="1343"/>
        <item x="4216"/>
        <item x="2436"/>
        <item x="3476"/>
        <item x="736"/>
        <item x="2314"/>
        <item x="3548"/>
        <item x="4441"/>
        <item x="1115"/>
        <item x="4028"/>
        <item x="3986"/>
        <item x="3507"/>
        <item x="3887"/>
        <item x="2013"/>
        <item x="2248"/>
        <item x="1731"/>
        <item x="3848"/>
        <item x="310"/>
        <item x="1878"/>
        <item x="3124"/>
        <item x="2105"/>
        <item x="2601"/>
        <item x="702"/>
        <item x="2335"/>
        <item x="4596"/>
        <item x="1451"/>
        <item x="3822"/>
        <item x="2307"/>
        <item x="3621"/>
        <item x="209"/>
        <item x="1945"/>
        <item x="3265"/>
        <item x="2370"/>
        <item x="2245"/>
        <item x="3052"/>
        <item x="1169"/>
        <item x="4074"/>
        <item x="1741"/>
        <item x="2860"/>
        <item x="1311"/>
        <item x="582"/>
        <item x="1749"/>
        <item x="2807"/>
        <item x="3907"/>
        <item x="569"/>
        <item x="4191"/>
        <item x="4083"/>
        <item x="1136"/>
        <item x="1059"/>
        <item x="2979"/>
        <item x="3228"/>
        <item x="2829"/>
        <item x="4552"/>
        <item x="4329"/>
        <item x="3053"/>
        <item x="2384"/>
        <item x="2980"/>
        <item x="2778"/>
        <item x="1717"/>
        <item x="4548"/>
        <item x="3045"/>
        <item x="3817"/>
        <item x="3783"/>
        <item x="2624"/>
        <item x="4475"/>
        <item x="3209"/>
        <item x="3551"/>
        <item x="3370"/>
        <item x="4531"/>
        <item x="2298"/>
        <item x="2366"/>
        <item x="2378"/>
        <item x="1993"/>
        <item x="1058"/>
        <item x="2706"/>
        <item x="2888"/>
        <item x="2866"/>
        <item x="4308"/>
        <item x="4546"/>
        <item x="208"/>
        <item x="1843"/>
        <item x="932"/>
        <item x="4112"/>
        <item x="811"/>
        <item x="2354"/>
        <item x="4293"/>
        <item x="4163"/>
        <item x="3707"/>
        <item x="758"/>
        <item x="4097"/>
        <item x="2739"/>
        <item x="2042"/>
        <item x="2468"/>
        <item x="1183"/>
        <item x="3572"/>
        <item x="1835"/>
        <item x="1506"/>
        <item x="495"/>
        <item x="1516"/>
        <item x="3287"/>
        <item x="1571"/>
        <item x="2801"/>
        <item x="4153"/>
        <item x="3790"/>
        <item x="4363"/>
        <item x="2721"/>
        <item x="3652"/>
        <item x="2527"/>
        <item x="2797"/>
        <item x="2402"/>
        <item x="4167"/>
        <item x="492"/>
        <item x="3864"/>
        <item x="3880"/>
        <item x="3776"/>
        <item x="2517"/>
        <item x="2779"/>
        <item x="1767"/>
        <item x="4203"/>
        <item x="1124"/>
        <item x="3980"/>
        <item x="2902"/>
        <item x="3537"/>
        <item x="772"/>
        <item x="1879"/>
        <item x="3210"/>
        <item x="4568"/>
        <item x="3874"/>
        <item x="1001"/>
        <item x="1412"/>
        <item x="4012"/>
        <item x="4011"/>
        <item x="3861"/>
        <item x="3195"/>
        <item x="1003"/>
        <item x="1313"/>
        <item x="2659"/>
        <item x="1603"/>
        <item x="7"/>
        <item x="3663"/>
        <item x="3539"/>
        <item x="2142"/>
        <item x="1277"/>
        <item x="4050"/>
        <item x="1984"/>
        <item x="1308"/>
        <item x="4364"/>
        <item x="4515"/>
        <item x="862"/>
        <item x="2230"/>
        <item x="3968"/>
        <item x="220"/>
        <item x="4578"/>
        <item x="3316"/>
        <item x="2564"/>
        <item x="1915"/>
        <item x="4295"/>
        <item x="558"/>
        <item x="2567"/>
        <item x="3179"/>
        <item x="2025"/>
        <item x="3131"/>
        <item x="1333"/>
        <item x="4202"/>
        <item x="1688"/>
        <item x="446"/>
        <item x="953"/>
        <item x="4045"/>
        <item x="3466"/>
        <item x="2221"/>
        <item x="4187"/>
        <item x="4592"/>
        <item x="3829"/>
        <item x="1742"/>
        <item x="3674"/>
        <item x="4409"/>
        <item x="1885"/>
        <item x="1222"/>
        <item x="2560"/>
        <item x="1484"/>
        <item x="2823"/>
        <item x="3076"/>
        <item x="2950"/>
        <item x="4032"/>
        <item x="3627"/>
        <item x="2906"/>
        <item x="1735"/>
        <item x="1025"/>
        <item x="3945"/>
        <item x="4157"/>
        <item x="3620"/>
        <item x="4618"/>
        <item t="default"/>
      </items>
    </pivotField>
    <pivotField axis="axisRow"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9"/>
  </rowFields>
  <rowItems count="14">
    <i>
      <x/>
    </i>
    <i>
      <x v="1"/>
    </i>
    <i>
      <x v="2"/>
    </i>
    <i>
      <x v="3"/>
    </i>
    <i>
      <x v="4"/>
    </i>
    <i>
      <x v="5"/>
    </i>
    <i>
      <x v="6"/>
    </i>
    <i>
      <x v="7"/>
    </i>
    <i>
      <x v="8"/>
    </i>
    <i>
      <x v="9"/>
    </i>
    <i>
      <x v="10"/>
    </i>
    <i>
      <x v="11"/>
    </i>
    <i>
      <x v="12"/>
    </i>
    <i t="grand">
      <x/>
    </i>
  </rowItems>
  <colItems count="1">
    <i/>
  </colItems>
  <dataFields count="1">
    <dataField name="Sum of Sales" fld="6" baseField="0" baseItem="0" numFmtId="165"/>
  </dataFields>
  <formats count="1">
    <format dxfId="4">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FFAFA2D-1447-4778-90BD-C015FAEDDB1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C4:H11" firstHeaderRow="1" firstDataRow="2" firstDataCol="1"/>
  <pivotFields count="11">
    <pivotField showAll="0"/>
    <pivotField showAll="0"/>
    <pivotField showAll="0"/>
    <pivotField axis="axisCol" showAll="0">
      <items count="5">
        <item x="1"/>
        <item x="0"/>
        <item x="2"/>
        <item x="3"/>
        <item t="default"/>
      </items>
    </pivotField>
    <pivotField showAll="0"/>
    <pivotField showAll="0"/>
    <pivotField showAll="0"/>
    <pivotField showAll="0"/>
    <pivotField dataField="1" showAll="0"/>
    <pivotField showAll="0">
      <items count="14">
        <item x="0"/>
        <item x="1"/>
        <item x="2"/>
        <item x="3"/>
        <item x="4"/>
        <item x="5"/>
        <item x="6"/>
        <item x="7"/>
        <item x="8"/>
        <item x="9"/>
        <item x="10"/>
        <item x="11"/>
        <item x="12"/>
        <item t="default"/>
      </items>
    </pivotField>
    <pivotField axis="axisRow" showAll="0">
      <items count="6">
        <item x="0"/>
        <item x="1"/>
        <item x="2"/>
        <item x="3"/>
        <item x="4"/>
        <item t="default"/>
      </items>
    </pivotField>
  </pivotFields>
  <rowFields count="1">
    <field x="10"/>
  </rowFields>
  <rowItems count="6">
    <i>
      <x/>
    </i>
    <i>
      <x v="1"/>
    </i>
    <i>
      <x v="2"/>
    </i>
    <i>
      <x v="3"/>
    </i>
    <i>
      <x v="4"/>
    </i>
    <i t="grand">
      <x/>
    </i>
  </rowItems>
  <colFields count="1">
    <field x="3"/>
  </colFields>
  <colItems count="5">
    <i>
      <x/>
    </i>
    <i>
      <x v="1"/>
    </i>
    <i>
      <x v="2"/>
    </i>
    <i>
      <x v="3"/>
    </i>
    <i t="grand">
      <x/>
    </i>
  </colItems>
  <dataFields count="1">
    <dataField name="Sum of Profit" fld="8" baseField="0" baseItem="0" numFmtId="164"/>
  </dataFields>
  <formats count="1">
    <format dxfId="5">
      <pivotArea outline="0" collapsedLevelsAreSubtotals="1" fieldPosition="0"/>
    </format>
  </formats>
  <chartFormats count="5">
    <chartFormat chart="3" format="4" series="1">
      <pivotArea type="data" outline="0" fieldPosition="0">
        <references count="2">
          <reference field="4294967294" count="1" selected="0">
            <x v="0"/>
          </reference>
          <reference field="3" count="1" selected="0">
            <x v="0"/>
          </reference>
        </references>
      </pivotArea>
    </chartFormat>
    <chartFormat chart="3" format="5" series="1">
      <pivotArea type="data" outline="0" fieldPosition="0">
        <references count="2">
          <reference field="4294967294" count="1" selected="0">
            <x v="0"/>
          </reference>
          <reference field="3" count="1" selected="0">
            <x v="1"/>
          </reference>
        </references>
      </pivotArea>
    </chartFormat>
    <chartFormat chart="3" format="6" series="1">
      <pivotArea type="data" outline="0" fieldPosition="0">
        <references count="2">
          <reference field="4294967294" count="1" selected="0">
            <x v="0"/>
          </reference>
          <reference field="3" count="1" selected="0">
            <x v="2"/>
          </reference>
        </references>
      </pivotArea>
    </chartFormat>
    <chartFormat chart="3" format="7" series="1">
      <pivotArea type="data" outline="0" fieldPosition="0">
        <references count="2">
          <reference field="4294967294" count="1" selected="0">
            <x v="0"/>
          </reference>
          <reference field="3" count="1" selected="0">
            <x v="3"/>
          </reference>
        </references>
      </pivotArea>
    </chartFormat>
    <chartFormat chart="3" format="8">
      <pivotArea type="data" outline="0" fieldPosition="0">
        <references count="3">
          <reference field="4294967294" count="1" selected="0">
            <x v="0"/>
          </reference>
          <reference field="3" count="1" selected="0">
            <x v="1"/>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DFA04D5-ACC8-49EE-971F-8AAB45CF92A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I4:J23" firstHeaderRow="1" firstDataRow="1" firstDataCol="1"/>
  <pivotFields count="11">
    <pivotField showAll="0"/>
    <pivotField showAll="0"/>
    <pivotField showAll="0"/>
    <pivotField showAll="0">
      <items count="5">
        <item x="1"/>
        <item x="0"/>
        <item x="2"/>
        <item x="3"/>
        <item t="default"/>
      </items>
    </pivotField>
    <pivotField axis="axisRow" showAll="0" sortType="descending">
      <items count="19">
        <item x="9"/>
        <item x="12"/>
        <item x="4"/>
        <item x="3"/>
        <item x="11"/>
        <item x="5"/>
        <item x="16"/>
        <item x="10"/>
        <item x="7"/>
        <item x="8"/>
        <item x="1"/>
        <item x="15"/>
        <item x="0"/>
        <item x="6"/>
        <item x="2"/>
        <item x="14"/>
        <item x="13"/>
        <item x="17"/>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4">
        <item x="0"/>
        <item x="1"/>
        <item x="2"/>
        <item x="3"/>
        <item x="4"/>
        <item x="5"/>
        <item x="6"/>
        <item x="7"/>
        <item x="8"/>
        <item x="9"/>
        <item x="10"/>
        <item x="11"/>
        <item x="12"/>
        <item t="default"/>
      </items>
    </pivotField>
    <pivotField showAll="0">
      <items count="6">
        <item x="0"/>
        <item x="1"/>
        <item x="2"/>
        <item x="3"/>
        <item x="4"/>
        <item t="default"/>
      </items>
    </pivotField>
  </pivotFields>
  <rowFields count="1">
    <field x="4"/>
  </rowFields>
  <rowItems count="19">
    <i>
      <x v="13"/>
    </i>
    <i>
      <x v="5"/>
    </i>
    <i>
      <x v="14"/>
    </i>
    <i>
      <x v="3"/>
    </i>
    <i>
      <x v="16"/>
    </i>
    <i>
      <x v="11"/>
    </i>
    <i>
      <x/>
    </i>
    <i>
      <x v="6"/>
    </i>
    <i>
      <x v="4"/>
    </i>
    <i>
      <x v="1"/>
    </i>
    <i>
      <x v="9"/>
    </i>
    <i>
      <x v="12"/>
    </i>
    <i>
      <x v="15"/>
    </i>
    <i>
      <x v="2"/>
    </i>
    <i>
      <x v="7"/>
    </i>
    <i>
      <x v="10"/>
    </i>
    <i>
      <x v="8"/>
    </i>
    <i>
      <x v="17"/>
    </i>
    <i t="grand">
      <x/>
    </i>
  </rowItems>
  <colItems count="1">
    <i/>
  </colItems>
  <dataFields count="1">
    <dataField name="Sum of Sales" fld="6" baseField="0" baseItem="0" numFmtId="164"/>
  </dataFields>
  <formats count="1">
    <format dxfId="6">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185F59-A02E-4D01-8CD6-7632CD21616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R3:S8" firstHeaderRow="1" firstDataRow="1" firstDataCol="1"/>
  <pivotFields count="2">
    <pivotField dataField="1" showAll="0"/>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numFmtId="164"/>
  </dataFields>
  <formats count="1">
    <format dxfId="7">
      <pivotArea outline="0" collapsedLevelsAreSubtotals="1" fieldPosition="0"/>
    </format>
  </format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0515898-5540-4B38-965D-C8BA5ED4315C}" sourceName="Category">
  <pivotTables>
    <pivotTable tabId="1" name="PivotTable13"/>
    <pivotTable tabId="1" name="PivotTable1"/>
    <pivotTable tabId="1" name="PivotTable11"/>
    <pivotTable tabId="1" name="PivotTable2"/>
    <pivotTable tabId="1" name="PivotTable3"/>
    <pivotTable tabId="1" name="PivotTable4"/>
  </pivotTables>
  <data>
    <tabular pivotCacheId="1490963975">
      <items count="4">
        <i x="1" s="1"/>
        <i x="0"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3E349F1-8C6C-49FC-BECF-63C72CE20BD8}" sourceName="Month">
  <pivotTables>
    <pivotTable tabId="1" name="PivotTable13"/>
    <pivotTable tabId="1" name="PivotTable1"/>
    <pivotTable tabId="1" name="PivotTable11"/>
    <pivotTable tabId="1" name="PivotTable12"/>
    <pivotTable tabId="1" name="PivotTable2"/>
    <pivotTable tabId="1" name="PivotTable3"/>
    <pivotTable tabId="1" name="PivotTable4"/>
  </pivotTables>
  <data>
    <tabular pivotCacheId="1490963975">
      <items count="13">
        <i x="0" s="1"/>
        <i x="1" s="1"/>
        <i x="2" s="1"/>
        <i x="3" s="1"/>
        <i x="4" s="1"/>
        <i x="5" s="1"/>
        <i x="6" s="1"/>
        <i x="7" s="1"/>
        <i x="8" s="1"/>
        <i x="9" s="1"/>
        <i x="10" s="1"/>
        <i x="11" s="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33BE9D8-0B0F-41AE-8D16-76B420486791}" sourceName="Year">
  <pivotTables>
    <pivotTable tabId="1" name="PivotTable13"/>
    <pivotTable tabId="1" name="PivotTable1"/>
    <pivotTable tabId="1" name="PivotTable11"/>
    <pivotTable tabId="1" name="PivotTable12"/>
    <pivotTable tabId="1" name="PivotTable2"/>
    <pivotTable tabId="1" name="PivotTable3"/>
    <pivotTable tabId="1" name="PivotTable4"/>
  </pivotTables>
  <data>
    <tabular pivotCacheId="1490963975">
      <items count="5">
        <i x="0" s="1"/>
        <i x="1"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3AB8380-73BC-41B5-90A1-F3CD6621978C}" cache="Slicer_Category" caption="Category" style="SlicerStyleDark5" rowHeight="247650"/>
  <slicer name="Month" xr10:uid="{6D648DA0-B82D-488B-8ABA-E51781B5E9BD}" cache="Slicer_Month" caption="Month" style="SlicerStyleDark5" rowHeight="247650"/>
  <slicer name="Year" xr10:uid="{76250950-0D64-4221-82E8-E3E5C5A955D8}" cache="Slicer_Year" caption="Year" style="SlicerStyleDark5"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78CDD-F5B3-4179-AA4F-01367CD11958}">
  <dimension ref="A1:AE2320"/>
  <sheetViews>
    <sheetView showGridLines="0" tabSelected="1" topLeftCell="R12" zoomScale="101" zoomScaleNormal="112" workbookViewId="0">
      <selection activeCell="AE1" sqref="AE1:AE1048576"/>
    </sheetView>
  </sheetViews>
  <sheetFormatPr defaultRowHeight="14.4" x14ac:dyDescent="0.3"/>
  <cols>
    <col min="1" max="1" width="13.21875" bestFit="1" customWidth="1"/>
    <col min="3" max="3" width="12.44140625" bestFit="1" customWidth="1"/>
    <col min="4" max="4" width="15.5546875" bestFit="1" customWidth="1"/>
    <col min="5" max="5" width="13.77734375" bestFit="1" customWidth="1"/>
    <col min="6" max="6" width="12.44140625" bestFit="1" customWidth="1"/>
    <col min="7" max="7" width="7" bestFit="1" customWidth="1"/>
    <col min="8" max="9" width="12.44140625" bestFit="1" customWidth="1"/>
    <col min="10" max="10" width="13.5546875" bestFit="1" customWidth="1"/>
    <col min="12" max="12" width="10.88671875" bestFit="1" customWidth="1"/>
    <col min="13" max="13" width="12.6640625" bestFit="1" customWidth="1"/>
    <col min="15" max="15" width="20.33203125" bestFit="1" customWidth="1"/>
    <col min="16" max="16" width="5.21875" bestFit="1" customWidth="1"/>
    <col min="18" max="18" width="12.44140625" bestFit="1" customWidth="1"/>
    <col min="19" max="19" width="21.88671875" bestFit="1" customWidth="1"/>
    <col min="21" max="21" width="16.77734375" bestFit="1" customWidth="1"/>
    <col min="22" max="22" width="12.109375" bestFit="1" customWidth="1"/>
    <col min="23" max="23" width="11.5546875" bestFit="1" customWidth="1"/>
    <col min="24" max="24" width="16.77734375" bestFit="1" customWidth="1"/>
    <col min="25" max="25" width="13.21875" bestFit="1" customWidth="1"/>
    <col min="27" max="27" width="12.88671875" bestFit="1" customWidth="1"/>
    <col min="28" max="28" width="11.5546875" bestFit="1" customWidth="1"/>
    <col min="30" max="30" width="12.44140625" bestFit="1" customWidth="1"/>
    <col min="31" max="31" width="14.6640625" bestFit="1" customWidth="1"/>
  </cols>
  <sheetData>
    <row r="1" spans="1:31" x14ac:dyDescent="0.3">
      <c r="O1" s="1" t="s">
        <v>0</v>
      </c>
      <c r="P1" s="1" t="s">
        <v>1</v>
      </c>
    </row>
    <row r="2" spans="1:31" x14ac:dyDescent="0.3">
      <c r="O2" t="s">
        <v>2</v>
      </c>
      <c r="P2">
        <v>2021</v>
      </c>
      <c r="R2" t="s">
        <v>3</v>
      </c>
    </row>
    <row r="3" spans="1:31" x14ac:dyDescent="0.3">
      <c r="A3" t="s">
        <v>4</v>
      </c>
      <c r="C3" t="s">
        <v>5</v>
      </c>
      <c r="I3" t="s">
        <v>6</v>
      </c>
      <c r="O3" t="s">
        <v>7</v>
      </c>
      <c r="P3">
        <v>2021</v>
      </c>
      <c r="R3" t="s">
        <v>8</v>
      </c>
      <c r="S3" t="s">
        <v>9</v>
      </c>
      <c r="X3" s="1" t="s">
        <v>10</v>
      </c>
      <c r="Y3" s="1" t="s">
        <v>11</v>
      </c>
      <c r="AA3" t="s">
        <v>12</v>
      </c>
      <c r="AD3" t="s">
        <v>13</v>
      </c>
    </row>
    <row r="4" spans="1:31" x14ac:dyDescent="0.3">
      <c r="A4" s="2">
        <v>1928887.8599999624</v>
      </c>
      <c r="C4" t="s">
        <v>14</v>
      </c>
      <c r="D4" t="s">
        <v>15</v>
      </c>
      <c r="I4" t="s">
        <v>8</v>
      </c>
      <c r="J4" t="s">
        <v>4</v>
      </c>
      <c r="L4" s="3" t="s">
        <v>16</v>
      </c>
      <c r="M4" s="3" t="s">
        <v>11</v>
      </c>
      <c r="O4" t="s">
        <v>17</v>
      </c>
      <c r="P4">
        <v>2021</v>
      </c>
      <c r="R4" s="4">
        <v>2021</v>
      </c>
      <c r="S4" s="2">
        <v>595</v>
      </c>
      <c r="U4" t="s">
        <v>18</v>
      </c>
      <c r="X4" t="str">
        <f>U6</f>
        <v>Alabama</v>
      </c>
      <c r="Y4" s="5">
        <f>GETPIVOTDATA("Sales",$U$5,"State",X4)</f>
        <v>18299.32</v>
      </c>
      <c r="AA4" t="s">
        <v>8</v>
      </c>
      <c r="AB4" t="s">
        <v>14</v>
      </c>
      <c r="AD4" t="s">
        <v>8</v>
      </c>
      <c r="AE4" t="s">
        <v>4</v>
      </c>
    </row>
    <row r="5" spans="1:31" x14ac:dyDescent="0.3">
      <c r="C5" t="s">
        <v>8</v>
      </c>
      <c r="D5" t="s">
        <v>19</v>
      </c>
      <c r="E5" t="s">
        <v>20</v>
      </c>
      <c r="F5" t="s">
        <v>21</v>
      </c>
      <c r="G5" t="s">
        <v>22</v>
      </c>
      <c r="H5" t="s">
        <v>23</v>
      </c>
      <c r="I5" s="4" t="s">
        <v>24</v>
      </c>
      <c r="J5" s="2">
        <v>279464.4200000001</v>
      </c>
      <c r="L5" t="str">
        <f>I5</f>
        <v>Phones</v>
      </c>
      <c r="M5" s="2">
        <f>GETPIVOTDATA("Sales",$I$4,"Sub-Category",L5)</f>
        <v>279464.4200000001</v>
      </c>
      <c r="O5" t="s">
        <v>25</v>
      </c>
      <c r="P5">
        <v>2021</v>
      </c>
      <c r="R5" s="4">
        <v>2022</v>
      </c>
      <c r="S5" s="2">
        <v>573</v>
      </c>
      <c r="U5" t="s">
        <v>8</v>
      </c>
      <c r="V5" t="s">
        <v>4</v>
      </c>
      <c r="X5" t="str">
        <f t="shared" ref="X5:X53" si="0">U7</f>
        <v>Arizona</v>
      </c>
      <c r="Y5" s="5">
        <f t="shared" ref="Y5:Y53" si="1">GETPIVOTDATA("Sales",$U$5,"State",X5)</f>
        <v>28978.850000000006</v>
      </c>
      <c r="AA5" s="4" t="s">
        <v>26</v>
      </c>
      <c r="AB5" s="2">
        <v>5202.84</v>
      </c>
      <c r="AD5" s="4" t="s">
        <v>27</v>
      </c>
      <c r="AE5" s="5">
        <v>94924.87</v>
      </c>
    </row>
    <row r="6" spans="1:31" x14ac:dyDescent="0.3">
      <c r="C6" s="4">
        <v>2021</v>
      </c>
      <c r="D6" s="2">
        <v>5469.7699999999977</v>
      </c>
      <c r="E6" s="2">
        <v>22593.399999999965</v>
      </c>
      <c r="F6" s="2">
        <v>21492.950000000008</v>
      </c>
      <c r="G6" s="2"/>
      <c r="H6" s="2">
        <v>49556.119999999966</v>
      </c>
      <c r="I6" s="4" t="s">
        <v>28</v>
      </c>
      <c r="J6" s="2">
        <v>277058.98000000045</v>
      </c>
      <c r="L6" t="str">
        <f t="shared" ref="L6:L21" si="2">I6</f>
        <v>Chairs</v>
      </c>
      <c r="M6" s="2">
        <f t="shared" ref="M6:M21" si="3">GETPIVOTDATA("Sales",$I$4,"Sub-Category",L6)</f>
        <v>277058.98000000045</v>
      </c>
      <c r="O6" t="s">
        <v>29</v>
      </c>
      <c r="P6">
        <v>2021</v>
      </c>
      <c r="R6" s="4">
        <v>2023</v>
      </c>
      <c r="S6" s="2">
        <v>638</v>
      </c>
      <c r="U6" s="4" t="s">
        <v>30</v>
      </c>
      <c r="V6" s="2">
        <v>18299.32</v>
      </c>
      <c r="X6" t="str">
        <f t="shared" si="0"/>
        <v>Arkansas</v>
      </c>
      <c r="Y6" s="5">
        <f t="shared" si="1"/>
        <v>9177.42</v>
      </c>
      <c r="AA6" s="4" t="s">
        <v>31</v>
      </c>
      <c r="AB6" s="2">
        <v>3883.0899999999997</v>
      </c>
      <c r="AD6" s="4" t="s">
        <v>32</v>
      </c>
      <c r="AE6" s="5">
        <v>59640.160000000018</v>
      </c>
    </row>
    <row r="7" spans="1:31" x14ac:dyDescent="0.3">
      <c r="A7" t="s">
        <v>14</v>
      </c>
      <c r="C7" s="4">
        <v>2022</v>
      </c>
      <c r="D7" s="2">
        <v>3015.170000000001</v>
      </c>
      <c r="E7" s="2">
        <v>25099.55000000001</v>
      </c>
      <c r="F7" s="2">
        <v>33503.970000000016</v>
      </c>
      <c r="G7" s="2"/>
      <c r="H7" s="2">
        <v>61618.690000000031</v>
      </c>
      <c r="I7" s="4" t="s">
        <v>33</v>
      </c>
      <c r="J7" s="2">
        <v>190679.61000000019</v>
      </c>
      <c r="L7" t="str">
        <f t="shared" si="2"/>
        <v>Storage</v>
      </c>
      <c r="M7" s="2">
        <f t="shared" si="3"/>
        <v>190679.61000000019</v>
      </c>
      <c r="O7" t="s">
        <v>34</v>
      </c>
      <c r="P7">
        <v>2021</v>
      </c>
      <c r="R7" s="4">
        <v>2024</v>
      </c>
      <c r="S7" s="2">
        <v>513</v>
      </c>
      <c r="U7" s="4" t="s">
        <v>35</v>
      </c>
      <c r="V7" s="2">
        <v>28978.850000000006</v>
      </c>
      <c r="X7" t="str">
        <f t="shared" si="0"/>
        <v>California</v>
      </c>
      <c r="Y7" s="5">
        <f t="shared" si="1"/>
        <v>390145.54000000079</v>
      </c>
      <c r="AA7" s="4" t="s">
        <v>36</v>
      </c>
      <c r="AB7" s="2">
        <v>6939.17</v>
      </c>
      <c r="AD7" s="4" t="s">
        <v>37</v>
      </c>
      <c r="AE7" s="5">
        <v>205005.51000000036</v>
      </c>
    </row>
    <row r="8" spans="1:31" x14ac:dyDescent="0.3">
      <c r="A8" s="2">
        <v>247961.07000000036</v>
      </c>
      <c r="C8" s="4">
        <v>2023</v>
      </c>
      <c r="D8" s="2">
        <v>6959.9299999999967</v>
      </c>
      <c r="E8" s="2">
        <v>35052.909999999989</v>
      </c>
      <c r="F8" s="2">
        <v>39774.099999999984</v>
      </c>
      <c r="G8" s="2"/>
      <c r="H8" s="2">
        <v>81786.939999999973</v>
      </c>
      <c r="I8" s="4" t="s">
        <v>38</v>
      </c>
      <c r="J8" s="2">
        <v>169089.72999999995</v>
      </c>
      <c r="L8" t="str">
        <f t="shared" si="2"/>
        <v>Binders</v>
      </c>
      <c r="M8" s="2">
        <f t="shared" si="3"/>
        <v>169089.72999999995</v>
      </c>
      <c r="O8" t="s">
        <v>39</v>
      </c>
      <c r="P8">
        <v>2021</v>
      </c>
      <c r="R8" s="4" t="s">
        <v>23</v>
      </c>
      <c r="S8" s="2">
        <v>2319</v>
      </c>
      <c r="U8" s="4" t="s">
        <v>40</v>
      </c>
      <c r="V8" s="2">
        <v>9177.42</v>
      </c>
      <c r="X8" t="str">
        <f t="shared" si="0"/>
        <v>Colorado</v>
      </c>
      <c r="Y8" s="5">
        <f t="shared" si="1"/>
        <v>27113.920000000002</v>
      </c>
      <c r="AA8" s="4" t="s">
        <v>41</v>
      </c>
      <c r="AB8" s="2">
        <v>5757.42</v>
      </c>
      <c r="AD8" s="4" t="s">
        <v>42</v>
      </c>
      <c r="AE8" s="5">
        <v>137480.78999999989</v>
      </c>
    </row>
    <row r="9" spans="1:31" x14ac:dyDescent="0.3">
      <c r="C9" s="4">
        <v>2024</v>
      </c>
      <c r="D9" s="2">
        <v>2443.7999999999993</v>
      </c>
      <c r="E9" s="2">
        <v>25464.809999999976</v>
      </c>
      <c r="F9" s="2">
        <v>27090.710000000028</v>
      </c>
      <c r="G9" s="2"/>
      <c r="H9" s="2">
        <v>54999.320000000007</v>
      </c>
      <c r="I9" s="4" t="s">
        <v>43</v>
      </c>
      <c r="J9" s="2">
        <v>167672.76</v>
      </c>
      <c r="L9" t="str">
        <f t="shared" si="2"/>
        <v>Tables</v>
      </c>
      <c r="M9" s="2">
        <f t="shared" si="3"/>
        <v>167672.76</v>
      </c>
      <c r="O9" t="s">
        <v>44</v>
      </c>
      <c r="P9">
        <v>2021</v>
      </c>
      <c r="U9" s="4" t="s">
        <v>45</v>
      </c>
      <c r="V9" s="2">
        <v>390145.54000000079</v>
      </c>
      <c r="X9" t="str">
        <f t="shared" si="0"/>
        <v>Connecticut</v>
      </c>
      <c r="Y9" s="5">
        <f t="shared" si="1"/>
        <v>11471.419999999998</v>
      </c>
      <c r="AA9" s="4" t="s">
        <v>46</v>
      </c>
      <c r="AB9" s="2">
        <v>8981.32</v>
      </c>
      <c r="AD9" s="4" t="s">
        <v>47</v>
      </c>
      <c r="AE9" s="5">
        <v>155028.82999999993</v>
      </c>
    </row>
    <row r="10" spans="1:31" x14ac:dyDescent="0.3">
      <c r="C10" s="4" t="s">
        <v>22</v>
      </c>
      <c r="D10" s="2"/>
      <c r="E10" s="2"/>
      <c r="F10" s="2"/>
      <c r="G10" s="2"/>
      <c r="H10" s="2"/>
      <c r="I10" s="4" t="s">
        <v>48</v>
      </c>
      <c r="J10" s="2">
        <v>166777.78000000003</v>
      </c>
      <c r="L10" t="str">
        <f t="shared" si="2"/>
        <v>Machines</v>
      </c>
      <c r="M10" s="2">
        <f t="shared" si="3"/>
        <v>166777.78000000003</v>
      </c>
      <c r="O10" t="s">
        <v>49</v>
      </c>
      <c r="P10">
        <v>2021</v>
      </c>
      <c r="U10" s="4" t="s">
        <v>50</v>
      </c>
      <c r="V10" s="2">
        <v>27113.920000000002</v>
      </c>
      <c r="X10" t="str">
        <f t="shared" si="0"/>
        <v>Delaware</v>
      </c>
      <c r="Y10" s="5">
        <f t="shared" si="1"/>
        <v>16302.24</v>
      </c>
      <c r="AA10" s="4" t="s">
        <v>23</v>
      </c>
      <c r="AB10" s="2">
        <v>30763.84</v>
      </c>
      <c r="AD10" s="4" t="s">
        <v>51</v>
      </c>
      <c r="AE10" s="5">
        <v>152718.72000000006</v>
      </c>
    </row>
    <row r="11" spans="1:31" x14ac:dyDescent="0.3">
      <c r="C11" s="4" t="s">
        <v>23</v>
      </c>
      <c r="D11" s="2">
        <v>17888.669999999995</v>
      </c>
      <c r="E11" s="2">
        <v>108210.66999999993</v>
      </c>
      <c r="F11" s="2">
        <v>121861.73000000004</v>
      </c>
      <c r="G11" s="2"/>
      <c r="H11" s="2">
        <v>247961.06999999998</v>
      </c>
      <c r="I11" s="4" t="s">
        <v>52</v>
      </c>
      <c r="J11" s="2">
        <v>139241.71000000002</v>
      </c>
      <c r="L11" t="str">
        <f t="shared" si="2"/>
        <v>Accessories</v>
      </c>
      <c r="M11" s="2">
        <f t="shared" si="3"/>
        <v>139241.71000000002</v>
      </c>
      <c r="O11" t="s">
        <v>53</v>
      </c>
      <c r="P11">
        <v>2021</v>
      </c>
      <c r="U11" s="4" t="s">
        <v>54</v>
      </c>
      <c r="V11" s="2">
        <v>11471.419999999998</v>
      </c>
      <c r="X11" t="str">
        <f t="shared" si="0"/>
        <v>District of Columbia</v>
      </c>
      <c r="Y11" s="5">
        <f t="shared" si="1"/>
        <v>2865.0199999999995</v>
      </c>
      <c r="AD11" s="4" t="s">
        <v>55</v>
      </c>
      <c r="AE11" s="5">
        <v>147238.11000000004</v>
      </c>
    </row>
    <row r="12" spans="1:31" x14ac:dyDescent="0.3">
      <c r="I12" s="4" t="s">
        <v>56</v>
      </c>
      <c r="J12" s="2">
        <v>118968.23999999999</v>
      </c>
      <c r="L12" t="str">
        <f t="shared" si="2"/>
        <v>Copiers</v>
      </c>
      <c r="M12" s="2">
        <f t="shared" si="3"/>
        <v>118968.23999999999</v>
      </c>
      <c r="O12" t="s">
        <v>57</v>
      </c>
      <c r="P12">
        <v>2021</v>
      </c>
      <c r="U12" s="4" t="s">
        <v>58</v>
      </c>
      <c r="V12" s="2">
        <v>16302.24</v>
      </c>
      <c r="X12" t="str">
        <f t="shared" si="0"/>
        <v>Florida</v>
      </c>
      <c r="Y12" s="5">
        <f t="shared" si="1"/>
        <v>79303.609999999986</v>
      </c>
      <c r="AD12" s="4" t="s">
        <v>59</v>
      </c>
      <c r="AE12" s="5">
        <v>159043.99000000008</v>
      </c>
    </row>
    <row r="13" spans="1:31" x14ac:dyDescent="0.3">
      <c r="I13" s="4" t="s">
        <v>60</v>
      </c>
      <c r="J13" s="2">
        <v>101387.67000000013</v>
      </c>
      <c r="L13" t="str">
        <f t="shared" si="2"/>
        <v>Bookcases</v>
      </c>
      <c r="M13" s="2">
        <f t="shared" si="3"/>
        <v>101387.67000000013</v>
      </c>
      <c r="O13" t="s">
        <v>61</v>
      </c>
      <c r="P13">
        <v>2021</v>
      </c>
      <c r="U13" s="4" t="s">
        <v>62</v>
      </c>
      <c r="V13" s="2">
        <v>2865.0199999999995</v>
      </c>
      <c r="X13" t="str">
        <f t="shared" si="0"/>
        <v>Georgia</v>
      </c>
      <c r="Y13" s="5">
        <f t="shared" si="1"/>
        <v>46346.2</v>
      </c>
      <c r="AD13" s="4" t="s">
        <v>63</v>
      </c>
      <c r="AE13" s="5">
        <v>219783.30000000057</v>
      </c>
    </row>
    <row r="14" spans="1:31" x14ac:dyDescent="0.3">
      <c r="I14" s="4" t="s">
        <v>64</v>
      </c>
      <c r="J14" s="2">
        <v>87846.099999999991</v>
      </c>
      <c r="L14" t="str">
        <f t="shared" si="2"/>
        <v>Appliances</v>
      </c>
      <c r="M14" s="2">
        <f t="shared" si="3"/>
        <v>87846.099999999991</v>
      </c>
      <c r="O14" t="s">
        <v>65</v>
      </c>
      <c r="P14">
        <v>2021</v>
      </c>
      <c r="U14" s="4" t="s">
        <v>66</v>
      </c>
      <c r="V14" s="2">
        <v>79303.609999999986</v>
      </c>
      <c r="X14" t="str">
        <f t="shared" si="0"/>
        <v>Idaho</v>
      </c>
      <c r="Y14" s="5">
        <f t="shared" si="1"/>
        <v>3963.4700000000007</v>
      </c>
      <c r="AD14" s="4" t="s">
        <v>67</v>
      </c>
      <c r="AE14" s="5">
        <v>122546.06999999989</v>
      </c>
    </row>
    <row r="15" spans="1:31" x14ac:dyDescent="0.3">
      <c r="A15" s="2">
        <f>GETPIVOTDATA("Sales",$A$3)</f>
        <v>1928887.8599999624</v>
      </c>
      <c r="I15" s="4" t="s">
        <v>68</v>
      </c>
      <c r="J15" s="2">
        <v>76222.689999999944</v>
      </c>
      <c r="L15" t="str">
        <f t="shared" si="2"/>
        <v>Furnishings</v>
      </c>
      <c r="M15" s="2">
        <f t="shared" si="3"/>
        <v>76222.689999999944</v>
      </c>
      <c r="O15" t="s">
        <v>69</v>
      </c>
      <c r="P15">
        <v>2021</v>
      </c>
      <c r="U15" s="4" t="s">
        <v>70</v>
      </c>
      <c r="V15" s="2">
        <v>46346.2</v>
      </c>
      <c r="X15" t="str">
        <f t="shared" si="0"/>
        <v>Illinois</v>
      </c>
      <c r="Y15" s="5">
        <f t="shared" si="1"/>
        <v>68565.030000000072</v>
      </c>
      <c r="AD15" s="4" t="s">
        <v>71</v>
      </c>
      <c r="AE15" s="5">
        <v>234013.28000000012</v>
      </c>
    </row>
    <row r="16" spans="1:31" x14ac:dyDescent="0.3">
      <c r="A16" s="2">
        <f>GETPIVOTDATA("Profit",$A$7)</f>
        <v>247961.07000000036</v>
      </c>
      <c r="I16" s="4" t="s">
        <v>72</v>
      </c>
      <c r="J16" s="2">
        <v>64529.990000000034</v>
      </c>
      <c r="L16" t="str">
        <f t="shared" si="2"/>
        <v>Paper</v>
      </c>
      <c r="M16" s="2">
        <f t="shared" si="3"/>
        <v>64529.990000000034</v>
      </c>
      <c r="O16" t="s">
        <v>73</v>
      </c>
      <c r="P16">
        <v>2021</v>
      </c>
      <c r="U16" s="4" t="s">
        <v>74</v>
      </c>
      <c r="V16" s="2">
        <v>3963.4700000000007</v>
      </c>
      <c r="X16" t="str">
        <f t="shared" si="0"/>
        <v>Indiana</v>
      </c>
      <c r="Y16" s="5">
        <f t="shared" si="1"/>
        <v>47809.549999999996</v>
      </c>
      <c r="AD16" s="4" t="s">
        <v>75</v>
      </c>
      <c r="AE16" s="5">
        <v>241464.23000000027</v>
      </c>
    </row>
    <row r="17" spans="9:31" x14ac:dyDescent="0.3">
      <c r="I17" s="4" t="s">
        <v>76</v>
      </c>
      <c r="J17" s="2">
        <v>38554.810000000027</v>
      </c>
      <c r="L17" t="str">
        <f t="shared" si="2"/>
        <v>Supplies</v>
      </c>
      <c r="M17" s="2">
        <f t="shared" si="3"/>
        <v>38554.810000000027</v>
      </c>
      <c r="O17" t="s">
        <v>77</v>
      </c>
      <c r="P17">
        <v>2021</v>
      </c>
      <c r="U17" s="4" t="s">
        <v>78</v>
      </c>
      <c r="V17" s="2">
        <v>68565.030000000072</v>
      </c>
      <c r="X17" t="str">
        <f t="shared" si="0"/>
        <v>Iowa</v>
      </c>
      <c r="Y17" s="5">
        <f t="shared" si="1"/>
        <v>4476.41</v>
      </c>
      <c r="AD17" s="4" t="s">
        <v>22</v>
      </c>
      <c r="AE17" s="5"/>
    </row>
    <row r="18" spans="9:31" x14ac:dyDescent="0.3">
      <c r="I18" s="4" t="s">
        <v>79</v>
      </c>
      <c r="J18" s="2">
        <v>23145.500000000011</v>
      </c>
      <c r="L18" t="str">
        <f t="shared" si="2"/>
        <v>Art</v>
      </c>
      <c r="M18" s="2">
        <f t="shared" si="3"/>
        <v>23145.500000000011</v>
      </c>
      <c r="O18" t="s">
        <v>80</v>
      </c>
      <c r="P18">
        <v>2021</v>
      </c>
      <c r="U18" s="4" t="s">
        <v>81</v>
      </c>
      <c r="V18" s="2">
        <v>47809.549999999996</v>
      </c>
      <c r="X18" t="str">
        <f t="shared" si="0"/>
        <v>Kansas</v>
      </c>
      <c r="Y18" s="5">
        <f t="shared" si="1"/>
        <v>2835.0000000000005</v>
      </c>
      <c r="AD18" s="4" t="s">
        <v>23</v>
      </c>
      <c r="AE18" s="5">
        <v>1928887.860000001</v>
      </c>
    </row>
    <row r="19" spans="9:31" x14ac:dyDescent="0.3">
      <c r="I19" s="4" t="s">
        <v>82</v>
      </c>
      <c r="J19" s="2">
        <v>14717.39</v>
      </c>
      <c r="L19" t="str">
        <f t="shared" si="2"/>
        <v>Envelopes</v>
      </c>
      <c r="M19" s="2">
        <f t="shared" si="3"/>
        <v>14717.39</v>
      </c>
      <c r="O19" t="s">
        <v>83</v>
      </c>
      <c r="P19">
        <v>2021</v>
      </c>
      <c r="U19" s="4" t="s">
        <v>84</v>
      </c>
      <c r="V19" s="2">
        <v>4476.41</v>
      </c>
      <c r="X19" t="str">
        <f t="shared" si="0"/>
        <v>Kentucky</v>
      </c>
      <c r="Y19" s="5">
        <f t="shared" si="1"/>
        <v>23650.589999999982</v>
      </c>
    </row>
    <row r="20" spans="9:31" x14ac:dyDescent="0.3">
      <c r="I20" s="4" t="s">
        <v>85</v>
      </c>
      <c r="J20" s="2">
        <v>11045.550000000012</v>
      </c>
      <c r="L20" t="str">
        <f t="shared" si="2"/>
        <v>Labels</v>
      </c>
      <c r="M20" s="2">
        <f t="shared" si="3"/>
        <v>11045.550000000012</v>
      </c>
      <c r="O20" t="s">
        <v>86</v>
      </c>
      <c r="P20">
        <v>2021</v>
      </c>
      <c r="U20" s="4" t="s">
        <v>87</v>
      </c>
      <c r="V20" s="2">
        <v>2835.0000000000005</v>
      </c>
      <c r="X20" t="str">
        <f t="shared" si="0"/>
        <v>Louisiana</v>
      </c>
      <c r="Y20" s="5">
        <f t="shared" si="1"/>
        <v>5297.05</v>
      </c>
    </row>
    <row r="21" spans="9:31" x14ac:dyDescent="0.3">
      <c r="I21" s="4" t="s">
        <v>88</v>
      </c>
      <c r="J21" s="2">
        <v>2484.9300000000003</v>
      </c>
      <c r="L21" t="str">
        <f t="shared" si="2"/>
        <v>Fasteners</v>
      </c>
      <c r="M21" s="2">
        <f t="shared" si="3"/>
        <v>2484.9300000000003</v>
      </c>
      <c r="O21" t="s">
        <v>89</v>
      </c>
      <c r="P21">
        <v>2021</v>
      </c>
      <c r="U21" s="4" t="s">
        <v>90</v>
      </c>
      <c r="V21" s="2">
        <v>23650.589999999982</v>
      </c>
      <c r="X21" t="str">
        <f t="shared" si="0"/>
        <v>Maine</v>
      </c>
      <c r="Y21" s="5">
        <f t="shared" si="1"/>
        <v>1270.5300000000002</v>
      </c>
    </row>
    <row r="22" spans="9:31" x14ac:dyDescent="0.3">
      <c r="I22" s="4" t="s">
        <v>22</v>
      </c>
      <c r="J22" s="2"/>
      <c r="O22" t="s">
        <v>91</v>
      </c>
      <c r="P22">
        <v>2021</v>
      </c>
      <c r="U22" s="4" t="s">
        <v>92</v>
      </c>
      <c r="V22" s="2">
        <v>5297.05</v>
      </c>
      <c r="X22" t="str">
        <f t="shared" si="0"/>
        <v>Maryland</v>
      </c>
      <c r="Y22" s="5">
        <f t="shared" si="1"/>
        <v>18580.899999999998</v>
      </c>
    </row>
    <row r="23" spans="9:31" x14ac:dyDescent="0.3">
      <c r="I23" s="4" t="s">
        <v>23</v>
      </c>
      <c r="J23" s="2">
        <v>1928887.8600000008</v>
      </c>
      <c r="O23" t="s">
        <v>93</v>
      </c>
      <c r="P23">
        <v>2021</v>
      </c>
      <c r="U23" s="4" t="s">
        <v>94</v>
      </c>
      <c r="V23" s="2">
        <v>1270.5300000000002</v>
      </c>
      <c r="X23" t="str">
        <f t="shared" si="0"/>
        <v>Massachusetts</v>
      </c>
      <c r="Y23" s="5">
        <f t="shared" si="1"/>
        <v>23040.059999999998</v>
      </c>
    </row>
    <row r="24" spans="9:31" x14ac:dyDescent="0.3">
      <c r="O24" t="s">
        <v>95</v>
      </c>
      <c r="P24">
        <v>2021</v>
      </c>
      <c r="U24" s="4" t="s">
        <v>96</v>
      </c>
      <c r="V24" s="2">
        <v>18580.899999999998</v>
      </c>
      <c r="X24" t="str">
        <f t="shared" si="0"/>
        <v>Michigan</v>
      </c>
      <c r="Y24" s="5">
        <f t="shared" si="1"/>
        <v>66559.090000000011</v>
      </c>
    </row>
    <row r="25" spans="9:31" x14ac:dyDescent="0.3">
      <c r="O25" t="s">
        <v>97</v>
      </c>
      <c r="P25">
        <v>2021</v>
      </c>
      <c r="U25" s="4" t="s">
        <v>98</v>
      </c>
      <c r="V25" s="2">
        <v>23040.059999999998</v>
      </c>
      <c r="X25" t="str">
        <f t="shared" si="0"/>
        <v>Minnesota</v>
      </c>
      <c r="Y25" s="5">
        <f t="shared" si="1"/>
        <v>25069.119999999992</v>
      </c>
    </row>
    <row r="26" spans="9:31" x14ac:dyDescent="0.3">
      <c r="O26" t="s">
        <v>99</v>
      </c>
      <c r="P26">
        <v>2021</v>
      </c>
      <c r="U26" s="4" t="s">
        <v>100</v>
      </c>
      <c r="V26" s="2">
        <v>66559.090000000011</v>
      </c>
      <c r="X26" t="str">
        <f t="shared" si="0"/>
        <v>Mississippi</v>
      </c>
      <c r="Y26" s="5">
        <f t="shared" si="1"/>
        <v>9528.4400000000023</v>
      </c>
    </row>
    <row r="27" spans="9:31" x14ac:dyDescent="0.3">
      <c r="O27" t="s">
        <v>101</v>
      </c>
      <c r="P27">
        <v>2021</v>
      </c>
      <c r="U27" s="4" t="s">
        <v>102</v>
      </c>
      <c r="V27" s="2">
        <v>25069.119999999992</v>
      </c>
      <c r="X27" t="str">
        <f t="shared" si="0"/>
        <v>Missouri</v>
      </c>
      <c r="Y27" s="5">
        <f t="shared" si="1"/>
        <v>18470.039999999997</v>
      </c>
    </row>
    <row r="28" spans="9:31" x14ac:dyDescent="0.3">
      <c r="O28" t="s">
        <v>103</v>
      </c>
      <c r="P28">
        <v>2021</v>
      </c>
      <c r="U28" s="4" t="s">
        <v>104</v>
      </c>
      <c r="V28" s="2">
        <v>9528.4400000000023</v>
      </c>
      <c r="X28" t="str">
        <f t="shared" si="0"/>
        <v>Montana</v>
      </c>
      <c r="Y28" s="5">
        <f t="shared" si="1"/>
        <v>5549.4500000000007</v>
      </c>
    </row>
    <row r="29" spans="9:31" x14ac:dyDescent="0.3">
      <c r="O29" t="s">
        <v>105</v>
      </c>
      <c r="P29">
        <v>2021</v>
      </c>
      <c r="U29" s="4" t="s">
        <v>106</v>
      </c>
      <c r="V29" s="2">
        <v>18470.039999999997</v>
      </c>
      <c r="X29" t="str">
        <f t="shared" si="0"/>
        <v>Nebraska</v>
      </c>
      <c r="Y29" s="5">
        <f t="shared" si="1"/>
        <v>4063.0600000000004</v>
      </c>
    </row>
    <row r="30" spans="9:31" x14ac:dyDescent="0.3">
      <c r="O30" t="s">
        <v>107</v>
      </c>
      <c r="P30">
        <v>2021</v>
      </c>
      <c r="U30" s="4" t="s">
        <v>108</v>
      </c>
      <c r="V30" s="2">
        <v>5549.4500000000007</v>
      </c>
      <c r="X30" t="str">
        <f t="shared" si="0"/>
        <v>Nevada</v>
      </c>
      <c r="Y30" s="5">
        <f t="shared" si="1"/>
        <v>15059.500000000002</v>
      </c>
    </row>
    <row r="31" spans="9:31" x14ac:dyDescent="0.3">
      <c r="O31" t="s">
        <v>109</v>
      </c>
      <c r="P31">
        <v>2021</v>
      </c>
      <c r="U31" s="4" t="s">
        <v>110</v>
      </c>
      <c r="V31" s="2">
        <v>4063.0600000000004</v>
      </c>
      <c r="X31" t="str">
        <f t="shared" si="0"/>
        <v>New Hampshire</v>
      </c>
      <c r="Y31" s="5">
        <f t="shared" si="1"/>
        <v>7210.3</v>
      </c>
    </row>
    <row r="32" spans="9:31" x14ac:dyDescent="0.3">
      <c r="O32" t="s">
        <v>111</v>
      </c>
      <c r="P32">
        <v>2021</v>
      </c>
      <c r="U32" s="4" t="s">
        <v>112</v>
      </c>
      <c r="V32" s="2">
        <v>15059.500000000002</v>
      </c>
      <c r="X32" t="str">
        <f t="shared" si="0"/>
        <v>New Jersey</v>
      </c>
      <c r="Y32" s="5">
        <f t="shared" si="1"/>
        <v>29833.009999999995</v>
      </c>
    </row>
    <row r="33" spans="15:25" x14ac:dyDescent="0.3">
      <c r="O33" t="s">
        <v>113</v>
      </c>
      <c r="P33">
        <v>2021</v>
      </c>
      <c r="U33" s="4" t="s">
        <v>114</v>
      </c>
      <c r="V33" s="2">
        <v>7210.3</v>
      </c>
      <c r="X33" t="str">
        <f t="shared" si="0"/>
        <v>New Mexico</v>
      </c>
      <c r="Y33" s="5">
        <f t="shared" si="1"/>
        <v>3519.2000000000003</v>
      </c>
    </row>
    <row r="34" spans="15:25" x14ac:dyDescent="0.3">
      <c r="O34" t="s">
        <v>115</v>
      </c>
      <c r="P34">
        <v>2021</v>
      </c>
      <c r="U34" s="4" t="s">
        <v>116</v>
      </c>
      <c r="V34" s="2">
        <v>29833.009999999995</v>
      </c>
      <c r="X34" t="str">
        <f t="shared" si="0"/>
        <v>New York</v>
      </c>
      <c r="Y34" s="5">
        <f t="shared" si="1"/>
        <v>246517.74000000046</v>
      </c>
    </row>
    <row r="35" spans="15:25" x14ac:dyDescent="0.3">
      <c r="O35" t="s">
        <v>117</v>
      </c>
      <c r="P35">
        <v>2021</v>
      </c>
      <c r="U35" s="4" t="s">
        <v>118</v>
      </c>
      <c r="V35" s="2">
        <v>3519.2000000000003</v>
      </c>
      <c r="X35" t="str">
        <f t="shared" si="0"/>
        <v>North Carolina</v>
      </c>
      <c r="Y35" s="5">
        <f t="shared" si="1"/>
        <v>37450.26999999999</v>
      </c>
    </row>
    <row r="36" spans="15:25" x14ac:dyDescent="0.3">
      <c r="O36" t="s">
        <v>119</v>
      </c>
      <c r="P36">
        <v>2021</v>
      </c>
      <c r="U36" s="4" t="s">
        <v>120</v>
      </c>
      <c r="V36" s="2">
        <v>246517.74000000046</v>
      </c>
      <c r="X36" t="str">
        <f t="shared" si="0"/>
        <v>North Dakota</v>
      </c>
      <c r="Y36" s="5">
        <f t="shared" si="1"/>
        <v>891.53</v>
      </c>
    </row>
    <row r="37" spans="15:25" x14ac:dyDescent="0.3">
      <c r="O37" t="s">
        <v>121</v>
      </c>
      <c r="P37">
        <v>2021</v>
      </c>
      <c r="U37" s="4" t="s">
        <v>122</v>
      </c>
      <c r="V37" s="2">
        <v>37450.26999999999</v>
      </c>
      <c r="X37" t="str">
        <f t="shared" si="0"/>
        <v>Ohio</v>
      </c>
      <c r="Y37" s="5">
        <f t="shared" si="1"/>
        <v>66407.170000000027</v>
      </c>
    </row>
    <row r="38" spans="15:25" x14ac:dyDescent="0.3">
      <c r="O38" t="s">
        <v>123</v>
      </c>
      <c r="P38">
        <v>2021</v>
      </c>
      <c r="U38" s="4" t="s">
        <v>124</v>
      </c>
      <c r="V38" s="2">
        <v>891.53</v>
      </c>
      <c r="X38" t="str">
        <f t="shared" si="0"/>
        <v>Oklahoma</v>
      </c>
      <c r="Y38" s="5">
        <f t="shared" si="1"/>
        <v>17021.929999999997</v>
      </c>
    </row>
    <row r="39" spans="15:25" x14ac:dyDescent="0.3">
      <c r="O39" t="s">
        <v>125</v>
      </c>
      <c r="P39">
        <v>2021</v>
      </c>
      <c r="U39" s="4" t="s">
        <v>126</v>
      </c>
      <c r="V39" s="2">
        <v>66407.170000000027</v>
      </c>
      <c r="X39" t="str">
        <f t="shared" si="0"/>
        <v>Oregon</v>
      </c>
      <c r="Y39" s="5">
        <f t="shared" si="1"/>
        <v>15189.980000000009</v>
      </c>
    </row>
    <row r="40" spans="15:25" x14ac:dyDescent="0.3">
      <c r="O40" t="s">
        <v>127</v>
      </c>
      <c r="P40">
        <v>2021</v>
      </c>
      <c r="U40" s="4" t="s">
        <v>128</v>
      </c>
      <c r="V40" s="2">
        <v>17021.929999999997</v>
      </c>
      <c r="X40" t="str">
        <f t="shared" si="0"/>
        <v>Pennsylvania</v>
      </c>
      <c r="Y40" s="5">
        <f t="shared" si="1"/>
        <v>95494.859999999986</v>
      </c>
    </row>
    <row r="41" spans="15:25" x14ac:dyDescent="0.3">
      <c r="O41" t="s">
        <v>129</v>
      </c>
      <c r="P41">
        <v>2021</v>
      </c>
      <c r="U41" s="4" t="s">
        <v>130</v>
      </c>
      <c r="V41" s="2">
        <v>15189.980000000009</v>
      </c>
      <c r="X41" t="str">
        <f t="shared" si="0"/>
        <v>Rhode Island</v>
      </c>
      <c r="Y41" s="5">
        <f t="shared" si="1"/>
        <v>19695.419999999998</v>
      </c>
    </row>
    <row r="42" spans="15:25" x14ac:dyDescent="0.3">
      <c r="O42" t="s">
        <v>131</v>
      </c>
      <c r="P42">
        <v>2021</v>
      </c>
      <c r="U42" s="4" t="s">
        <v>132</v>
      </c>
      <c r="V42" s="2">
        <v>95494.859999999986</v>
      </c>
      <c r="X42" t="str">
        <f t="shared" si="0"/>
        <v>South Carolina</v>
      </c>
      <c r="Y42" s="5">
        <f t="shared" si="1"/>
        <v>7350.869999999999</v>
      </c>
    </row>
    <row r="43" spans="15:25" x14ac:dyDescent="0.3">
      <c r="O43" t="s">
        <v>133</v>
      </c>
      <c r="P43">
        <v>2021</v>
      </c>
      <c r="U43" s="4" t="s">
        <v>134</v>
      </c>
      <c r="V43" s="2">
        <v>19695.419999999998</v>
      </c>
      <c r="X43" t="str">
        <f t="shared" si="0"/>
        <v>South Dakota</v>
      </c>
      <c r="Y43" s="5">
        <f t="shared" si="1"/>
        <v>1290.06</v>
      </c>
    </row>
    <row r="44" spans="15:25" x14ac:dyDescent="0.3">
      <c r="O44" t="s">
        <v>41</v>
      </c>
      <c r="P44">
        <v>2021</v>
      </c>
      <c r="U44" s="4" t="s">
        <v>135</v>
      </c>
      <c r="V44" s="2">
        <v>7350.869999999999</v>
      </c>
      <c r="X44" t="str">
        <f t="shared" si="0"/>
        <v>Tennessee</v>
      </c>
      <c r="Y44" s="5">
        <f t="shared" si="1"/>
        <v>21227.569999999996</v>
      </c>
    </row>
    <row r="45" spans="15:25" x14ac:dyDescent="0.3">
      <c r="O45" t="s">
        <v>136</v>
      </c>
      <c r="P45">
        <v>2021</v>
      </c>
      <c r="U45" s="4" t="s">
        <v>137</v>
      </c>
      <c r="V45" s="2">
        <v>1290.06</v>
      </c>
      <c r="X45" t="str">
        <f t="shared" si="0"/>
        <v>Texas</v>
      </c>
      <c r="Y45" s="5">
        <f t="shared" si="1"/>
        <v>151436.59999999998</v>
      </c>
    </row>
    <row r="46" spans="15:25" x14ac:dyDescent="0.3">
      <c r="O46" t="s">
        <v>138</v>
      </c>
      <c r="P46">
        <v>2021</v>
      </c>
      <c r="U46" s="4" t="s">
        <v>139</v>
      </c>
      <c r="V46" s="2">
        <v>21227.569999999996</v>
      </c>
      <c r="X46" t="str">
        <f t="shared" si="0"/>
        <v>Utah</v>
      </c>
      <c r="Y46" s="5">
        <f t="shared" si="1"/>
        <v>8960.06</v>
      </c>
    </row>
    <row r="47" spans="15:25" x14ac:dyDescent="0.3">
      <c r="O47" t="s">
        <v>140</v>
      </c>
      <c r="P47">
        <v>2021</v>
      </c>
      <c r="U47" s="4" t="s">
        <v>141</v>
      </c>
      <c r="V47" s="2">
        <v>151436.59999999998</v>
      </c>
      <c r="X47" t="str">
        <f t="shared" si="0"/>
        <v>Vermont</v>
      </c>
      <c r="Y47" s="5">
        <f t="shared" si="1"/>
        <v>8724.34</v>
      </c>
    </row>
    <row r="48" spans="15:25" x14ac:dyDescent="0.3">
      <c r="O48" t="s">
        <v>142</v>
      </c>
      <c r="P48">
        <v>2021</v>
      </c>
      <c r="U48" s="4" t="s">
        <v>143</v>
      </c>
      <c r="V48" s="2">
        <v>8960.06</v>
      </c>
      <c r="X48" t="str">
        <f t="shared" si="0"/>
        <v>Virginia</v>
      </c>
      <c r="Y48" s="5">
        <f t="shared" si="1"/>
        <v>67825.950000000026</v>
      </c>
    </row>
    <row r="49" spans="15:25" x14ac:dyDescent="0.3">
      <c r="O49" t="s">
        <v>144</v>
      </c>
      <c r="P49">
        <v>2021</v>
      </c>
      <c r="U49" s="4" t="s">
        <v>145</v>
      </c>
      <c r="V49" s="2">
        <v>8724.34</v>
      </c>
      <c r="X49" t="str">
        <f t="shared" si="0"/>
        <v>Washington</v>
      </c>
      <c r="Y49" s="5">
        <f t="shared" si="1"/>
        <v>117661.47000000002</v>
      </c>
    </row>
    <row r="50" spans="15:25" x14ac:dyDescent="0.3">
      <c r="O50" t="s">
        <v>146</v>
      </c>
      <c r="P50">
        <v>2021</v>
      </c>
      <c r="U50" s="4" t="s">
        <v>147</v>
      </c>
      <c r="V50" s="2">
        <v>67825.950000000026</v>
      </c>
      <c r="X50" t="str">
        <f t="shared" si="0"/>
        <v>West Virginia</v>
      </c>
      <c r="Y50" s="5">
        <f t="shared" si="1"/>
        <v>536.48</v>
      </c>
    </row>
    <row r="51" spans="15:25" x14ac:dyDescent="0.3">
      <c r="O51" t="s">
        <v>148</v>
      </c>
      <c r="P51">
        <v>2021</v>
      </c>
      <c r="U51" s="4" t="s">
        <v>149</v>
      </c>
      <c r="V51" s="2">
        <v>117661.47000000002</v>
      </c>
      <c r="X51" t="str">
        <f t="shared" si="0"/>
        <v>Wisconsin</v>
      </c>
      <c r="Y51" s="5">
        <f t="shared" si="1"/>
        <v>29249.080000000009</v>
      </c>
    </row>
    <row r="52" spans="15:25" x14ac:dyDescent="0.3">
      <c r="O52" t="s">
        <v>150</v>
      </c>
      <c r="P52">
        <v>2021</v>
      </c>
      <c r="U52" s="4" t="s">
        <v>151</v>
      </c>
      <c r="V52" s="2">
        <v>536.48</v>
      </c>
      <c r="X52" t="str">
        <f t="shared" si="0"/>
        <v>Wyoming</v>
      </c>
      <c r="Y52" s="5">
        <f t="shared" si="1"/>
        <v>1603.14</v>
      </c>
    </row>
    <row r="53" spans="15:25" x14ac:dyDescent="0.3">
      <c r="O53" t="s">
        <v>152</v>
      </c>
      <c r="P53">
        <v>2021</v>
      </c>
      <c r="U53" s="4" t="s">
        <v>153</v>
      </c>
      <c r="V53" s="2">
        <v>29249.080000000009</v>
      </c>
      <c r="X53" t="str">
        <f t="shared" si="0"/>
        <v>(blank)</v>
      </c>
      <c r="Y53" s="5">
        <f t="shared" si="1"/>
        <v>0</v>
      </c>
    </row>
    <row r="54" spans="15:25" x14ac:dyDescent="0.3">
      <c r="O54" t="s">
        <v>154</v>
      </c>
      <c r="P54">
        <v>2021</v>
      </c>
      <c r="U54" s="4" t="s">
        <v>155</v>
      </c>
      <c r="V54" s="2">
        <v>1603.14</v>
      </c>
    </row>
    <row r="55" spans="15:25" x14ac:dyDescent="0.3">
      <c r="O55" t="s">
        <v>156</v>
      </c>
      <c r="P55">
        <v>2021</v>
      </c>
      <c r="U55" s="4" t="s">
        <v>22</v>
      </c>
    </row>
    <row r="56" spans="15:25" x14ac:dyDescent="0.3">
      <c r="O56" t="s">
        <v>157</v>
      </c>
      <c r="P56">
        <v>2021</v>
      </c>
      <c r="U56" s="4" t="s">
        <v>23</v>
      </c>
      <c r="V56">
        <v>1928887.8600000013</v>
      </c>
    </row>
    <row r="57" spans="15:25" x14ac:dyDescent="0.3">
      <c r="O57" t="s">
        <v>158</v>
      </c>
      <c r="P57">
        <v>2021</v>
      </c>
    </row>
    <row r="58" spans="15:25" x14ac:dyDescent="0.3">
      <c r="O58" t="s">
        <v>159</v>
      </c>
      <c r="P58">
        <v>2021</v>
      </c>
    </row>
    <row r="59" spans="15:25" x14ac:dyDescent="0.3">
      <c r="O59" t="s">
        <v>160</v>
      </c>
      <c r="P59">
        <v>2021</v>
      </c>
    </row>
    <row r="60" spans="15:25" x14ac:dyDescent="0.3">
      <c r="O60" t="s">
        <v>161</v>
      </c>
      <c r="P60">
        <v>2021</v>
      </c>
    </row>
    <row r="61" spans="15:25" x14ac:dyDescent="0.3">
      <c r="O61" t="s">
        <v>162</v>
      </c>
      <c r="P61">
        <v>2021</v>
      </c>
    </row>
    <row r="62" spans="15:25" x14ac:dyDescent="0.3">
      <c r="O62" t="s">
        <v>163</v>
      </c>
      <c r="P62">
        <v>2021</v>
      </c>
    </row>
    <row r="63" spans="15:25" x14ac:dyDescent="0.3">
      <c r="O63" t="s">
        <v>164</v>
      </c>
      <c r="P63">
        <v>2021</v>
      </c>
    </row>
    <row r="64" spans="15:25" x14ac:dyDescent="0.3">
      <c r="O64" t="s">
        <v>165</v>
      </c>
      <c r="P64">
        <v>2021</v>
      </c>
    </row>
    <row r="65" spans="15:16" x14ac:dyDescent="0.3">
      <c r="O65" t="s">
        <v>166</v>
      </c>
      <c r="P65">
        <v>2021</v>
      </c>
    </row>
    <row r="66" spans="15:16" x14ac:dyDescent="0.3">
      <c r="O66" t="s">
        <v>167</v>
      </c>
      <c r="P66">
        <v>2021</v>
      </c>
    </row>
    <row r="67" spans="15:16" x14ac:dyDescent="0.3">
      <c r="O67" t="s">
        <v>168</v>
      </c>
      <c r="P67">
        <v>2021</v>
      </c>
    </row>
    <row r="68" spans="15:16" x14ac:dyDescent="0.3">
      <c r="O68" t="s">
        <v>169</v>
      </c>
      <c r="P68">
        <v>2021</v>
      </c>
    </row>
    <row r="69" spans="15:16" x14ac:dyDescent="0.3">
      <c r="O69" t="s">
        <v>170</v>
      </c>
      <c r="P69">
        <v>2021</v>
      </c>
    </row>
    <row r="70" spans="15:16" x14ac:dyDescent="0.3">
      <c r="O70" t="s">
        <v>171</v>
      </c>
      <c r="P70">
        <v>2021</v>
      </c>
    </row>
    <row r="71" spans="15:16" x14ac:dyDescent="0.3">
      <c r="O71" t="s">
        <v>172</v>
      </c>
      <c r="P71">
        <v>2021</v>
      </c>
    </row>
    <row r="72" spans="15:16" x14ac:dyDescent="0.3">
      <c r="O72" t="s">
        <v>173</v>
      </c>
      <c r="P72">
        <v>2021</v>
      </c>
    </row>
    <row r="73" spans="15:16" x14ac:dyDescent="0.3">
      <c r="O73" t="s">
        <v>174</v>
      </c>
      <c r="P73">
        <v>2021</v>
      </c>
    </row>
    <row r="74" spans="15:16" x14ac:dyDescent="0.3">
      <c r="O74" t="s">
        <v>175</v>
      </c>
      <c r="P74">
        <v>2021</v>
      </c>
    </row>
    <row r="75" spans="15:16" x14ac:dyDescent="0.3">
      <c r="O75" t="s">
        <v>176</v>
      </c>
      <c r="P75">
        <v>2021</v>
      </c>
    </row>
    <row r="76" spans="15:16" x14ac:dyDescent="0.3">
      <c r="O76" t="s">
        <v>177</v>
      </c>
      <c r="P76">
        <v>2021</v>
      </c>
    </row>
    <row r="77" spans="15:16" x14ac:dyDescent="0.3">
      <c r="O77" t="s">
        <v>178</v>
      </c>
      <c r="P77">
        <v>2021</v>
      </c>
    </row>
    <row r="78" spans="15:16" x14ac:dyDescent="0.3">
      <c r="O78" t="s">
        <v>179</v>
      </c>
      <c r="P78">
        <v>2021</v>
      </c>
    </row>
    <row r="79" spans="15:16" x14ac:dyDescent="0.3">
      <c r="O79" t="s">
        <v>180</v>
      </c>
      <c r="P79">
        <v>2021</v>
      </c>
    </row>
    <row r="80" spans="15:16" x14ac:dyDescent="0.3">
      <c r="O80" t="s">
        <v>181</v>
      </c>
      <c r="P80">
        <v>2021</v>
      </c>
    </row>
    <row r="81" spans="15:16" x14ac:dyDescent="0.3">
      <c r="O81" t="s">
        <v>182</v>
      </c>
      <c r="P81">
        <v>2021</v>
      </c>
    </row>
    <row r="82" spans="15:16" x14ac:dyDescent="0.3">
      <c r="O82" t="s">
        <v>183</v>
      </c>
      <c r="P82">
        <v>2021</v>
      </c>
    </row>
    <row r="83" spans="15:16" x14ac:dyDescent="0.3">
      <c r="O83" t="s">
        <v>184</v>
      </c>
      <c r="P83">
        <v>2021</v>
      </c>
    </row>
    <row r="84" spans="15:16" x14ac:dyDescent="0.3">
      <c r="O84" t="s">
        <v>185</v>
      </c>
      <c r="P84">
        <v>2021</v>
      </c>
    </row>
    <row r="85" spans="15:16" x14ac:dyDescent="0.3">
      <c r="O85" t="s">
        <v>186</v>
      </c>
      <c r="P85">
        <v>2021</v>
      </c>
    </row>
    <row r="86" spans="15:16" x14ac:dyDescent="0.3">
      <c r="O86" t="s">
        <v>187</v>
      </c>
      <c r="P86">
        <v>2021</v>
      </c>
    </row>
    <row r="87" spans="15:16" x14ac:dyDescent="0.3">
      <c r="O87" t="s">
        <v>188</v>
      </c>
      <c r="P87">
        <v>2021</v>
      </c>
    </row>
    <row r="88" spans="15:16" x14ac:dyDescent="0.3">
      <c r="O88" t="s">
        <v>189</v>
      </c>
      <c r="P88">
        <v>2021</v>
      </c>
    </row>
    <row r="89" spans="15:16" x14ac:dyDescent="0.3">
      <c r="O89" t="s">
        <v>190</v>
      </c>
      <c r="P89">
        <v>2021</v>
      </c>
    </row>
    <row r="90" spans="15:16" x14ac:dyDescent="0.3">
      <c r="O90" t="s">
        <v>191</v>
      </c>
      <c r="P90">
        <v>2021</v>
      </c>
    </row>
    <row r="91" spans="15:16" x14ac:dyDescent="0.3">
      <c r="O91" t="s">
        <v>192</v>
      </c>
      <c r="P91">
        <v>2021</v>
      </c>
    </row>
    <row r="92" spans="15:16" x14ac:dyDescent="0.3">
      <c r="O92" t="s">
        <v>193</v>
      </c>
      <c r="P92">
        <v>2021</v>
      </c>
    </row>
    <row r="93" spans="15:16" x14ac:dyDescent="0.3">
      <c r="O93" t="s">
        <v>194</v>
      </c>
      <c r="P93">
        <v>2021</v>
      </c>
    </row>
    <row r="94" spans="15:16" x14ac:dyDescent="0.3">
      <c r="O94" t="s">
        <v>195</v>
      </c>
      <c r="P94">
        <v>2021</v>
      </c>
    </row>
    <row r="95" spans="15:16" x14ac:dyDescent="0.3">
      <c r="O95" t="s">
        <v>196</v>
      </c>
      <c r="P95">
        <v>2021</v>
      </c>
    </row>
    <row r="96" spans="15:16" x14ac:dyDescent="0.3">
      <c r="O96" t="s">
        <v>197</v>
      </c>
      <c r="P96">
        <v>2021</v>
      </c>
    </row>
    <row r="97" spans="15:16" x14ac:dyDescent="0.3">
      <c r="O97" t="s">
        <v>198</v>
      </c>
      <c r="P97">
        <v>2021</v>
      </c>
    </row>
    <row r="98" spans="15:16" x14ac:dyDescent="0.3">
      <c r="O98" t="s">
        <v>199</v>
      </c>
      <c r="P98">
        <v>2021</v>
      </c>
    </row>
    <row r="99" spans="15:16" x14ac:dyDescent="0.3">
      <c r="O99" t="s">
        <v>200</v>
      </c>
      <c r="P99">
        <v>2021</v>
      </c>
    </row>
    <row r="100" spans="15:16" x14ac:dyDescent="0.3">
      <c r="O100" t="s">
        <v>201</v>
      </c>
      <c r="P100">
        <v>2021</v>
      </c>
    </row>
    <row r="101" spans="15:16" x14ac:dyDescent="0.3">
      <c r="O101" t="s">
        <v>202</v>
      </c>
      <c r="P101">
        <v>2021</v>
      </c>
    </row>
    <row r="102" spans="15:16" x14ac:dyDescent="0.3">
      <c r="O102" t="s">
        <v>203</v>
      </c>
      <c r="P102">
        <v>2021</v>
      </c>
    </row>
    <row r="103" spans="15:16" x14ac:dyDescent="0.3">
      <c r="O103" t="s">
        <v>204</v>
      </c>
      <c r="P103">
        <v>2021</v>
      </c>
    </row>
    <row r="104" spans="15:16" x14ac:dyDescent="0.3">
      <c r="O104" t="s">
        <v>205</v>
      </c>
      <c r="P104">
        <v>2021</v>
      </c>
    </row>
    <row r="105" spans="15:16" x14ac:dyDescent="0.3">
      <c r="O105" t="s">
        <v>206</v>
      </c>
      <c r="P105">
        <v>2021</v>
      </c>
    </row>
    <row r="106" spans="15:16" x14ac:dyDescent="0.3">
      <c r="O106" t="s">
        <v>207</v>
      </c>
      <c r="P106">
        <v>2021</v>
      </c>
    </row>
    <row r="107" spans="15:16" x14ac:dyDescent="0.3">
      <c r="O107" t="s">
        <v>208</v>
      </c>
      <c r="P107">
        <v>2021</v>
      </c>
    </row>
    <row r="108" spans="15:16" x14ac:dyDescent="0.3">
      <c r="O108" t="s">
        <v>209</v>
      </c>
      <c r="P108">
        <v>2021</v>
      </c>
    </row>
    <row r="109" spans="15:16" x14ac:dyDescent="0.3">
      <c r="O109" t="s">
        <v>210</v>
      </c>
      <c r="P109">
        <v>2021</v>
      </c>
    </row>
    <row r="110" spans="15:16" x14ac:dyDescent="0.3">
      <c r="O110" t="s">
        <v>211</v>
      </c>
      <c r="P110">
        <v>2021</v>
      </c>
    </row>
    <row r="111" spans="15:16" x14ac:dyDescent="0.3">
      <c r="O111" t="s">
        <v>212</v>
      </c>
      <c r="P111">
        <v>2021</v>
      </c>
    </row>
    <row r="112" spans="15:16" x14ac:dyDescent="0.3">
      <c r="O112" t="s">
        <v>213</v>
      </c>
      <c r="P112">
        <v>2021</v>
      </c>
    </row>
    <row r="113" spans="15:16" x14ac:dyDescent="0.3">
      <c r="O113" t="s">
        <v>214</v>
      </c>
      <c r="P113">
        <v>2021</v>
      </c>
    </row>
    <row r="114" spans="15:16" x14ac:dyDescent="0.3">
      <c r="O114" t="s">
        <v>215</v>
      </c>
      <c r="P114">
        <v>2021</v>
      </c>
    </row>
    <row r="115" spans="15:16" x14ac:dyDescent="0.3">
      <c r="O115" t="s">
        <v>216</v>
      </c>
      <c r="P115">
        <v>2021</v>
      </c>
    </row>
    <row r="116" spans="15:16" x14ac:dyDescent="0.3">
      <c r="O116" t="s">
        <v>217</v>
      </c>
      <c r="P116">
        <v>2021</v>
      </c>
    </row>
    <row r="117" spans="15:16" x14ac:dyDescent="0.3">
      <c r="O117" t="s">
        <v>218</v>
      </c>
      <c r="P117">
        <v>2021</v>
      </c>
    </row>
    <row r="118" spans="15:16" x14ac:dyDescent="0.3">
      <c r="O118" t="s">
        <v>219</v>
      </c>
      <c r="P118">
        <v>2021</v>
      </c>
    </row>
    <row r="119" spans="15:16" x14ac:dyDescent="0.3">
      <c r="O119" t="s">
        <v>220</v>
      </c>
      <c r="P119">
        <v>2021</v>
      </c>
    </row>
    <row r="120" spans="15:16" x14ac:dyDescent="0.3">
      <c r="O120" t="s">
        <v>221</v>
      </c>
      <c r="P120">
        <v>2021</v>
      </c>
    </row>
    <row r="121" spans="15:16" x14ac:dyDescent="0.3">
      <c r="O121" t="s">
        <v>222</v>
      </c>
      <c r="P121">
        <v>2021</v>
      </c>
    </row>
    <row r="122" spans="15:16" x14ac:dyDescent="0.3">
      <c r="O122" t="s">
        <v>223</v>
      </c>
      <c r="P122">
        <v>2021</v>
      </c>
    </row>
    <row r="123" spans="15:16" x14ac:dyDescent="0.3">
      <c r="O123" t="s">
        <v>224</v>
      </c>
      <c r="P123">
        <v>2021</v>
      </c>
    </row>
    <row r="124" spans="15:16" x14ac:dyDescent="0.3">
      <c r="O124" t="s">
        <v>225</v>
      </c>
      <c r="P124">
        <v>2021</v>
      </c>
    </row>
    <row r="125" spans="15:16" x14ac:dyDescent="0.3">
      <c r="O125" t="s">
        <v>226</v>
      </c>
      <c r="P125">
        <v>2021</v>
      </c>
    </row>
    <row r="126" spans="15:16" x14ac:dyDescent="0.3">
      <c r="O126" t="s">
        <v>227</v>
      </c>
      <c r="P126">
        <v>2021</v>
      </c>
    </row>
    <row r="127" spans="15:16" x14ac:dyDescent="0.3">
      <c r="O127" t="s">
        <v>228</v>
      </c>
      <c r="P127">
        <v>2021</v>
      </c>
    </row>
    <row r="128" spans="15:16" x14ac:dyDescent="0.3">
      <c r="O128" t="s">
        <v>229</v>
      </c>
      <c r="P128">
        <v>2021</v>
      </c>
    </row>
    <row r="129" spans="15:16" x14ac:dyDescent="0.3">
      <c r="O129" t="s">
        <v>230</v>
      </c>
      <c r="P129">
        <v>2021</v>
      </c>
    </row>
    <row r="130" spans="15:16" x14ac:dyDescent="0.3">
      <c r="O130" t="s">
        <v>231</v>
      </c>
      <c r="P130">
        <v>2021</v>
      </c>
    </row>
    <row r="131" spans="15:16" x14ac:dyDescent="0.3">
      <c r="O131" t="s">
        <v>232</v>
      </c>
      <c r="P131">
        <v>2021</v>
      </c>
    </row>
    <row r="132" spans="15:16" x14ac:dyDescent="0.3">
      <c r="O132" t="s">
        <v>233</v>
      </c>
      <c r="P132">
        <v>2021</v>
      </c>
    </row>
    <row r="133" spans="15:16" x14ac:dyDescent="0.3">
      <c r="O133" t="s">
        <v>234</v>
      </c>
      <c r="P133">
        <v>2021</v>
      </c>
    </row>
    <row r="134" spans="15:16" x14ac:dyDescent="0.3">
      <c r="O134" t="s">
        <v>235</v>
      </c>
      <c r="P134">
        <v>2021</v>
      </c>
    </row>
    <row r="135" spans="15:16" x14ac:dyDescent="0.3">
      <c r="O135" t="s">
        <v>236</v>
      </c>
      <c r="P135">
        <v>2021</v>
      </c>
    </row>
    <row r="136" spans="15:16" x14ac:dyDescent="0.3">
      <c r="O136" t="s">
        <v>237</v>
      </c>
      <c r="P136">
        <v>2021</v>
      </c>
    </row>
    <row r="137" spans="15:16" x14ac:dyDescent="0.3">
      <c r="O137" t="s">
        <v>238</v>
      </c>
      <c r="P137">
        <v>2021</v>
      </c>
    </row>
    <row r="138" spans="15:16" x14ac:dyDescent="0.3">
      <c r="O138" t="s">
        <v>239</v>
      </c>
      <c r="P138">
        <v>2021</v>
      </c>
    </row>
    <row r="139" spans="15:16" x14ac:dyDescent="0.3">
      <c r="O139" t="s">
        <v>240</v>
      </c>
      <c r="P139">
        <v>2021</v>
      </c>
    </row>
    <row r="140" spans="15:16" x14ac:dyDescent="0.3">
      <c r="O140" t="s">
        <v>241</v>
      </c>
      <c r="P140">
        <v>2021</v>
      </c>
    </row>
    <row r="141" spans="15:16" x14ac:dyDescent="0.3">
      <c r="O141" t="s">
        <v>242</v>
      </c>
      <c r="P141">
        <v>2021</v>
      </c>
    </row>
    <row r="142" spans="15:16" x14ac:dyDescent="0.3">
      <c r="O142" t="s">
        <v>243</v>
      </c>
      <c r="P142">
        <v>2021</v>
      </c>
    </row>
    <row r="143" spans="15:16" x14ac:dyDescent="0.3">
      <c r="O143" t="s">
        <v>244</v>
      </c>
      <c r="P143">
        <v>2021</v>
      </c>
    </row>
    <row r="144" spans="15:16" x14ac:dyDescent="0.3">
      <c r="O144" t="s">
        <v>245</v>
      </c>
      <c r="P144">
        <v>2021</v>
      </c>
    </row>
    <row r="145" spans="15:16" x14ac:dyDescent="0.3">
      <c r="O145" t="s">
        <v>246</v>
      </c>
      <c r="P145">
        <v>2021</v>
      </c>
    </row>
    <row r="146" spans="15:16" x14ac:dyDescent="0.3">
      <c r="O146" t="s">
        <v>247</v>
      </c>
      <c r="P146">
        <v>2021</v>
      </c>
    </row>
    <row r="147" spans="15:16" x14ac:dyDescent="0.3">
      <c r="O147" t="s">
        <v>248</v>
      </c>
      <c r="P147">
        <v>2021</v>
      </c>
    </row>
    <row r="148" spans="15:16" x14ac:dyDescent="0.3">
      <c r="O148" t="s">
        <v>249</v>
      </c>
      <c r="P148">
        <v>2021</v>
      </c>
    </row>
    <row r="149" spans="15:16" x14ac:dyDescent="0.3">
      <c r="O149" t="s">
        <v>250</v>
      </c>
      <c r="P149">
        <v>2021</v>
      </c>
    </row>
    <row r="150" spans="15:16" x14ac:dyDescent="0.3">
      <c r="O150" t="s">
        <v>251</v>
      </c>
      <c r="P150">
        <v>2021</v>
      </c>
    </row>
    <row r="151" spans="15:16" x14ac:dyDescent="0.3">
      <c r="O151" t="s">
        <v>252</v>
      </c>
      <c r="P151">
        <v>2021</v>
      </c>
    </row>
    <row r="152" spans="15:16" x14ac:dyDescent="0.3">
      <c r="O152" t="s">
        <v>253</v>
      </c>
      <c r="P152">
        <v>2021</v>
      </c>
    </row>
    <row r="153" spans="15:16" x14ac:dyDescent="0.3">
      <c r="O153" t="s">
        <v>254</v>
      </c>
      <c r="P153">
        <v>2021</v>
      </c>
    </row>
    <row r="154" spans="15:16" x14ac:dyDescent="0.3">
      <c r="O154" t="s">
        <v>255</v>
      </c>
      <c r="P154">
        <v>2021</v>
      </c>
    </row>
    <row r="155" spans="15:16" x14ac:dyDescent="0.3">
      <c r="O155" t="s">
        <v>256</v>
      </c>
      <c r="P155">
        <v>2021</v>
      </c>
    </row>
    <row r="156" spans="15:16" x14ac:dyDescent="0.3">
      <c r="O156" t="s">
        <v>257</v>
      </c>
      <c r="P156">
        <v>2021</v>
      </c>
    </row>
    <row r="157" spans="15:16" x14ac:dyDescent="0.3">
      <c r="O157" t="s">
        <v>258</v>
      </c>
      <c r="P157">
        <v>2021</v>
      </c>
    </row>
    <row r="158" spans="15:16" x14ac:dyDescent="0.3">
      <c r="O158" t="s">
        <v>259</v>
      </c>
      <c r="P158">
        <v>2021</v>
      </c>
    </row>
    <row r="159" spans="15:16" x14ac:dyDescent="0.3">
      <c r="O159" t="s">
        <v>260</v>
      </c>
      <c r="P159">
        <v>2021</v>
      </c>
    </row>
    <row r="160" spans="15:16" x14ac:dyDescent="0.3">
      <c r="O160" t="s">
        <v>261</v>
      </c>
      <c r="P160">
        <v>2021</v>
      </c>
    </row>
    <row r="161" spans="15:16" x14ac:dyDescent="0.3">
      <c r="O161" t="s">
        <v>262</v>
      </c>
      <c r="P161">
        <v>2021</v>
      </c>
    </row>
    <row r="162" spans="15:16" x14ac:dyDescent="0.3">
      <c r="O162" t="s">
        <v>263</v>
      </c>
      <c r="P162">
        <v>2021</v>
      </c>
    </row>
    <row r="163" spans="15:16" x14ac:dyDescent="0.3">
      <c r="O163" t="s">
        <v>264</v>
      </c>
      <c r="P163">
        <v>2021</v>
      </c>
    </row>
    <row r="164" spans="15:16" x14ac:dyDescent="0.3">
      <c r="O164" t="s">
        <v>265</v>
      </c>
      <c r="P164">
        <v>2021</v>
      </c>
    </row>
    <row r="165" spans="15:16" x14ac:dyDescent="0.3">
      <c r="O165" t="s">
        <v>266</v>
      </c>
      <c r="P165">
        <v>2021</v>
      </c>
    </row>
    <row r="166" spans="15:16" x14ac:dyDescent="0.3">
      <c r="O166" t="s">
        <v>267</v>
      </c>
      <c r="P166">
        <v>2021</v>
      </c>
    </row>
    <row r="167" spans="15:16" x14ac:dyDescent="0.3">
      <c r="O167" t="s">
        <v>268</v>
      </c>
      <c r="P167">
        <v>2021</v>
      </c>
    </row>
    <row r="168" spans="15:16" x14ac:dyDescent="0.3">
      <c r="O168" t="s">
        <v>269</v>
      </c>
      <c r="P168">
        <v>2021</v>
      </c>
    </row>
    <row r="169" spans="15:16" x14ac:dyDescent="0.3">
      <c r="O169" t="s">
        <v>270</v>
      </c>
      <c r="P169">
        <v>2021</v>
      </c>
    </row>
    <row r="170" spans="15:16" x14ac:dyDescent="0.3">
      <c r="O170" t="s">
        <v>271</v>
      </c>
      <c r="P170">
        <v>2021</v>
      </c>
    </row>
    <row r="171" spans="15:16" x14ac:dyDescent="0.3">
      <c r="O171" t="s">
        <v>272</v>
      </c>
      <c r="P171">
        <v>2021</v>
      </c>
    </row>
    <row r="172" spans="15:16" x14ac:dyDescent="0.3">
      <c r="O172" t="s">
        <v>273</v>
      </c>
      <c r="P172">
        <v>2021</v>
      </c>
    </row>
    <row r="173" spans="15:16" x14ac:dyDescent="0.3">
      <c r="O173" t="s">
        <v>274</v>
      </c>
      <c r="P173">
        <v>2021</v>
      </c>
    </row>
    <row r="174" spans="15:16" x14ac:dyDescent="0.3">
      <c r="O174" t="s">
        <v>275</v>
      </c>
      <c r="P174">
        <v>2021</v>
      </c>
    </row>
    <row r="175" spans="15:16" x14ac:dyDescent="0.3">
      <c r="O175" t="s">
        <v>276</v>
      </c>
      <c r="P175">
        <v>2021</v>
      </c>
    </row>
    <row r="176" spans="15:16" x14ac:dyDescent="0.3">
      <c r="O176" t="s">
        <v>277</v>
      </c>
      <c r="P176">
        <v>2021</v>
      </c>
    </row>
    <row r="177" spans="15:16" x14ac:dyDescent="0.3">
      <c r="O177" t="s">
        <v>278</v>
      </c>
      <c r="P177">
        <v>2021</v>
      </c>
    </row>
    <row r="178" spans="15:16" x14ac:dyDescent="0.3">
      <c r="O178" t="s">
        <v>279</v>
      </c>
      <c r="P178">
        <v>2021</v>
      </c>
    </row>
    <row r="179" spans="15:16" x14ac:dyDescent="0.3">
      <c r="O179" t="s">
        <v>280</v>
      </c>
      <c r="P179">
        <v>2021</v>
      </c>
    </row>
    <row r="180" spans="15:16" x14ac:dyDescent="0.3">
      <c r="O180" t="s">
        <v>281</v>
      </c>
      <c r="P180">
        <v>2021</v>
      </c>
    </row>
    <row r="181" spans="15:16" x14ac:dyDescent="0.3">
      <c r="O181" t="s">
        <v>282</v>
      </c>
      <c r="P181">
        <v>2021</v>
      </c>
    </row>
    <row r="182" spans="15:16" x14ac:dyDescent="0.3">
      <c r="O182" t="s">
        <v>283</v>
      </c>
      <c r="P182">
        <v>2021</v>
      </c>
    </row>
    <row r="183" spans="15:16" x14ac:dyDescent="0.3">
      <c r="O183" t="s">
        <v>284</v>
      </c>
      <c r="P183">
        <v>2021</v>
      </c>
    </row>
    <row r="184" spans="15:16" x14ac:dyDescent="0.3">
      <c r="O184" t="s">
        <v>285</v>
      </c>
      <c r="P184">
        <v>2021</v>
      </c>
    </row>
    <row r="185" spans="15:16" x14ac:dyDescent="0.3">
      <c r="O185" t="s">
        <v>286</v>
      </c>
      <c r="P185">
        <v>2021</v>
      </c>
    </row>
    <row r="186" spans="15:16" x14ac:dyDescent="0.3">
      <c r="O186" t="s">
        <v>287</v>
      </c>
      <c r="P186">
        <v>2021</v>
      </c>
    </row>
    <row r="187" spans="15:16" x14ac:dyDescent="0.3">
      <c r="O187" t="s">
        <v>288</v>
      </c>
      <c r="P187">
        <v>2021</v>
      </c>
    </row>
    <row r="188" spans="15:16" x14ac:dyDescent="0.3">
      <c r="O188" t="s">
        <v>289</v>
      </c>
      <c r="P188">
        <v>2021</v>
      </c>
    </row>
    <row r="189" spans="15:16" x14ac:dyDescent="0.3">
      <c r="O189" t="s">
        <v>290</v>
      </c>
      <c r="P189">
        <v>2021</v>
      </c>
    </row>
    <row r="190" spans="15:16" x14ac:dyDescent="0.3">
      <c r="O190" t="s">
        <v>291</v>
      </c>
      <c r="P190">
        <v>2021</v>
      </c>
    </row>
    <row r="191" spans="15:16" x14ac:dyDescent="0.3">
      <c r="O191" t="s">
        <v>292</v>
      </c>
      <c r="P191">
        <v>2021</v>
      </c>
    </row>
    <row r="192" spans="15:16" x14ac:dyDescent="0.3">
      <c r="O192" t="s">
        <v>293</v>
      </c>
      <c r="P192">
        <v>2021</v>
      </c>
    </row>
    <row r="193" spans="15:16" x14ac:dyDescent="0.3">
      <c r="O193" t="s">
        <v>294</v>
      </c>
      <c r="P193">
        <v>2021</v>
      </c>
    </row>
    <row r="194" spans="15:16" x14ac:dyDescent="0.3">
      <c r="O194" t="s">
        <v>295</v>
      </c>
      <c r="P194">
        <v>2021</v>
      </c>
    </row>
    <row r="195" spans="15:16" x14ac:dyDescent="0.3">
      <c r="O195" t="s">
        <v>296</v>
      </c>
      <c r="P195">
        <v>2021</v>
      </c>
    </row>
    <row r="196" spans="15:16" x14ac:dyDescent="0.3">
      <c r="O196" t="s">
        <v>297</v>
      </c>
      <c r="P196">
        <v>2021</v>
      </c>
    </row>
    <row r="197" spans="15:16" x14ac:dyDescent="0.3">
      <c r="O197" t="s">
        <v>298</v>
      </c>
      <c r="P197">
        <v>2021</v>
      </c>
    </row>
    <row r="198" spans="15:16" x14ac:dyDescent="0.3">
      <c r="O198" t="s">
        <v>299</v>
      </c>
      <c r="P198">
        <v>2021</v>
      </c>
    </row>
    <row r="199" spans="15:16" x14ac:dyDescent="0.3">
      <c r="O199" t="s">
        <v>300</v>
      </c>
      <c r="P199">
        <v>2021</v>
      </c>
    </row>
    <row r="200" spans="15:16" x14ac:dyDescent="0.3">
      <c r="O200" t="s">
        <v>301</v>
      </c>
      <c r="P200">
        <v>2021</v>
      </c>
    </row>
    <row r="201" spans="15:16" x14ac:dyDescent="0.3">
      <c r="O201" t="s">
        <v>302</v>
      </c>
      <c r="P201">
        <v>2021</v>
      </c>
    </row>
    <row r="202" spans="15:16" x14ac:dyDescent="0.3">
      <c r="O202" t="s">
        <v>303</v>
      </c>
      <c r="P202">
        <v>2021</v>
      </c>
    </row>
    <row r="203" spans="15:16" x14ac:dyDescent="0.3">
      <c r="O203" t="s">
        <v>304</v>
      </c>
      <c r="P203">
        <v>2021</v>
      </c>
    </row>
    <row r="204" spans="15:16" x14ac:dyDescent="0.3">
      <c r="O204" t="s">
        <v>305</v>
      </c>
      <c r="P204">
        <v>2021</v>
      </c>
    </row>
    <row r="205" spans="15:16" x14ac:dyDescent="0.3">
      <c r="O205" t="s">
        <v>306</v>
      </c>
      <c r="P205">
        <v>2021</v>
      </c>
    </row>
    <row r="206" spans="15:16" x14ac:dyDescent="0.3">
      <c r="O206" t="s">
        <v>307</v>
      </c>
      <c r="P206">
        <v>2021</v>
      </c>
    </row>
    <row r="207" spans="15:16" x14ac:dyDescent="0.3">
      <c r="O207" t="s">
        <v>308</v>
      </c>
      <c r="P207">
        <v>2021</v>
      </c>
    </row>
    <row r="208" spans="15:16" x14ac:dyDescent="0.3">
      <c r="O208" t="s">
        <v>309</v>
      </c>
      <c r="P208">
        <v>2021</v>
      </c>
    </row>
    <row r="209" spans="15:16" x14ac:dyDescent="0.3">
      <c r="O209" t="s">
        <v>310</v>
      </c>
      <c r="P209">
        <v>2021</v>
      </c>
    </row>
    <row r="210" spans="15:16" x14ac:dyDescent="0.3">
      <c r="O210" t="s">
        <v>311</v>
      </c>
      <c r="P210">
        <v>2021</v>
      </c>
    </row>
    <row r="211" spans="15:16" x14ac:dyDescent="0.3">
      <c r="O211" t="s">
        <v>312</v>
      </c>
      <c r="P211">
        <v>2021</v>
      </c>
    </row>
    <row r="212" spans="15:16" x14ac:dyDescent="0.3">
      <c r="O212" t="s">
        <v>313</v>
      </c>
      <c r="P212">
        <v>2021</v>
      </c>
    </row>
    <row r="213" spans="15:16" x14ac:dyDescent="0.3">
      <c r="O213" t="s">
        <v>314</v>
      </c>
      <c r="P213">
        <v>2021</v>
      </c>
    </row>
    <row r="214" spans="15:16" x14ac:dyDescent="0.3">
      <c r="O214" t="s">
        <v>315</v>
      </c>
      <c r="P214">
        <v>2021</v>
      </c>
    </row>
    <row r="215" spans="15:16" x14ac:dyDescent="0.3">
      <c r="O215" t="s">
        <v>316</v>
      </c>
      <c r="P215">
        <v>2021</v>
      </c>
    </row>
    <row r="216" spans="15:16" x14ac:dyDescent="0.3">
      <c r="O216" t="s">
        <v>317</v>
      </c>
      <c r="P216">
        <v>2021</v>
      </c>
    </row>
    <row r="217" spans="15:16" x14ac:dyDescent="0.3">
      <c r="O217" t="s">
        <v>318</v>
      </c>
      <c r="P217">
        <v>2021</v>
      </c>
    </row>
    <row r="218" spans="15:16" x14ac:dyDescent="0.3">
      <c r="O218" t="s">
        <v>319</v>
      </c>
      <c r="P218">
        <v>2021</v>
      </c>
    </row>
    <row r="219" spans="15:16" x14ac:dyDescent="0.3">
      <c r="O219" t="s">
        <v>320</v>
      </c>
      <c r="P219">
        <v>2021</v>
      </c>
    </row>
    <row r="220" spans="15:16" x14ac:dyDescent="0.3">
      <c r="O220" t="s">
        <v>321</v>
      </c>
      <c r="P220">
        <v>2021</v>
      </c>
    </row>
    <row r="221" spans="15:16" x14ac:dyDescent="0.3">
      <c r="O221" t="s">
        <v>322</v>
      </c>
      <c r="P221">
        <v>2021</v>
      </c>
    </row>
    <row r="222" spans="15:16" x14ac:dyDescent="0.3">
      <c r="O222" t="s">
        <v>323</v>
      </c>
      <c r="P222">
        <v>2021</v>
      </c>
    </row>
    <row r="223" spans="15:16" x14ac:dyDescent="0.3">
      <c r="O223" t="s">
        <v>324</v>
      </c>
      <c r="P223">
        <v>2021</v>
      </c>
    </row>
    <row r="224" spans="15:16" x14ac:dyDescent="0.3">
      <c r="O224" t="s">
        <v>325</v>
      </c>
      <c r="P224">
        <v>2021</v>
      </c>
    </row>
    <row r="225" spans="15:16" x14ac:dyDescent="0.3">
      <c r="O225" t="s">
        <v>326</v>
      </c>
      <c r="P225">
        <v>2021</v>
      </c>
    </row>
    <row r="226" spans="15:16" x14ac:dyDescent="0.3">
      <c r="O226" t="s">
        <v>327</v>
      </c>
      <c r="P226">
        <v>2021</v>
      </c>
    </row>
    <row r="227" spans="15:16" x14ac:dyDescent="0.3">
      <c r="O227" t="s">
        <v>328</v>
      </c>
      <c r="P227">
        <v>2021</v>
      </c>
    </row>
    <row r="228" spans="15:16" x14ac:dyDescent="0.3">
      <c r="O228" t="s">
        <v>329</v>
      </c>
      <c r="P228">
        <v>2021</v>
      </c>
    </row>
    <row r="229" spans="15:16" x14ac:dyDescent="0.3">
      <c r="O229" t="s">
        <v>330</v>
      </c>
      <c r="P229">
        <v>2021</v>
      </c>
    </row>
    <row r="230" spans="15:16" x14ac:dyDescent="0.3">
      <c r="O230" t="s">
        <v>331</v>
      </c>
      <c r="P230">
        <v>2021</v>
      </c>
    </row>
    <row r="231" spans="15:16" x14ac:dyDescent="0.3">
      <c r="O231" t="s">
        <v>332</v>
      </c>
      <c r="P231">
        <v>2021</v>
      </c>
    </row>
    <row r="232" spans="15:16" x14ac:dyDescent="0.3">
      <c r="O232" t="s">
        <v>333</v>
      </c>
      <c r="P232">
        <v>2021</v>
      </c>
    </row>
    <row r="233" spans="15:16" x14ac:dyDescent="0.3">
      <c r="O233" t="s">
        <v>334</v>
      </c>
      <c r="P233">
        <v>2021</v>
      </c>
    </row>
    <row r="234" spans="15:16" x14ac:dyDescent="0.3">
      <c r="O234" t="s">
        <v>335</v>
      </c>
      <c r="P234">
        <v>2021</v>
      </c>
    </row>
    <row r="235" spans="15:16" x14ac:dyDescent="0.3">
      <c r="O235" t="s">
        <v>336</v>
      </c>
      <c r="P235">
        <v>2021</v>
      </c>
    </row>
    <row r="236" spans="15:16" x14ac:dyDescent="0.3">
      <c r="O236" t="s">
        <v>337</v>
      </c>
      <c r="P236">
        <v>2021</v>
      </c>
    </row>
    <row r="237" spans="15:16" x14ac:dyDescent="0.3">
      <c r="O237" t="s">
        <v>338</v>
      </c>
      <c r="P237">
        <v>2021</v>
      </c>
    </row>
    <row r="238" spans="15:16" x14ac:dyDescent="0.3">
      <c r="O238" t="s">
        <v>339</v>
      </c>
      <c r="P238">
        <v>2021</v>
      </c>
    </row>
    <row r="239" spans="15:16" x14ac:dyDescent="0.3">
      <c r="O239" t="s">
        <v>340</v>
      </c>
      <c r="P239">
        <v>2021</v>
      </c>
    </row>
    <row r="240" spans="15:16" x14ac:dyDescent="0.3">
      <c r="O240" t="s">
        <v>341</v>
      </c>
      <c r="P240">
        <v>2021</v>
      </c>
    </row>
    <row r="241" spans="15:16" x14ac:dyDescent="0.3">
      <c r="O241" t="s">
        <v>342</v>
      </c>
      <c r="P241">
        <v>2021</v>
      </c>
    </row>
    <row r="242" spans="15:16" x14ac:dyDescent="0.3">
      <c r="O242" t="s">
        <v>343</v>
      </c>
      <c r="P242">
        <v>2021</v>
      </c>
    </row>
    <row r="243" spans="15:16" x14ac:dyDescent="0.3">
      <c r="O243" t="s">
        <v>344</v>
      </c>
      <c r="P243">
        <v>2021</v>
      </c>
    </row>
    <row r="244" spans="15:16" x14ac:dyDescent="0.3">
      <c r="O244" t="s">
        <v>345</v>
      </c>
      <c r="P244">
        <v>2021</v>
      </c>
    </row>
    <row r="245" spans="15:16" x14ac:dyDescent="0.3">
      <c r="O245" t="s">
        <v>346</v>
      </c>
      <c r="P245">
        <v>2021</v>
      </c>
    </row>
    <row r="246" spans="15:16" x14ac:dyDescent="0.3">
      <c r="O246" t="s">
        <v>347</v>
      </c>
      <c r="P246">
        <v>2021</v>
      </c>
    </row>
    <row r="247" spans="15:16" x14ac:dyDescent="0.3">
      <c r="O247" t="s">
        <v>348</v>
      </c>
      <c r="P247">
        <v>2021</v>
      </c>
    </row>
    <row r="248" spans="15:16" x14ac:dyDescent="0.3">
      <c r="O248" t="s">
        <v>349</v>
      </c>
      <c r="P248">
        <v>2021</v>
      </c>
    </row>
    <row r="249" spans="15:16" x14ac:dyDescent="0.3">
      <c r="O249" t="s">
        <v>350</v>
      </c>
      <c r="P249">
        <v>2021</v>
      </c>
    </row>
    <row r="250" spans="15:16" x14ac:dyDescent="0.3">
      <c r="O250" t="s">
        <v>351</v>
      </c>
      <c r="P250">
        <v>2021</v>
      </c>
    </row>
    <row r="251" spans="15:16" x14ac:dyDescent="0.3">
      <c r="O251" t="s">
        <v>352</v>
      </c>
      <c r="P251">
        <v>2021</v>
      </c>
    </row>
    <row r="252" spans="15:16" x14ac:dyDescent="0.3">
      <c r="O252" t="s">
        <v>353</v>
      </c>
      <c r="P252">
        <v>2021</v>
      </c>
    </row>
    <row r="253" spans="15:16" x14ac:dyDescent="0.3">
      <c r="O253" t="s">
        <v>354</v>
      </c>
      <c r="P253">
        <v>2021</v>
      </c>
    </row>
    <row r="254" spans="15:16" x14ac:dyDescent="0.3">
      <c r="O254" t="s">
        <v>355</v>
      </c>
      <c r="P254">
        <v>2021</v>
      </c>
    </row>
    <row r="255" spans="15:16" x14ac:dyDescent="0.3">
      <c r="O255" t="s">
        <v>356</v>
      </c>
      <c r="P255">
        <v>2021</v>
      </c>
    </row>
    <row r="256" spans="15:16" x14ac:dyDescent="0.3">
      <c r="O256" t="s">
        <v>357</v>
      </c>
      <c r="P256">
        <v>2021</v>
      </c>
    </row>
    <row r="257" spans="15:16" x14ac:dyDescent="0.3">
      <c r="O257" t="s">
        <v>358</v>
      </c>
      <c r="P257">
        <v>2021</v>
      </c>
    </row>
    <row r="258" spans="15:16" x14ac:dyDescent="0.3">
      <c r="O258" t="s">
        <v>359</v>
      </c>
      <c r="P258">
        <v>2021</v>
      </c>
    </row>
    <row r="259" spans="15:16" x14ac:dyDescent="0.3">
      <c r="O259" t="s">
        <v>360</v>
      </c>
      <c r="P259">
        <v>2021</v>
      </c>
    </row>
    <row r="260" spans="15:16" x14ac:dyDescent="0.3">
      <c r="O260" t="s">
        <v>361</v>
      </c>
      <c r="P260">
        <v>2021</v>
      </c>
    </row>
    <row r="261" spans="15:16" x14ac:dyDescent="0.3">
      <c r="O261" t="s">
        <v>362</v>
      </c>
      <c r="P261">
        <v>2021</v>
      </c>
    </row>
    <row r="262" spans="15:16" x14ac:dyDescent="0.3">
      <c r="O262" t="s">
        <v>363</v>
      </c>
      <c r="P262">
        <v>2021</v>
      </c>
    </row>
    <row r="263" spans="15:16" x14ac:dyDescent="0.3">
      <c r="O263" t="s">
        <v>364</v>
      </c>
      <c r="P263">
        <v>2021</v>
      </c>
    </row>
    <row r="264" spans="15:16" x14ac:dyDescent="0.3">
      <c r="O264" t="s">
        <v>365</v>
      </c>
      <c r="P264">
        <v>2021</v>
      </c>
    </row>
    <row r="265" spans="15:16" x14ac:dyDescent="0.3">
      <c r="O265" t="s">
        <v>366</v>
      </c>
      <c r="P265">
        <v>2021</v>
      </c>
    </row>
    <row r="266" spans="15:16" x14ac:dyDescent="0.3">
      <c r="O266" t="s">
        <v>367</v>
      </c>
      <c r="P266">
        <v>2021</v>
      </c>
    </row>
    <row r="267" spans="15:16" x14ac:dyDescent="0.3">
      <c r="O267" t="s">
        <v>368</v>
      </c>
      <c r="P267">
        <v>2021</v>
      </c>
    </row>
    <row r="268" spans="15:16" x14ac:dyDescent="0.3">
      <c r="O268" t="s">
        <v>369</v>
      </c>
      <c r="P268">
        <v>2021</v>
      </c>
    </row>
    <row r="269" spans="15:16" x14ac:dyDescent="0.3">
      <c r="O269" t="s">
        <v>370</v>
      </c>
      <c r="P269">
        <v>2021</v>
      </c>
    </row>
    <row r="270" spans="15:16" x14ac:dyDescent="0.3">
      <c r="O270" t="s">
        <v>371</v>
      </c>
      <c r="P270">
        <v>2021</v>
      </c>
    </row>
    <row r="271" spans="15:16" x14ac:dyDescent="0.3">
      <c r="O271" t="s">
        <v>372</v>
      </c>
      <c r="P271">
        <v>2021</v>
      </c>
    </row>
    <row r="272" spans="15:16" x14ac:dyDescent="0.3">
      <c r="O272" t="s">
        <v>373</v>
      </c>
      <c r="P272">
        <v>2021</v>
      </c>
    </row>
    <row r="273" spans="15:16" x14ac:dyDescent="0.3">
      <c r="O273" t="s">
        <v>374</v>
      </c>
      <c r="P273">
        <v>2021</v>
      </c>
    </row>
    <row r="274" spans="15:16" x14ac:dyDescent="0.3">
      <c r="O274" t="s">
        <v>375</v>
      </c>
      <c r="P274">
        <v>2021</v>
      </c>
    </row>
    <row r="275" spans="15:16" x14ac:dyDescent="0.3">
      <c r="O275" t="s">
        <v>376</v>
      </c>
      <c r="P275">
        <v>2021</v>
      </c>
    </row>
    <row r="276" spans="15:16" x14ac:dyDescent="0.3">
      <c r="O276" t="s">
        <v>377</v>
      </c>
      <c r="P276">
        <v>2021</v>
      </c>
    </row>
    <row r="277" spans="15:16" x14ac:dyDescent="0.3">
      <c r="O277" t="s">
        <v>378</v>
      </c>
      <c r="P277">
        <v>2021</v>
      </c>
    </row>
    <row r="278" spans="15:16" x14ac:dyDescent="0.3">
      <c r="O278" t="s">
        <v>379</v>
      </c>
      <c r="P278">
        <v>2021</v>
      </c>
    </row>
    <row r="279" spans="15:16" x14ac:dyDescent="0.3">
      <c r="O279" t="s">
        <v>380</v>
      </c>
      <c r="P279">
        <v>2021</v>
      </c>
    </row>
    <row r="280" spans="15:16" x14ac:dyDescent="0.3">
      <c r="O280" t="s">
        <v>381</v>
      </c>
      <c r="P280">
        <v>2021</v>
      </c>
    </row>
    <row r="281" spans="15:16" x14ac:dyDescent="0.3">
      <c r="O281" t="s">
        <v>382</v>
      </c>
      <c r="P281">
        <v>2021</v>
      </c>
    </row>
    <row r="282" spans="15:16" x14ac:dyDescent="0.3">
      <c r="O282" t="s">
        <v>383</v>
      </c>
      <c r="P282">
        <v>2021</v>
      </c>
    </row>
    <row r="283" spans="15:16" x14ac:dyDescent="0.3">
      <c r="O283" t="s">
        <v>384</v>
      </c>
      <c r="P283">
        <v>2021</v>
      </c>
    </row>
    <row r="284" spans="15:16" x14ac:dyDescent="0.3">
      <c r="O284" t="s">
        <v>385</v>
      </c>
      <c r="P284">
        <v>2021</v>
      </c>
    </row>
    <row r="285" spans="15:16" x14ac:dyDescent="0.3">
      <c r="O285" t="s">
        <v>386</v>
      </c>
      <c r="P285">
        <v>2021</v>
      </c>
    </row>
    <row r="286" spans="15:16" x14ac:dyDescent="0.3">
      <c r="O286" t="s">
        <v>387</v>
      </c>
      <c r="P286">
        <v>2021</v>
      </c>
    </row>
    <row r="287" spans="15:16" x14ac:dyDescent="0.3">
      <c r="O287" t="s">
        <v>388</v>
      </c>
      <c r="P287">
        <v>2021</v>
      </c>
    </row>
    <row r="288" spans="15:16" x14ac:dyDescent="0.3">
      <c r="O288" t="s">
        <v>389</v>
      </c>
      <c r="P288">
        <v>2021</v>
      </c>
    </row>
    <row r="289" spans="15:16" x14ac:dyDescent="0.3">
      <c r="O289" t="s">
        <v>390</v>
      </c>
      <c r="P289">
        <v>2021</v>
      </c>
    </row>
    <row r="290" spans="15:16" x14ac:dyDescent="0.3">
      <c r="O290" t="s">
        <v>391</v>
      </c>
      <c r="P290">
        <v>2021</v>
      </c>
    </row>
    <row r="291" spans="15:16" x14ac:dyDescent="0.3">
      <c r="O291" t="s">
        <v>392</v>
      </c>
      <c r="P291">
        <v>2021</v>
      </c>
    </row>
    <row r="292" spans="15:16" x14ac:dyDescent="0.3">
      <c r="O292" t="s">
        <v>393</v>
      </c>
      <c r="P292">
        <v>2021</v>
      </c>
    </row>
    <row r="293" spans="15:16" x14ac:dyDescent="0.3">
      <c r="O293" t="s">
        <v>394</v>
      </c>
      <c r="P293">
        <v>2021</v>
      </c>
    </row>
    <row r="294" spans="15:16" x14ac:dyDescent="0.3">
      <c r="O294" t="s">
        <v>395</v>
      </c>
      <c r="P294">
        <v>2021</v>
      </c>
    </row>
    <row r="295" spans="15:16" x14ac:dyDescent="0.3">
      <c r="O295" t="s">
        <v>396</v>
      </c>
      <c r="P295">
        <v>2021</v>
      </c>
    </row>
    <row r="296" spans="15:16" x14ac:dyDescent="0.3">
      <c r="O296" t="s">
        <v>397</v>
      </c>
      <c r="P296">
        <v>2021</v>
      </c>
    </row>
    <row r="297" spans="15:16" x14ac:dyDescent="0.3">
      <c r="O297" t="s">
        <v>398</v>
      </c>
      <c r="P297">
        <v>2021</v>
      </c>
    </row>
    <row r="298" spans="15:16" x14ac:dyDescent="0.3">
      <c r="O298" t="s">
        <v>399</v>
      </c>
      <c r="P298">
        <v>2021</v>
      </c>
    </row>
    <row r="299" spans="15:16" x14ac:dyDescent="0.3">
      <c r="O299" t="s">
        <v>400</v>
      </c>
      <c r="P299">
        <v>2021</v>
      </c>
    </row>
    <row r="300" spans="15:16" x14ac:dyDescent="0.3">
      <c r="O300" t="s">
        <v>401</v>
      </c>
      <c r="P300">
        <v>2021</v>
      </c>
    </row>
    <row r="301" spans="15:16" x14ac:dyDescent="0.3">
      <c r="O301" t="s">
        <v>402</v>
      </c>
      <c r="P301">
        <v>2021</v>
      </c>
    </row>
    <row r="302" spans="15:16" x14ac:dyDescent="0.3">
      <c r="O302" t="s">
        <v>403</v>
      </c>
      <c r="P302">
        <v>2021</v>
      </c>
    </row>
    <row r="303" spans="15:16" x14ac:dyDescent="0.3">
      <c r="O303" t="s">
        <v>404</v>
      </c>
      <c r="P303">
        <v>2021</v>
      </c>
    </row>
    <row r="304" spans="15:16" x14ac:dyDescent="0.3">
      <c r="O304" t="s">
        <v>405</v>
      </c>
      <c r="P304">
        <v>2021</v>
      </c>
    </row>
    <row r="305" spans="15:16" x14ac:dyDescent="0.3">
      <c r="O305" t="s">
        <v>406</v>
      </c>
      <c r="P305">
        <v>2021</v>
      </c>
    </row>
    <row r="306" spans="15:16" x14ac:dyDescent="0.3">
      <c r="O306" t="s">
        <v>407</v>
      </c>
      <c r="P306">
        <v>2021</v>
      </c>
    </row>
    <row r="307" spans="15:16" x14ac:dyDescent="0.3">
      <c r="O307" t="s">
        <v>408</v>
      </c>
      <c r="P307">
        <v>2021</v>
      </c>
    </row>
    <row r="308" spans="15:16" x14ac:dyDescent="0.3">
      <c r="O308" t="s">
        <v>409</v>
      </c>
      <c r="P308">
        <v>2021</v>
      </c>
    </row>
    <row r="309" spans="15:16" x14ac:dyDescent="0.3">
      <c r="O309" t="s">
        <v>410</v>
      </c>
      <c r="P309">
        <v>2021</v>
      </c>
    </row>
    <row r="310" spans="15:16" x14ac:dyDescent="0.3">
      <c r="O310" t="s">
        <v>411</v>
      </c>
      <c r="P310">
        <v>2021</v>
      </c>
    </row>
    <row r="311" spans="15:16" x14ac:dyDescent="0.3">
      <c r="O311" t="s">
        <v>412</v>
      </c>
      <c r="P311">
        <v>2021</v>
      </c>
    </row>
    <row r="312" spans="15:16" x14ac:dyDescent="0.3">
      <c r="O312" t="s">
        <v>413</v>
      </c>
      <c r="P312">
        <v>2021</v>
      </c>
    </row>
    <row r="313" spans="15:16" x14ac:dyDescent="0.3">
      <c r="O313" t="s">
        <v>414</v>
      </c>
      <c r="P313">
        <v>2021</v>
      </c>
    </row>
    <row r="314" spans="15:16" x14ac:dyDescent="0.3">
      <c r="O314" t="s">
        <v>415</v>
      </c>
      <c r="P314">
        <v>2021</v>
      </c>
    </row>
    <row r="315" spans="15:16" x14ac:dyDescent="0.3">
      <c r="O315" t="s">
        <v>416</v>
      </c>
      <c r="P315">
        <v>2021</v>
      </c>
    </row>
    <row r="316" spans="15:16" x14ac:dyDescent="0.3">
      <c r="O316" t="s">
        <v>417</v>
      </c>
      <c r="P316">
        <v>2021</v>
      </c>
    </row>
    <row r="317" spans="15:16" x14ac:dyDescent="0.3">
      <c r="O317" t="s">
        <v>418</v>
      </c>
      <c r="P317">
        <v>2021</v>
      </c>
    </row>
    <row r="318" spans="15:16" x14ac:dyDescent="0.3">
      <c r="O318" t="s">
        <v>419</v>
      </c>
      <c r="P318">
        <v>2021</v>
      </c>
    </row>
    <row r="319" spans="15:16" x14ac:dyDescent="0.3">
      <c r="O319" t="s">
        <v>420</v>
      </c>
      <c r="P319">
        <v>2021</v>
      </c>
    </row>
    <row r="320" spans="15:16" x14ac:dyDescent="0.3">
      <c r="O320" t="s">
        <v>421</v>
      </c>
      <c r="P320">
        <v>2021</v>
      </c>
    </row>
    <row r="321" spans="15:16" x14ac:dyDescent="0.3">
      <c r="O321" t="s">
        <v>422</v>
      </c>
      <c r="P321">
        <v>2021</v>
      </c>
    </row>
    <row r="322" spans="15:16" x14ac:dyDescent="0.3">
      <c r="O322" t="s">
        <v>423</v>
      </c>
      <c r="P322">
        <v>2021</v>
      </c>
    </row>
    <row r="323" spans="15:16" x14ac:dyDescent="0.3">
      <c r="O323" t="s">
        <v>424</v>
      </c>
      <c r="P323">
        <v>2021</v>
      </c>
    </row>
    <row r="324" spans="15:16" x14ac:dyDescent="0.3">
      <c r="O324" t="s">
        <v>425</v>
      </c>
      <c r="P324">
        <v>2021</v>
      </c>
    </row>
    <row r="325" spans="15:16" x14ac:dyDescent="0.3">
      <c r="O325" t="s">
        <v>426</v>
      </c>
      <c r="P325">
        <v>2021</v>
      </c>
    </row>
    <row r="326" spans="15:16" x14ac:dyDescent="0.3">
      <c r="O326" t="s">
        <v>427</v>
      </c>
      <c r="P326">
        <v>2021</v>
      </c>
    </row>
    <row r="327" spans="15:16" x14ac:dyDescent="0.3">
      <c r="O327" t="s">
        <v>428</v>
      </c>
      <c r="P327">
        <v>2021</v>
      </c>
    </row>
    <row r="328" spans="15:16" x14ac:dyDescent="0.3">
      <c r="O328" t="s">
        <v>429</v>
      </c>
      <c r="P328">
        <v>2021</v>
      </c>
    </row>
    <row r="329" spans="15:16" x14ac:dyDescent="0.3">
      <c r="O329" t="s">
        <v>430</v>
      </c>
      <c r="P329">
        <v>2021</v>
      </c>
    </row>
    <row r="330" spans="15:16" x14ac:dyDescent="0.3">
      <c r="O330" t="s">
        <v>431</v>
      </c>
      <c r="P330">
        <v>2021</v>
      </c>
    </row>
    <row r="331" spans="15:16" x14ac:dyDescent="0.3">
      <c r="O331" t="s">
        <v>432</v>
      </c>
      <c r="P331">
        <v>2021</v>
      </c>
    </row>
    <row r="332" spans="15:16" x14ac:dyDescent="0.3">
      <c r="O332" t="s">
        <v>433</v>
      </c>
      <c r="P332">
        <v>2021</v>
      </c>
    </row>
    <row r="333" spans="15:16" x14ac:dyDescent="0.3">
      <c r="O333" t="s">
        <v>434</v>
      </c>
      <c r="P333">
        <v>2021</v>
      </c>
    </row>
    <row r="334" spans="15:16" x14ac:dyDescent="0.3">
      <c r="O334" t="s">
        <v>435</v>
      </c>
      <c r="P334">
        <v>2021</v>
      </c>
    </row>
    <row r="335" spans="15:16" x14ac:dyDescent="0.3">
      <c r="O335" t="s">
        <v>436</v>
      </c>
      <c r="P335">
        <v>2021</v>
      </c>
    </row>
    <row r="336" spans="15:16" x14ac:dyDescent="0.3">
      <c r="O336" t="s">
        <v>437</v>
      </c>
      <c r="P336">
        <v>2021</v>
      </c>
    </row>
    <row r="337" spans="15:16" x14ac:dyDescent="0.3">
      <c r="O337" t="s">
        <v>438</v>
      </c>
      <c r="P337">
        <v>2021</v>
      </c>
    </row>
    <row r="338" spans="15:16" x14ac:dyDescent="0.3">
      <c r="O338" t="s">
        <v>439</v>
      </c>
      <c r="P338">
        <v>2021</v>
      </c>
    </row>
    <row r="339" spans="15:16" x14ac:dyDescent="0.3">
      <c r="O339" t="s">
        <v>440</v>
      </c>
      <c r="P339">
        <v>2021</v>
      </c>
    </row>
    <row r="340" spans="15:16" x14ac:dyDescent="0.3">
      <c r="O340" t="s">
        <v>441</v>
      </c>
      <c r="P340">
        <v>2021</v>
      </c>
    </row>
    <row r="341" spans="15:16" x14ac:dyDescent="0.3">
      <c r="O341" t="s">
        <v>442</v>
      </c>
      <c r="P341">
        <v>2021</v>
      </c>
    </row>
    <row r="342" spans="15:16" x14ac:dyDescent="0.3">
      <c r="O342" t="s">
        <v>443</v>
      </c>
      <c r="P342">
        <v>2021</v>
      </c>
    </row>
    <row r="343" spans="15:16" x14ac:dyDescent="0.3">
      <c r="O343" t="s">
        <v>444</v>
      </c>
      <c r="P343">
        <v>2021</v>
      </c>
    </row>
    <row r="344" spans="15:16" x14ac:dyDescent="0.3">
      <c r="O344" t="s">
        <v>445</v>
      </c>
      <c r="P344">
        <v>2021</v>
      </c>
    </row>
    <row r="345" spans="15:16" x14ac:dyDescent="0.3">
      <c r="O345" t="s">
        <v>446</v>
      </c>
      <c r="P345">
        <v>2021</v>
      </c>
    </row>
    <row r="346" spans="15:16" x14ac:dyDescent="0.3">
      <c r="O346" t="s">
        <v>447</v>
      </c>
      <c r="P346">
        <v>2021</v>
      </c>
    </row>
    <row r="347" spans="15:16" x14ac:dyDescent="0.3">
      <c r="O347" t="s">
        <v>448</v>
      </c>
      <c r="P347">
        <v>2021</v>
      </c>
    </row>
    <row r="348" spans="15:16" x14ac:dyDescent="0.3">
      <c r="O348" t="s">
        <v>449</v>
      </c>
      <c r="P348">
        <v>2021</v>
      </c>
    </row>
    <row r="349" spans="15:16" x14ac:dyDescent="0.3">
      <c r="O349" t="s">
        <v>450</v>
      </c>
      <c r="P349">
        <v>2021</v>
      </c>
    </row>
    <row r="350" spans="15:16" x14ac:dyDescent="0.3">
      <c r="O350" t="s">
        <v>451</v>
      </c>
      <c r="P350">
        <v>2021</v>
      </c>
    </row>
    <row r="351" spans="15:16" x14ac:dyDescent="0.3">
      <c r="O351" t="s">
        <v>452</v>
      </c>
      <c r="P351">
        <v>2021</v>
      </c>
    </row>
    <row r="352" spans="15:16" x14ac:dyDescent="0.3">
      <c r="O352" t="s">
        <v>453</v>
      </c>
      <c r="P352">
        <v>2021</v>
      </c>
    </row>
    <row r="353" spans="15:16" x14ac:dyDescent="0.3">
      <c r="O353" t="s">
        <v>454</v>
      </c>
      <c r="P353">
        <v>2021</v>
      </c>
    </row>
    <row r="354" spans="15:16" x14ac:dyDescent="0.3">
      <c r="O354" t="s">
        <v>455</v>
      </c>
      <c r="P354">
        <v>2021</v>
      </c>
    </row>
    <row r="355" spans="15:16" x14ac:dyDescent="0.3">
      <c r="O355" t="s">
        <v>456</v>
      </c>
      <c r="P355">
        <v>2021</v>
      </c>
    </row>
    <row r="356" spans="15:16" x14ac:dyDescent="0.3">
      <c r="O356" t="s">
        <v>457</v>
      </c>
      <c r="P356">
        <v>2021</v>
      </c>
    </row>
    <row r="357" spans="15:16" x14ac:dyDescent="0.3">
      <c r="O357" t="s">
        <v>458</v>
      </c>
      <c r="P357">
        <v>2021</v>
      </c>
    </row>
    <row r="358" spans="15:16" x14ac:dyDescent="0.3">
      <c r="O358" t="s">
        <v>459</v>
      </c>
      <c r="P358">
        <v>2021</v>
      </c>
    </row>
    <row r="359" spans="15:16" x14ac:dyDescent="0.3">
      <c r="O359" t="s">
        <v>460</v>
      </c>
      <c r="P359">
        <v>2021</v>
      </c>
    </row>
    <row r="360" spans="15:16" x14ac:dyDescent="0.3">
      <c r="O360" t="s">
        <v>461</v>
      </c>
      <c r="P360">
        <v>2021</v>
      </c>
    </row>
    <row r="361" spans="15:16" x14ac:dyDescent="0.3">
      <c r="O361" t="s">
        <v>462</v>
      </c>
      <c r="P361">
        <v>2021</v>
      </c>
    </row>
    <row r="362" spans="15:16" x14ac:dyDescent="0.3">
      <c r="O362" t="s">
        <v>463</v>
      </c>
      <c r="P362">
        <v>2021</v>
      </c>
    </row>
    <row r="363" spans="15:16" x14ac:dyDescent="0.3">
      <c r="O363" t="s">
        <v>464</v>
      </c>
      <c r="P363">
        <v>2021</v>
      </c>
    </row>
    <row r="364" spans="15:16" x14ac:dyDescent="0.3">
      <c r="O364" t="s">
        <v>465</v>
      </c>
      <c r="P364">
        <v>2021</v>
      </c>
    </row>
    <row r="365" spans="15:16" x14ac:dyDescent="0.3">
      <c r="O365" t="s">
        <v>466</v>
      </c>
      <c r="P365">
        <v>2021</v>
      </c>
    </row>
    <row r="366" spans="15:16" x14ac:dyDescent="0.3">
      <c r="O366" t="s">
        <v>467</v>
      </c>
      <c r="P366">
        <v>2021</v>
      </c>
    </row>
    <row r="367" spans="15:16" x14ac:dyDescent="0.3">
      <c r="O367" t="s">
        <v>468</v>
      </c>
      <c r="P367">
        <v>2021</v>
      </c>
    </row>
    <row r="368" spans="15:16" x14ac:dyDescent="0.3">
      <c r="O368" t="s">
        <v>469</v>
      </c>
      <c r="P368">
        <v>2021</v>
      </c>
    </row>
    <row r="369" spans="15:16" x14ac:dyDescent="0.3">
      <c r="O369" t="s">
        <v>470</v>
      </c>
      <c r="P369">
        <v>2021</v>
      </c>
    </row>
    <row r="370" spans="15:16" x14ac:dyDescent="0.3">
      <c r="O370" t="s">
        <v>471</v>
      </c>
      <c r="P370">
        <v>2021</v>
      </c>
    </row>
    <row r="371" spans="15:16" x14ac:dyDescent="0.3">
      <c r="O371" t="s">
        <v>472</v>
      </c>
      <c r="P371">
        <v>2021</v>
      </c>
    </row>
    <row r="372" spans="15:16" x14ac:dyDescent="0.3">
      <c r="O372" t="s">
        <v>473</v>
      </c>
      <c r="P372">
        <v>2021</v>
      </c>
    </row>
    <row r="373" spans="15:16" x14ac:dyDescent="0.3">
      <c r="O373" t="s">
        <v>474</v>
      </c>
      <c r="P373">
        <v>2021</v>
      </c>
    </row>
    <row r="374" spans="15:16" x14ac:dyDescent="0.3">
      <c r="O374" t="s">
        <v>475</v>
      </c>
      <c r="P374">
        <v>2021</v>
      </c>
    </row>
    <row r="375" spans="15:16" x14ac:dyDescent="0.3">
      <c r="O375" t="s">
        <v>476</v>
      </c>
      <c r="P375">
        <v>2021</v>
      </c>
    </row>
    <row r="376" spans="15:16" x14ac:dyDescent="0.3">
      <c r="O376" t="s">
        <v>477</v>
      </c>
      <c r="P376">
        <v>2021</v>
      </c>
    </row>
    <row r="377" spans="15:16" x14ac:dyDescent="0.3">
      <c r="O377" t="s">
        <v>478</v>
      </c>
      <c r="P377">
        <v>2021</v>
      </c>
    </row>
    <row r="378" spans="15:16" x14ac:dyDescent="0.3">
      <c r="O378" t="s">
        <v>479</v>
      </c>
      <c r="P378">
        <v>2021</v>
      </c>
    </row>
    <row r="379" spans="15:16" x14ac:dyDescent="0.3">
      <c r="O379" t="s">
        <v>480</v>
      </c>
      <c r="P379">
        <v>2021</v>
      </c>
    </row>
    <row r="380" spans="15:16" x14ac:dyDescent="0.3">
      <c r="O380" t="s">
        <v>481</v>
      </c>
      <c r="P380">
        <v>2021</v>
      </c>
    </row>
    <row r="381" spans="15:16" x14ac:dyDescent="0.3">
      <c r="O381" t="s">
        <v>482</v>
      </c>
      <c r="P381">
        <v>2021</v>
      </c>
    </row>
    <row r="382" spans="15:16" x14ac:dyDescent="0.3">
      <c r="O382" t="s">
        <v>483</v>
      </c>
      <c r="P382">
        <v>2021</v>
      </c>
    </row>
    <row r="383" spans="15:16" x14ac:dyDescent="0.3">
      <c r="O383" t="s">
        <v>484</v>
      </c>
      <c r="P383">
        <v>2021</v>
      </c>
    </row>
    <row r="384" spans="15:16" x14ac:dyDescent="0.3">
      <c r="O384" t="s">
        <v>485</v>
      </c>
      <c r="P384">
        <v>2021</v>
      </c>
    </row>
    <row r="385" spans="15:16" x14ac:dyDescent="0.3">
      <c r="O385" t="s">
        <v>486</v>
      </c>
      <c r="P385">
        <v>2021</v>
      </c>
    </row>
    <row r="386" spans="15:16" x14ac:dyDescent="0.3">
      <c r="O386" t="s">
        <v>487</v>
      </c>
      <c r="P386">
        <v>2021</v>
      </c>
    </row>
    <row r="387" spans="15:16" x14ac:dyDescent="0.3">
      <c r="O387" t="s">
        <v>488</v>
      </c>
      <c r="P387">
        <v>2021</v>
      </c>
    </row>
    <row r="388" spans="15:16" x14ac:dyDescent="0.3">
      <c r="O388" t="s">
        <v>489</v>
      </c>
      <c r="P388">
        <v>2021</v>
      </c>
    </row>
    <row r="389" spans="15:16" x14ac:dyDescent="0.3">
      <c r="O389" t="s">
        <v>490</v>
      </c>
      <c r="P389">
        <v>2021</v>
      </c>
    </row>
    <row r="390" spans="15:16" x14ac:dyDescent="0.3">
      <c r="O390" t="s">
        <v>491</v>
      </c>
      <c r="P390">
        <v>2021</v>
      </c>
    </row>
    <row r="391" spans="15:16" x14ac:dyDescent="0.3">
      <c r="O391" t="s">
        <v>492</v>
      </c>
      <c r="P391">
        <v>2021</v>
      </c>
    </row>
    <row r="392" spans="15:16" x14ac:dyDescent="0.3">
      <c r="O392" t="s">
        <v>493</v>
      </c>
      <c r="P392">
        <v>2021</v>
      </c>
    </row>
    <row r="393" spans="15:16" x14ac:dyDescent="0.3">
      <c r="O393" t="s">
        <v>494</v>
      </c>
      <c r="P393">
        <v>2021</v>
      </c>
    </row>
    <row r="394" spans="15:16" x14ac:dyDescent="0.3">
      <c r="O394" t="s">
        <v>495</v>
      </c>
      <c r="P394">
        <v>2021</v>
      </c>
    </row>
    <row r="395" spans="15:16" x14ac:dyDescent="0.3">
      <c r="O395" t="s">
        <v>496</v>
      </c>
      <c r="P395">
        <v>2021</v>
      </c>
    </row>
    <row r="396" spans="15:16" x14ac:dyDescent="0.3">
      <c r="O396" t="s">
        <v>497</v>
      </c>
      <c r="P396">
        <v>2021</v>
      </c>
    </row>
    <row r="397" spans="15:16" x14ac:dyDescent="0.3">
      <c r="O397" t="s">
        <v>498</v>
      </c>
      <c r="P397">
        <v>2021</v>
      </c>
    </row>
    <row r="398" spans="15:16" x14ac:dyDescent="0.3">
      <c r="O398" t="s">
        <v>499</v>
      </c>
      <c r="P398">
        <v>2021</v>
      </c>
    </row>
    <row r="399" spans="15:16" x14ac:dyDescent="0.3">
      <c r="O399" t="s">
        <v>500</v>
      </c>
      <c r="P399">
        <v>2021</v>
      </c>
    </row>
    <row r="400" spans="15:16" x14ac:dyDescent="0.3">
      <c r="O400" t="s">
        <v>501</v>
      </c>
      <c r="P400">
        <v>2021</v>
      </c>
    </row>
    <row r="401" spans="15:16" x14ac:dyDescent="0.3">
      <c r="O401" t="s">
        <v>502</v>
      </c>
      <c r="P401">
        <v>2021</v>
      </c>
    </row>
    <row r="402" spans="15:16" x14ac:dyDescent="0.3">
      <c r="O402" t="s">
        <v>503</v>
      </c>
      <c r="P402">
        <v>2021</v>
      </c>
    </row>
    <row r="403" spans="15:16" x14ac:dyDescent="0.3">
      <c r="O403" t="s">
        <v>504</v>
      </c>
      <c r="P403">
        <v>2021</v>
      </c>
    </row>
    <row r="404" spans="15:16" x14ac:dyDescent="0.3">
      <c r="O404" t="s">
        <v>505</v>
      </c>
      <c r="P404">
        <v>2021</v>
      </c>
    </row>
    <row r="405" spans="15:16" x14ac:dyDescent="0.3">
      <c r="O405" t="s">
        <v>506</v>
      </c>
      <c r="P405">
        <v>2021</v>
      </c>
    </row>
    <row r="406" spans="15:16" x14ac:dyDescent="0.3">
      <c r="O406" t="s">
        <v>507</v>
      </c>
      <c r="P406">
        <v>2021</v>
      </c>
    </row>
    <row r="407" spans="15:16" x14ac:dyDescent="0.3">
      <c r="O407" t="s">
        <v>508</v>
      </c>
      <c r="P407">
        <v>2021</v>
      </c>
    </row>
    <row r="408" spans="15:16" x14ac:dyDescent="0.3">
      <c r="O408" t="s">
        <v>509</v>
      </c>
      <c r="P408">
        <v>2021</v>
      </c>
    </row>
    <row r="409" spans="15:16" x14ac:dyDescent="0.3">
      <c r="O409" t="s">
        <v>510</v>
      </c>
      <c r="P409">
        <v>2021</v>
      </c>
    </row>
    <row r="410" spans="15:16" x14ac:dyDescent="0.3">
      <c r="O410" t="s">
        <v>511</v>
      </c>
      <c r="P410">
        <v>2021</v>
      </c>
    </row>
    <row r="411" spans="15:16" x14ac:dyDescent="0.3">
      <c r="O411" t="s">
        <v>512</v>
      </c>
      <c r="P411">
        <v>2021</v>
      </c>
    </row>
    <row r="412" spans="15:16" x14ac:dyDescent="0.3">
      <c r="O412" t="s">
        <v>513</v>
      </c>
      <c r="P412">
        <v>2021</v>
      </c>
    </row>
    <row r="413" spans="15:16" x14ac:dyDescent="0.3">
      <c r="O413" t="s">
        <v>514</v>
      </c>
      <c r="P413">
        <v>2021</v>
      </c>
    </row>
    <row r="414" spans="15:16" x14ac:dyDescent="0.3">
      <c r="O414" t="s">
        <v>515</v>
      </c>
      <c r="P414">
        <v>2021</v>
      </c>
    </row>
    <row r="415" spans="15:16" x14ac:dyDescent="0.3">
      <c r="O415" t="s">
        <v>516</v>
      </c>
      <c r="P415">
        <v>2021</v>
      </c>
    </row>
    <row r="416" spans="15:16" x14ac:dyDescent="0.3">
      <c r="O416" t="s">
        <v>517</v>
      </c>
      <c r="P416">
        <v>2021</v>
      </c>
    </row>
    <row r="417" spans="15:16" x14ac:dyDescent="0.3">
      <c r="O417" t="s">
        <v>518</v>
      </c>
      <c r="P417">
        <v>2021</v>
      </c>
    </row>
    <row r="418" spans="15:16" x14ac:dyDescent="0.3">
      <c r="O418" t="s">
        <v>519</v>
      </c>
      <c r="P418">
        <v>2021</v>
      </c>
    </row>
    <row r="419" spans="15:16" x14ac:dyDescent="0.3">
      <c r="O419" t="s">
        <v>520</v>
      </c>
      <c r="P419">
        <v>2021</v>
      </c>
    </row>
    <row r="420" spans="15:16" x14ac:dyDescent="0.3">
      <c r="O420" t="s">
        <v>521</v>
      </c>
      <c r="P420">
        <v>2021</v>
      </c>
    </row>
    <row r="421" spans="15:16" x14ac:dyDescent="0.3">
      <c r="O421" t="s">
        <v>522</v>
      </c>
      <c r="P421">
        <v>2021</v>
      </c>
    </row>
    <row r="422" spans="15:16" x14ac:dyDescent="0.3">
      <c r="O422" t="s">
        <v>523</v>
      </c>
      <c r="P422">
        <v>2021</v>
      </c>
    </row>
    <row r="423" spans="15:16" x14ac:dyDescent="0.3">
      <c r="O423" t="s">
        <v>524</v>
      </c>
      <c r="P423">
        <v>2021</v>
      </c>
    </row>
    <row r="424" spans="15:16" x14ac:dyDescent="0.3">
      <c r="O424" t="s">
        <v>525</v>
      </c>
      <c r="P424">
        <v>2021</v>
      </c>
    </row>
    <row r="425" spans="15:16" x14ac:dyDescent="0.3">
      <c r="O425" t="s">
        <v>526</v>
      </c>
      <c r="P425">
        <v>2021</v>
      </c>
    </row>
    <row r="426" spans="15:16" x14ac:dyDescent="0.3">
      <c r="O426" t="s">
        <v>527</v>
      </c>
      <c r="P426">
        <v>2021</v>
      </c>
    </row>
    <row r="427" spans="15:16" x14ac:dyDescent="0.3">
      <c r="O427" t="s">
        <v>528</v>
      </c>
      <c r="P427">
        <v>2021</v>
      </c>
    </row>
    <row r="428" spans="15:16" x14ac:dyDescent="0.3">
      <c r="O428" t="s">
        <v>529</v>
      </c>
      <c r="P428">
        <v>2021</v>
      </c>
    </row>
    <row r="429" spans="15:16" x14ac:dyDescent="0.3">
      <c r="O429" t="s">
        <v>530</v>
      </c>
      <c r="P429">
        <v>2021</v>
      </c>
    </row>
    <row r="430" spans="15:16" x14ac:dyDescent="0.3">
      <c r="O430" t="s">
        <v>531</v>
      </c>
      <c r="P430">
        <v>2021</v>
      </c>
    </row>
    <row r="431" spans="15:16" x14ac:dyDescent="0.3">
      <c r="O431" t="s">
        <v>532</v>
      </c>
      <c r="P431">
        <v>2021</v>
      </c>
    </row>
    <row r="432" spans="15:16" x14ac:dyDescent="0.3">
      <c r="O432" t="s">
        <v>533</v>
      </c>
      <c r="P432">
        <v>2021</v>
      </c>
    </row>
    <row r="433" spans="15:16" x14ac:dyDescent="0.3">
      <c r="O433" t="s">
        <v>534</v>
      </c>
      <c r="P433">
        <v>2021</v>
      </c>
    </row>
    <row r="434" spans="15:16" x14ac:dyDescent="0.3">
      <c r="O434" t="s">
        <v>535</v>
      </c>
      <c r="P434">
        <v>2021</v>
      </c>
    </row>
    <row r="435" spans="15:16" x14ac:dyDescent="0.3">
      <c r="O435" t="s">
        <v>536</v>
      </c>
      <c r="P435">
        <v>2021</v>
      </c>
    </row>
    <row r="436" spans="15:16" x14ac:dyDescent="0.3">
      <c r="O436" t="s">
        <v>537</v>
      </c>
      <c r="P436">
        <v>2021</v>
      </c>
    </row>
    <row r="437" spans="15:16" x14ac:dyDescent="0.3">
      <c r="O437" t="s">
        <v>538</v>
      </c>
      <c r="P437">
        <v>2021</v>
      </c>
    </row>
    <row r="438" spans="15:16" x14ac:dyDescent="0.3">
      <c r="O438" t="s">
        <v>539</v>
      </c>
      <c r="P438">
        <v>2021</v>
      </c>
    </row>
    <row r="439" spans="15:16" x14ac:dyDescent="0.3">
      <c r="O439" t="s">
        <v>540</v>
      </c>
      <c r="P439">
        <v>2021</v>
      </c>
    </row>
    <row r="440" spans="15:16" x14ac:dyDescent="0.3">
      <c r="O440" t="s">
        <v>541</v>
      </c>
      <c r="P440">
        <v>2021</v>
      </c>
    </row>
    <row r="441" spans="15:16" x14ac:dyDescent="0.3">
      <c r="O441" t="s">
        <v>542</v>
      </c>
      <c r="P441">
        <v>2021</v>
      </c>
    </row>
    <row r="442" spans="15:16" x14ac:dyDescent="0.3">
      <c r="O442" t="s">
        <v>543</v>
      </c>
      <c r="P442">
        <v>2021</v>
      </c>
    </row>
    <row r="443" spans="15:16" x14ac:dyDescent="0.3">
      <c r="O443" t="s">
        <v>544</v>
      </c>
      <c r="P443">
        <v>2021</v>
      </c>
    </row>
    <row r="444" spans="15:16" x14ac:dyDescent="0.3">
      <c r="O444" t="s">
        <v>545</v>
      </c>
      <c r="P444">
        <v>2021</v>
      </c>
    </row>
    <row r="445" spans="15:16" x14ac:dyDescent="0.3">
      <c r="O445" t="s">
        <v>546</v>
      </c>
      <c r="P445">
        <v>2021</v>
      </c>
    </row>
    <row r="446" spans="15:16" x14ac:dyDescent="0.3">
      <c r="O446" t="s">
        <v>547</v>
      </c>
      <c r="P446">
        <v>2021</v>
      </c>
    </row>
    <row r="447" spans="15:16" x14ac:dyDescent="0.3">
      <c r="O447" t="s">
        <v>548</v>
      </c>
      <c r="P447">
        <v>2021</v>
      </c>
    </row>
    <row r="448" spans="15:16" x14ac:dyDescent="0.3">
      <c r="O448" t="s">
        <v>549</v>
      </c>
      <c r="P448">
        <v>2021</v>
      </c>
    </row>
    <row r="449" spans="15:16" x14ac:dyDescent="0.3">
      <c r="O449" t="s">
        <v>550</v>
      </c>
      <c r="P449">
        <v>2021</v>
      </c>
    </row>
    <row r="450" spans="15:16" x14ac:dyDescent="0.3">
      <c r="O450" t="s">
        <v>551</v>
      </c>
      <c r="P450">
        <v>2021</v>
      </c>
    </row>
    <row r="451" spans="15:16" x14ac:dyDescent="0.3">
      <c r="O451" t="s">
        <v>552</v>
      </c>
      <c r="P451">
        <v>2021</v>
      </c>
    </row>
    <row r="452" spans="15:16" x14ac:dyDescent="0.3">
      <c r="O452" t="s">
        <v>553</v>
      </c>
      <c r="P452">
        <v>2021</v>
      </c>
    </row>
    <row r="453" spans="15:16" x14ac:dyDescent="0.3">
      <c r="O453" t="s">
        <v>554</v>
      </c>
      <c r="P453">
        <v>2021</v>
      </c>
    </row>
    <row r="454" spans="15:16" x14ac:dyDescent="0.3">
      <c r="O454" t="s">
        <v>555</v>
      </c>
      <c r="P454">
        <v>2021</v>
      </c>
    </row>
    <row r="455" spans="15:16" x14ac:dyDescent="0.3">
      <c r="O455" t="s">
        <v>556</v>
      </c>
      <c r="P455">
        <v>2021</v>
      </c>
    </row>
    <row r="456" spans="15:16" x14ac:dyDescent="0.3">
      <c r="O456" t="s">
        <v>557</v>
      </c>
      <c r="P456">
        <v>2021</v>
      </c>
    </row>
    <row r="457" spans="15:16" x14ac:dyDescent="0.3">
      <c r="O457" t="s">
        <v>558</v>
      </c>
      <c r="P457">
        <v>2021</v>
      </c>
    </row>
    <row r="458" spans="15:16" x14ac:dyDescent="0.3">
      <c r="O458" t="s">
        <v>559</v>
      </c>
      <c r="P458">
        <v>2021</v>
      </c>
    </row>
    <row r="459" spans="15:16" x14ac:dyDescent="0.3">
      <c r="O459" t="s">
        <v>560</v>
      </c>
      <c r="P459">
        <v>2021</v>
      </c>
    </row>
    <row r="460" spans="15:16" x14ac:dyDescent="0.3">
      <c r="O460" t="s">
        <v>561</v>
      </c>
      <c r="P460">
        <v>2021</v>
      </c>
    </row>
    <row r="461" spans="15:16" x14ac:dyDescent="0.3">
      <c r="O461" t="s">
        <v>562</v>
      </c>
      <c r="P461">
        <v>2021</v>
      </c>
    </row>
    <row r="462" spans="15:16" x14ac:dyDescent="0.3">
      <c r="O462" t="s">
        <v>563</v>
      </c>
      <c r="P462">
        <v>2021</v>
      </c>
    </row>
    <row r="463" spans="15:16" x14ac:dyDescent="0.3">
      <c r="O463" t="s">
        <v>564</v>
      </c>
      <c r="P463">
        <v>2021</v>
      </c>
    </row>
    <row r="464" spans="15:16" x14ac:dyDescent="0.3">
      <c r="O464" t="s">
        <v>565</v>
      </c>
      <c r="P464">
        <v>2021</v>
      </c>
    </row>
    <row r="465" spans="15:16" x14ac:dyDescent="0.3">
      <c r="O465" t="s">
        <v>566</v>
      </c>
      <c r="P465">
        <v>2021</v>
      </c>
    </row>
    <row r="466" spans="15:16" x14ac:dyDescent="0.3">
      <c r="O466" t="s">
        <v>567</v>
      </c>
      <c r="P466">
        <v>2021</v>
      </c>
    </row>
    <row r="467" spans="15:16" x14ac:dyDescent="0.3">
      <c r="O467" t="s">
        <v>568</v>
      </c>
      <c r="P467">
        <v>2021</v>
      </c>
    </row>
    <row r="468" spans="15:16" x14ac:dyDescent="0.3">
      <c r="O468" t="s">
        <v>569</v>
      </c>
      <c r="P468">
        <v>2021</v>
      </c>
    </row>
    <row r="469" spans="15:16" x14ac:dyDescent="0.3">
      <c r="O469" t="s">
        <v>570</v>
      </c>
      <c r="P469">
        <v>2021</v>
      </c>
    </row>
    <row r="470" spans="15:16" x14ac:dyDescent="0.3">
      <c r="O470" t="s">
        <v>571</v>
      </c>
      <c r="P470">
        <v>2021</v>
      </c>
    </row>
    <row r="471" spans="15:16" x14ac:dyDescent="0.3">
      <c r="O471" t="s">
        <v>572</v>
      </c>
      <c r="P471">
        <v>2021</v>
      </c>
    </row>
    <row r="472" spans="15:16" x14ac:dyDescent="0.3">
      <c r="O472" t="s">
        <v>573</v>
      </c>
      <c r="P472">
        <v>2021</v>
      </c>
    </row>
    <row r="473" spans="15:16" x14ac:dyDescent="0.3">
      <c r="O473" t="s">
        <v>574</v>
      </c>
      <c r="P473">
        <v>2021</v>
      </c>
    </row>
    <row r="474" spans="15:16" x14ac:dyDescent="0.3">
      <c r="O474" t="s">
        <v>575</v>
      </c>
      <c r="P474">
        <v>2021</v>
      </c>
    </row>
    <row r="475" spans="15:16" x14ac:dyDescent="0.3">
      <c r="O475" t="s">
        <v>576</v>
      </c>
      <c r="P475">
        <v>2021</v>
      </c>
    </row>
    <row r="476" spans="15:16" x14ac:dyDescent="0.3">
      <c r="O476" t="s">
        <v>577</v>
      </c>
      <c r="P476">
        <v>2021</v>
      </c>
    </row>
    <row r="477" spans="15:16" x14ac:dyDescent="0.3">
      <c r="O477" t="s">
        <v>578</v>
      </c>
      <c r="P477">
        <v>2021</v>
      </c>
    </row>
    <row r="478" spans="15:16" x14ac:dyDescent="0.3">
      <c r="O478" t="s">
        <v>579</v>
      </c>
      <c r="P478">
        <v>2021</v>
      </c>
    </row>
    <row r="479" spans="15:16" x14ac:dyDescent="0.3">
      <c r="O479" t="s">
        <v>580</v>
      </c>
      <c r="P479">
        <v>2021</v>
      </c>
    </row>
    <row r="480" spans="15:16" x14ac:dyDescent="0.3">
      <c r="O480" t="s">
        <v>581</v>
      </c>
      <c r="P480">
        <v>2021</v>
      </c>
    </row>
    <row r="481" spans="15:16" x14ac:dyDescent="0.3">
      <c r="O481" t="s">
        <v>582</v>
      </c>
      <c r="P481">
        <v>2021</v>
      </c>
    </row>
    <row r="482" spans="15:16" x14ac:dyDescent="0.3">
      <c r="O482" t="s">
        <v>583</v>
      </c>
      <c r="P482">
        <v>2021</v>
      </c>
    </row>
    <row r="483" spans="15:16" x14ac:dyDescent="0.3">
      <c r="O483" t="s">
        <v>584</v>
      </c>
      <c r="P483">
        <v>2021</v>
      </c>
    </row>
    <row r="484" spans="15:16" x14ac:dyDescent="0.3">
      <c r="O484" t="s">
        <v>585</v>
      </c>
      <c r="P484">
        <v>2021</v>
      </c>
    </row>
    <row r="485" spans="15:16" x14ac:dyDescent="0.3">
      <c r="O485" t="s">
        <v>586</v>
      </c>
      <c r="P485">
        <v>2021</v>
      </c>
    </row>
    <row r="486" spans="15:16" x14ac:dyDescent="0.3">
      <c r="O486" t="s">
        <v>587</v>
      </c>
      <c r="P486">
        <v>2021</v>
      </c>
    </row>
    <row r="487" spans="15:16" x14ac:dyDescent="0.3">
      <c r="O487" t="s">
        <v>588</v>
      </c>
      <c r="P487">
        <v>2021</v>
      </c>
    </row>
    <row r="488" spans="15:16" x14ac:dyDescent="0.3">
      <c r="O488" t="s">
        <v>589</v>
      </c>
      <c r="P488">
        <v>2021</v>
      </c>
    </row>
    <row r="489" spans="15:16" x14ac:dyDescent="0.3">
      <c r="O489" t="s">
        <v>590</v>
      </c>
      <c r="P489">
        <v>2021</v>
      </c>
    </row>
    <row r="490" spans="15:16" x14ac:dyDescent="0.3">
      <c r="O490" t="s">
        <v>591</v>
      </c>
      <c r="P490">
        <v>2021</v>
      </c>
    </row>
    <row r="491" spans="15:16" x14ac:dyDescent="0.3">
      <c r="O491" t="s">
        <v>592</v>
      </c>
      <c r="P491">
        <v>2021</v>
      </c>
    </row>
    <row r="492" spans="15:16" x14ac:dyDescent="0.3">
      <c r="O492" t="s">
        <v>593</v>
      </c>
      <c r="P492">
        <v>2021</v>
      </c>
    </row>
    <row r="493" spans="15:16" x14ac:dyDescent="0.3">
      <c r="O493" t="s">
        <v>594</v>
      </c>
      <c r="P493">
        <v>2021</v>
      </c>
    </row>
    <row r="494" spans="15:16" x14ac:dyDescent="0.3">
      <c r="O494" t="s">
        <v>595</v>
      </c>
      <c r="P494">
        <v>2021</v>
      </c>
    </row>
    <row r="495" spans="15:16" x14ac:dyDescent="0.3">
      <c r="O495" t="s">
        <v>596</v>
      </c>
      <c r="P495">
        <v>2021</v>
      </c>
    </row>
    <row r="496" spans="15:16" x14ac:dyDescent="0.3">
      <c r="O496" t="s">
        <v>597</v>
      </c>
      <c r="P496">
        <v>2021</v>
      </c>
    </row>
    <row r="497" spans="15:16" x14ac:dyDescent="0.3">
      <c r="O497" t="s">
        <v>598</v>
      </c>
      <c r="P497">
        <v>2021</v>
      </c>
    </row>
    <row r="498" spans="15:16" x14ac:dyDescent="0.3">
      <c r="O498" t="s">
        <v>599</v>
      </c>
      <c r="P498">
        <v>2021</v>
      </c>
    </row>
    <row r="499" spans="15:16" x14ac:dyDescent="0.3">
      <c r="O499" t="s">
        <v>600</v>
      </c>
      <c r="P499">
        <v>2021</v>
      </c>
    </row>
    <row r="500" spans="15:16" x14ac:dyDescent="0.3">
      <c r="O500" t="s">
        <v>46</v>
      </c>
      <c r="P500">
        <v>2021</v>
      </c>
    </row>
    <row r="501" spans="15:16" x14ac:dyDescent="0.3">
      <c r="O501" t="s">
        <v>601</v>
      </c>
      <c r="P501">
        <v>2021</v>
      </c>
    </row>
    <row r="502" spans="15:16" x14ac:dyDescent="0.3">
      <c r="O502" t="s">
        <v>602</v>
      </c>
      <c r="P502">
        <v>2021</v>
      </c>
    </row>
    <row r="503" spans="15:16" x14ac:dyDescent="0.3">
      <c r="O503" t="s">
        <v>603</v>
      </c>
      <c r="P503">
        <v>2021</v>
      </c>
    </row>
    <row r="504" spans="15:16" x14ac:dyDescent="0.3">
      <c r="O504" t="s">
        <v>604</v>
      </c>
      <c r="P504">
        <v>2021</v>
      </c>
    </row>
    <row r="505" spans="15:16" x14ac:dyDescent="0.3">
      <c r="O505" t="s">
        <v>605</v>
      </c>
      <c r="P505">
        <v>2021</v>
      </c>
    </row>
    <row r="506" spans="15:16" x14ac:dyDescent="0.3">
      <c r="O506" t="s">
        <v>606</v>
      </c>
      <c r="P506">
        <v>2021</v>
      </c>
    </row>
    <row r="507" spans="15:16" x14ac:dyDescent="0.3">
      <c r="O507" t="s">
        <v>607</v>
      </c>
      <c r="P507">
        <v>2021</v>
      </c>
    </row>
    <row r="508" spans="15:16" x14ac:dyDescent="0.3">
      <c r="O508" t="s">
        <v>608</v>
      </c>
      <c r="P508">
        <v>2021</v>
      </c>
    </row>
    <row r="509" spans="15:16" x14ac:dyDescent="0.3">
      <c r="O509" t="s">
        <v>609</v>
      </c>
      <c r="P509">
        <v>2021</v>
      </c>
    </row>
    <row r="510" spans="15:16" x14ac:dyDescent="0.3">
      <c r="O510" t="s">
        <v>610</v>
      </c>
      <c r="P510">
        <v>2021</v>
      </c>
    </row>
    <row r="511" spans="15:16" x14ac:dyDescent="0.3">
      <c r="O511" t="s">
        <v>611</v>
      </c>
      <c r="P511">
        <v>2021</v>
      </c>
    </row>
    <row r="512" spans="15:16" x14ac:dyDescent="0.3">
      <c r="O512" t="s">
        <v>612</v>
      </c>
      <c r="P512">
        <v>2021</v>
      </c>
    </row>
    <row r="513" spans="15:16" x14ac:dyDescent="0.3">
      <c r="O513" t="s">
        <v>613</v>
      </c>
      <c r="P513">
        <v>2021</v>
      </c>
    </row>
    <row r="514" spans="15:16" x14ac:dyDescent="0.3">
      <c r="O514" t="s">
        <v>614</v>
      </c>
      <c r="P514">
        <v>2021</v>
      </c>
    </row>
    <row r="515" spans="15:16" x14ac:dyDescent="0.3">
      <c r="O515" t="s">
        <v>615</v>
      </c>
      <c r="P515">
        <v>2021</v>
      </c>
    </row>
    <row r="516" spans="15:16" x14ac:dyDescent="0.3">
      <c r="O516" t="s">
        <v>616</v>
      </c>
      <c r="P516">
        <v>2021</v>
      </c>
    </row>
    <row r="517" spans="15:16" x14ac:dyDescent="0.3">
      <c r="O517" t="s">
        <v>617</v>
      </c>
      <c r="P517">
        <v>2021</v>
      </c>
    </row>
    <row r="518" spans="15:16" x14ac:dyDescent="0.3">
      <c r="O518" t="s">
        <v>618</v>
      </c>
      <c r="P518">
        <v>2021</v>
      </c>
    </row>
    <row r="519" spans="15:16" x14ac:dyDescent="0.3">
      <c r="O519" t="s">
        <v>619</v>
      </c>
      <c r="P519">
        <v>2021</v>
      </c>
    </row>
    <row r="520" spans="15:16" x14ac:dyDescent="0.3">
      <c r="O520" t="s">
        <v>620</v>
      </c>
      <c r="P520">
        <v>2021</v>
      </c>
    </row>
    <row r="521" spans="15:16" x14ac:dyDescent="0.3">
      <c r="O521" t="s">
        <v>621</v>
      </c>
      <c r="P521">
        <v>2021</v>
      </c>
    </row>
    <row r="522" spans="15:16" x14ac:dyDescent="0.3">
      <c r="O522" t="s">
        <v>622</v>
      </c>
      <c r="P522">
        <v>2021</v>
      </c>
    </row>
    <row r="523" spans="15:16" x14ac:dyDescent="0.3">
      <c r="O523" t="s">
        <v>623</v>
      </c>
      <c r="P523">
        <v>2021</v>
      </c>
    </row>
    <row r="524" spans="15:16" x14ac:dyDescent="0.3">
      <c r="O524" t="s">
        <v>624</v>
      </c>
      <c r="P524">
        <v>2021</v>
      </c>
    </row>
    <row r="525" spans="15:16" x14ac:dyDescent="0.3">
      <c r="O525" t="s">
        <v>625</v>
      </c>
      <c r="P525">
        <v>2021</v>
      </c>
    </row>
    <row r="526" spans="15:16" x14ac:dyDescent="0.3">
      <c r="O526" t="s">
        <v>626</v>
      </c>
      <c r="P526">
        <v>2021</v>
      </c>
    </row>
    <row r="527" spans="15:16" x14ac:dyDescent="0.3">
      <c r="O527" t="s">
        <v>627</v>
      </c>
      <c r="P527">
        <v>2021</v>
      </c>
    </row>
    <row r="528" spans="15:16" x14ac:dyDescent="0.3">
      <c r="O528" t="s">
        <v>628</v>
      </c>
      <c r="P528">
        <v>2021</v>
      </c>
    </row>
    <row r="529" spans="15:16" x14ac:dyDescent="0.3">
      <c r="O529" t="s">
        <v>629</v>
      </c>
      <c r="P529">
        <v>2021</v>
      </c>
    </row>
    <row r="530" spans="15:16" x14ac:dyDescent="0.3">
      <c r="O530" t="s">
        <v>630</v>
      </c>
      <c r="P530">
        <v>2021</v>
      </c>
    </row>
    <row r="531" spans="15:16" x14ac:dyDescent="0.3">
      <c r="O531" t="s">
        <v>631</v>
      </c>
      <c r="P531">
        <v>2021</v>
      </c>
    </row>
    <row r="532" spans="15:16" x14ac:dyDescent="0.3">
      <c r="O532" t="s">
        <v>632</v>
      </c>
      <c r="P532">
        <v>2021</v>
      </c>
    </row>
    <row r="533" spans="15:16" x14ac:dyDescent="0.3">
      <c r="O533" t="s">
        <v>633</v>
      </c>
      <c r="P533">
        <v>2021</v>
      </c>
    </row>
    <row r="534" spans="15:16" x14ac:dyDescent="0.3">
      <c r="O534" t="s">
        <v>634</v>
      </c>
      <c r="P534">
        <v>2021</v>
      </c>
    </row>
    <row r="535" spans="15:16" x14ac:dyDescent="0.3">
      <c r="O535" t="s">
        <v>635</v>
      </c>
      <c r="P535">
        <v>2021</v>
      </c>
    </row>
    <row r="536" spans="15:16" x14ac:dyDescent="0.3">
      <c r="O536" t="s">
        <v>636</v>
      </c>
      <c r="P536">
        <v>2021</v>
      </c>
    </row>
    <row r="537" spans="15:16" x14ac:dyDescent="0.3">
      <c r="O537" t="s">
        <v>637</v>
      </c>
      <c r="P537">
        <v>2021</v>
      </c>
    </row>
    <row r="538" spans="15:16" x14ac:dyDescent="0.3">
      <c r="O538" t="s">
        <v>638</v>
      </c>
      <c r="P538">
        <v>2021</v>
      </c>
    </row>
    <row r="539" spans="15:16" x14ac:dyDescent="0.3">
      <c r="O539" t="s">
        <v>639</v>
      </c>
      <c r="P539">
        <v>2021</v>
      </c>
    </row>
    <row r="540" spans="15:16" x14ac:dyDescent="0.3">
      <c r="O540" t="s">
        <v>640</v>
      </c>
      <c r="P540">
        <v>2021</v>
      </c>
    </row>
    <row r="541" spans="15:16" x14ac:dyDescent="0.3">
      <c r="O541" t="s">
        <v>641</v>
      </c>
      <c r="P541">
        <v>2021</v>
      </c>
    </row>
    <row r="542" spans="15:16" x14ac:dyDescent="0.3">
      <c r="O542" t="s">
        <v>642</v>
      </c>
      <c r="P542">
        <v>2021</v>
      </c>
    </row>
    <row r="543" spans="15:16" x14ac:dyDescent="0.3">
      <c r="O543" t="s">
        <v>643</v>
      </c>
      <c r="P543">
        <v>2021</v>
      </c>
    </row>
    <row r="544" spans="15:16" x14ac:dyDescent="0.3">
      <c r="O544" t="s">
        <v>644</v>
      </c>
      <c r="P544">
        <v>2021</v>
      </c>
    </row>
    <row r="545" spans="15:16" x14ac:dyDescent="0.3">
      <c r="O545" t="s">
        <v>645</v>
      </c>
      <c r="P545">
        <v>2021</v>
      </c>
    </row>
    <row r="546" spans="15:16" x14ac:dyDescent="0.3">
      <c r="O546" t="s">
        <v>646</v>
      </c>
      <c r="P546">
        <v>2021</v>
      </c>
    </row>
    <row r="547" spans="15:16" x14ac:dyDescent="0.3">
      <c r="O547" t="s">
        <v>647</v>
      </c>
      <c r="P547">
        <v>2021</v>
      </c>
    </row>
    <row r="548" spans="15:16" x14ac:dyDescent="0.3">
      <c r="O548" t="s">
        <v>648</v>
      </c>
      <c r="P548">
        <v>2021</v>
      </c>
    </row>
    <row r="549" spans="15:16" x14ac:dyDescent="0.3">
      <c r="O549" t="s">
        <v>649</v>
      </c>
      <c r="P549">
        <v>2021</v>
      </c>
    </row>
    <row r="550" spans="15:16" x14ac:dyDescent="0.3">
      <c r="O550" t="s">
        <v>650</v>
      </c>
      <c r="P550">
        <v>2021</v>
      </c>
    </row>
    <row r="551" spans="15:16" x14ac:dyDescent="0.3">
      <c r="O551" t="s">
        <v>651</v>
      </c>
      <c r="P551">
        <v>2021</v>
      </c>
    </row>
    <row r="552" spans="15:16" x14ac:dyDescent="0.3">
      <c r="O552" t="s">
        <v>652</v>
      </c>
      <c r="P552">
        <v>2021</v>
      </c>
    </row>
    <row r="553" spans="15:16" x14ac:dyDescent="0.3">
      <c r="O553" t="s">
        <v>653</v>
      </c>
      <c r="P553">
        <v>2021</v>
      </c>
    </row>
    <row r="554" spans="15:16" x14ac:dyDescent="0.3">
      <c r="O554" t="s">
        <v>654</v>
      </c>
      <c r="P554">
        <v>2021</v>
      </c>
    </row>
    <row r="555" spans="15:16" x14ac:dyDescent="0.3">
      <c r="O555" t="s">
        <v>655</v>
      </c>
      <c r="P555">
        <v>2021</v>
      </c>
    </row>
    <row r="556" spans="15:16" x14ac:dyDescent="0.3">
      <c r="O556" t="s">
        <v>656</v>
      </c>
      <c r="P556">
        <v>2021</v>
      </c>
    </row>
    <row r="557" spans="15:16" x14ac:dyDescent="0.3">
      <c r="O557" t="s">
        <v>657</v>
      </c>
      <c r="P557">
        <v>2021</v>
      </c>
    </row>
    <row r="558" spans="15:16" x14ac:dyDescent="0.3">
      <c r="O558" t="s">
        <v>658</v>
      </c>
      <c r="P558">
        <v>2021</v>
      </c>
    </row>
    <row r="559" spans="15:16" x14ac:dyDescent="0.3">
      <c r="O559" t="s">
        <v>659</v>
      </c>
      <c r="P559">
        <v>2021</v>
      </c>
    </row>
    <row r="560" spans="15:16" x14ac:dyDescent="0.3">
      <c r="O560" t="s">
        <v>660</v>
      </c>
      <c r="P560">
        <v>2021</v>
      </c>
    </row>
    <row r="561" spans="15:16" x14ac:dyDescent="0.3">
      <c r="O561" t="s">
        <v>661</v>
      </c>
      <c r="P561">
        <v>2021</v>
      </c>
    </row>
    <row r="562" spans="15:16" x14ac:dyDescent="0.3">
      <c r="O562" t="s">
        <v>662</v>
      </c>
      <c r="P562">
        <v>2021</v>
      </c>
    </row>
    <row r="563" spans="15:16" x14ac:dyDescent="0.3">
      <c r="O563" t="s">
        <v>663</v>
      </c>
      <c r="P563">
        <v>2021</v>
      </c>
    </row>
    <row r="564" spans="15:16" x14ac:dyDescent="0.3">
      <c r="O564" t="s">
        <v>664</v>
      </c>
      <c r="P564">
        <v>2021</v>
      </c>
    </row>
    <row r="565" spans="15:16" x14ac:dyDescent="0.3">
      <c r="O565" t="s">
        <v>665</v>
      </c>
      <c r="P565">
        <v>2021</v>
      </c>
    </row>
    <row r="566" spans="15:16" x14ac:dyDescent="0.3">
      <c r="O566" t="s">
        <v>666</v>
      </c>
      <c r="P566">
        <v>2021</v>
      </c>
    </row>
    <row r="567" spans="15:16" x14ac:dyDescent="0.3">
      <c r="O567" t="s">
        <v>667</v>
      </c>
      <c r="P567">
        <v>2021</v>
      </c>
    </row>
    <row r="568" spans="15:16" x14ac:dyDescent="0.3">
      <c r="O568" t="s">
        <v>668</v>
      </c>
      <c r="P568">
        <v>2021</v>
      </c>
    </row>
    <row r="569" spans="15:16" x14ac:dyDescent="0.3">
      <c r="O569" t="s">
        <v>669</v>
      </c>
      <c r="P569">
        <v>2021</v>
      </c>
    </row>
    <row r="570" spans="15:16" x14ac:dyDescent="0.3">
      <c r="O570" t="s">
        <v>670</v>
      </c>
      <c r="P570">
        <v>2021</v>
      </c>
    </row>
    <row r="571" spans="15:16" x14ac:dyDescent="0.3">
      <c r="O571" t="s">
        <v>671</v>
      </c>
      <c r="P571">
        <v>2021</v>
      </c>
    </row>
    <row r="572" spans="15:16" x14ac:dyDescent="0.3">
      <c r="O572" t="s">
        <v>672</v>
      </c>
      <c r="P572">
        <v>2021</v>
      </c>
    </row>
    <row r="573" spans="15:16" x14ac:dyDescent="0.3">
      <c r="O573" t="s">
        <v>673</v>
      </c>
      <c r="P573">
        <v>2021</v>
      </c>
    </row>
    <row r="574" spans="15:16" x14ac:dyDescent="0.3">
      <c r="O574" t="s">
        <v>674</v>
      </c>
      <c r="P574">
        <v>2021</v>
      </c>
    </row>
    <row r="575" spans="15:16" x14ac:dyDescent="0.3">
      <c r="O575" t="s">
        <v>675</v>
      </c>
      <c r="P575">
        <v>2021</v>
      </c>
    </row>
    <row r="576" spans="15:16" x14ac:dyDescent="0.3">
      <c r="O576" t="s">
        <v>676</v>
      </c>
      <c r="P576">
        <v>2021</v>
      </c>
    </row>
    <row r="577" spans="15:16" x14ac:dyDescent="0.3">
      <c r="O577" t="s">
        <v>677</v>
      </c>
      <c r="P577">
        <v>2021</v>
      </c>
    </row>
    <row r="578" spans="15:16" x14ac:dyDescent="0.3">
      <c r="O578" t="s">
        <v>678</v>
      </c>
      <c r="P578">
        <v>2021</v>
      </c>
    </row>
    <row r="579" spans="15:16" x14ac:dyDescent="0.3">
      <c r="O579" t="s">
        <v>679</v>
      </c>
      <c r="P579">
        <v>2021</v>
      </c>
    </row>
    <row r="580" spans="15:16" x14ac:dyDescent="0.3">
      <c r="O580" t="s">
        <v>680</v>
      </c>
      <c r="P580">
        <v>2021</v>
      </c>
    </row>
    <row r="581" spans="15:16" x14ac:dyDescent="0.3">
      <c r="O581" t="s">
        <v>26</v>
      </c>
      <c r="P581">
        <v>2021</v>
      </c>
    </row>
    <row r="582" spans="15:16" x14ac:dyDescent="0.3">
      <c r="O582" t="s">
        <v>681</v>
      </c>
      <c r="P582">
        <v>2021</v>
      </c>
    </row>
    <row r="583" spans="15:16" x14ac:dyDescent="0.3">
      <c r="O583" t="s">
        <v>682</v>
      </c>
      <c r="P583">
        <v>2021</v>
      </c>
    </row>
    <row r="584" spans="15:16" x14ac:dyDescent="0.3">
      <c r="O584" t="s">
        <v>683</v>
      </c>
      <c r="P584">
        <v>2021</v>
      </c>
    </row>
    <row r="585" spans="15:16" x14ac:dyDescent="0.3">
      <c r="O585" t="s">
        <v>684</v>
      </c>
      <c r="P585">
        <v>2021</v>
      </c>
    </row>
    <row r="586" spans="15:16" x14ac:dyDescent="0.3">
      <c r="O586" t="s">
        <v>685</v>
      </c>
      <c r="P586">
        <v>2021</v>
      </c>
    </row>
    <row r="587" spans="15:16" x14ac:dyDescent="0.3">
      <c r="O587" t="s">
        <v>686</v>
      </c>
      <c r="P587">
        <v>2021</v>
      </c>
    </row>
    <row r="588" spans="15:16" x14ac:dyDescent="0.3">
      <c r="O588" t="s">
        <v>687</v>
      </c>
      <c r="P588">
        <v>2021</v>
      </c>
    </row>
    <row r="589" spans="15:16" x14ac:dyDescent="0.3">
      <c r="O589" t="s">
        <v>688</v>
      </c>
      <c r="P589">
        <v>2021</v>
      </c>
    </row>
    <row r="590" spans="15:16" x14ac:dyDescent="0.3">
      <c r="O590" t="s">
        <v>689</v>
      </c>
      <c r="P590">
        <v>2021</v>
      </c>
    </row>
    <row r="591" spans="15:16" x14ac:dyDescent="0.3">
      <c r="O591" t="s">
        <v>690</v>
      </c>
      <c r="P591">
        <v>2021</v>
      </c>
    </row>
    <row r="592" spans="15:16" x14ac:dyDescent="0.3">
      <c r="O592" t="s">
        <v>691</v>
      </c>
      <c r="P592">
        <v>2021</v>
      </c>
    </row>
    <row r="593" spans="15:16" x14ac:dyDescent="0.3">
      <c r="O593" t="s">
        <v>692</v>
      </c>
      <c r="P593">
        <v>2021</v>
      </c>
    </row>
    <row r="594" spans="15:16" x14ac:dyDescent="0.3">
      <c r="O594" t="s">
        <v>693</v>
      </c>
      <c r="P594">
        <v>2021</v>
      </c>
    </row>
    <row r="595" spans="15:16" x14ac:dyDescent="0.3">
      <c r="O595" t="s">
        <v>694</v>
      </c>
      <c r="P595">
        <v>2021</v>
      </c>
    </row>
    <row r="596" spans="15:16" x14ac:dyDescent="0.3">
      <c r="O596" t="s">
        <v>695</v>
      </c>
      <c r="P596">
        <v>2021</v>
      </c>
    </row>
    <row r="597" spans="15:16" x14ac:dyDescent="0.3">
      <c r="O597" t="s">
        <v>300</v>
      </c>
      <c r="P597">
        <v>2022</v>
      </c>
    </row>
    <row r="598" spans="15:16" x14ac:dyDescent="0.3">
      <c r="O598" t="s">
        <v>696</v>
      </c>
      <c r="P598">
        <v>2022</v>
      </c>
    </row>
    <row r="599" spans="15:16" x14ac:dyDescent="0.3">
      <c r="O599" t="s">
        <v>575</v>
      </c>
      <c r="P599">
        <v>2022</v>
      </c>
    </row>
    <row r="600" spans="15:16" x14ac:dyDescent="0.3">
      <c r="O600" t="s">
        <v>697</v>
      </c>
      <c r="P600">
        <v>2022</v>
      </c>
    </row>
    <row r="601" spans="15:16" x14ac:dyDescent="0.3">
      <c r="O601" t="s">
        <v>57</v>
      </c>
      <c r="P601">
        <v>2022</v>
      </c>
    </row>
    <row r="602" spans="15:16" x14ac:dyDescent="0.3">
      <c r="O602" t="s">
        <v>698</v>
      </c>
      <c r="P602">
        <v>2022</v>
      </c>
    </row>
    <row r="603" spans="15:16" x14ac:dyDescent="0.3">
      <c r="O603" t="s">
        <v>150</v>
      </c>
      <c r="P603">
        <v>2022</v>
      </c>
    </row>
    <row r="604" spans="15:16" x14ac:dyDescent="0.3">
      <c r="O604" t="s">
        <v>299</v>
      </c>
      <c r="P604">
        <v>2022</v>
      </c>
    </row>
    <row r="605" spans="15:16" x14ac:dyDescent="0.3">
      <c r="O605" t="s">
        <v>695</v>
      </c>
      <c r="P605">
        <v>2022</v>
      </c>
    </row>
    <row r="606" spans="15:16" x14ac:dyDescent="0.3">
      <c r="O606" t="s">
        <v>489</v>
      </c>
      <c r="P606">
        <v>2022</v>
      </c>
    </row>
    <row r="607" spans="15:16" x14ac:dyDescent="0.3">
      <c r="O607" t="s">
        <v>199</v>
      </c>
      <c r="P607">
        <v>2022</v>
      </c>
    </row>
    <row r="608" spans="15:16" x14ac:dyDescent="0.3">
      <c r="O608" t="s">
        <v>69</v>
      </c>
      <c r="P608">
        <v>2022</v>
      </c>
    </row>
    <row r="609" spans="15:16" x14ac:dyDescent="0.3">
      <c r="O609" t="s">
        <v>699</v>
      </c>
      <c r="P609">
        <v>2022</v>
      </c>
    </row>
    <row r="610" spans="15:16" x14ac:dyDescent="0.3">
      <c r="O610" t="s">
        <v>700</v>
      </c>
      <c r="P610">
        <v>2022</v>
      </c>
    </row>
    <row r="611" spans="15:16" x14ac:dyDescent="0.3">
      <c r="O611" t="s">
        <v>403</v>
      </c>
      <c r="P611">
        <v>2022</v>
      </c>
    </row>
    <row r="612" spans="15:16" x14ac:dyDescent="0.3">
      <c r="O612" t="s">
        <v>701</v>
      </c>
      <c r="P612">
        <v>2022</v>
      </c>
    </row>
    <row r="613" spans="15:16" x14ac:dyDescent="0.3">
      <c r="O613" t="s">
        <v>282</v>
      </c>
      <c r="P613">
        <v>2022</v>
      </c>
    </row>
    <row r="614" spans="15:16" x14ac:dyDescent="0.3">
      <c r="O614" t="s">
        <v>237</v>
      </c>
      <c r="P614">
        <v>2022</v>
      </c>
    </row>
    <row r="615" spans="15:16" x14ac:dyDescent="0.3">
      <c r="O615" t="s">
        <v>284</v>
      </c>
      <c r="P615">
        <v>2022</v>
      </c>
    </row>
    <row r="616" spans="15:16" x14ac:dyDescent="0.3">
      <c r="O616" t="s">
        <v>352</v>
      </c>
      <c r="P616">
        <v>2022</v>
      </c>
    </row>
    <row r="617" spans="15:16" x14ac:dyDescent="0.3">
      <c r="O617" t="s">
        <v>702</v>
      </c>
      <c r="P617">
        <v>2022</v>
      </c>
    </row>
    <row r="618" spans="15:16" x14ac:dyDescent="0.3">
      <c r="O618" t="s">
        <v>653</v>
      </c>
      <c r="P618">
        <v>2022</v>
      </c>
    </row>
    <row r="619" spans="15:16" x14ac:dyDescent="0.3">
      <c r="O619" t="s">
        <v>53</v>
      </c>
      <c r="P619">
        <v>2022</v>
      </c>
    </row>
    <row r="620" spans="15:16" x14ac:dyDescent="0.3">
      <c r="O620" t="s">
        <v>675</v>
      </c>
      <c r="P620">
        <v>2022</v>
      </c>
    </row>
    <row r="621" spans="15:16" x14ac:dyDescent="0.3">
      <c r="O621" t="s">
        <v>446</v>
      </c>
      <c r="P621">
        <v>2022</v>
      </c>
    </row>
    <row r="622" spans="15:16" x14ac:dyDescent="0.3">
      <c r="O622" t="s">
        <v>458</v>
      </c>
      <c r="P622">
        <v>2022</v>
      </c>
    </row>
    <row r="623" spans="15:16" x14ac:dyDescent="0.3">
      <c r="O623" t="s">
        <v>412</v>
      </c>
      <c r="P623">
        <v>2022</v>
      </c>
    </row>
    <row r="624" spans="15:16" x14ac:dyDescent="0.3">
      <c r="O624" t="s">
        <v>469</v>
      </c>
      <c r="P624">
        <v>2022</v>
      </c>
    </row>
    <row r="625" spans="15:16" x14ac:dyDescent="0.3">
      <c r="O625" t="s">
        <v>261</v>
      </c>
      <c r="P625">
        <v>2022</v>
      </c>
    </row>
    <row r="626" spans="15:16" x14ac:dyDescent="0.3">
      <c r="O626" t="s">
        <v>703</v>
      </c>
      <c r="P626">
        <v>2022</v>
      </c>
    </row>
    <row r="627" spans="15:16" x14ac:dyDescent="0.3">
      <c r="O627" t="s">
        <v>587</v>
      </c>
      <c r="P627">
        <v>2022</v>
      </c>
    </row>
    <row r="628" spans="15:16" x14ac:dyDescent="0.3">
      <c r="O628" t="s">
        <v>354</v>
      </c>
      <c r="P628">
        <v>2022</v>
      </c>
    </row>
    <row r="629" spans="15:16" x14ac:dyDescent="0.3">
      <c r="O629" t="s">
        <v>306</v>
      </c>
      <c r="P629">
        <v>2022</v>
      </c>
    </row>
    <row r="630" spans="15:16" x14ac:dyDescent="0.3">
      <c r="O630" t="s">
        <v>428</v>
      </c>
      <c r="P630">
        <v>2022</v>
      </c>
    </row>
    <row r="631" spans="15:16" x14ac:dyDescent="0.3">
      <c r="O631" t="s">
        <v>704</v>
      </c>
      <c r="P631">
        <v>2022</v>
      </c>
    </row>
    <row r="632" spans="15:16" x14ac:dyDescent="0.3">
      <c r="O632" t="s">
        <v>705</v>
      </c>
      <c r="P632">
        <v>2022</v>
      </c>
    </row>
    <row r="633" spans="15:16" x14ac:dyDescent="0.3">
      <c r="O633" t="s">
        <v>208</v>
      </c>
      <c r="P633">
        <v>2022</v>
      </c>
    </row>
    <row r="634" spans="15:16" x14ac:dyDescent="0.3">
      <c r="O634" t="s">
        <v>487</v>
      </c>
      <c r="P634">
        <v>2022</v>
      </c>
    </row>
    <row r="635" spans="15:16" x14ac:dyDescent="0.3">
      <c r="O635" t="s">
        <v>351</v>
      </c>
      <c r="P635">
        <v>2022</v>
      </c>
    </row>
    <row r="636" spans="15:16" x14ac:dyDescent="0.3">
      <c r="O636" t="s">
        <v>382</v>
      </c>
      <c r="P636">
        <v>2022</v>
      </c>
    </row>
    <row r="637" spans="15:16" x14ac:dyDescent="0.3">
      <c r="O637" t="s">
        <v>513</v>
      </c>
      <c r="P637">
        <v>2022</v>
      </c>
    </row>
    <row r="638" spans="15:16" x14ac:dyDescent="0.3">
      <c r="O638" t="s">
        <v>706</v>
      </c>
      <c r="P638">
        <v>2022</v>
      </c>
    </row>
    <row r="639" spans="15:16" x14ac:dyDescent="0.3">
      <c r="O639" t="s">
        <v>556</v>
      </c>
      <c r="P639">
        <v>2022</v>
      </c>
    </row>
    <row r="640" spans="15:16" x14ac:dyDescent="0.3">
      <c r="O640" t="s">
        <v>657</v>
      </c>
      <c r="P640">
        <v>2022</v>
      </c>
    </row>
    <row r="641" spans="15:16" x14ac:dyDescent="0.3">
      <c r="O641" t="s">
        <v>310</v>
      </c>
      <c r="P641">
        <v>2022</v>
      </c>
    </row>
    <row r="642" spans="15:16" x14ac:dyDescent="0.3">
      <c r="O642" t="s">
        <v>235</v>
      </c>
      <c r="P642">
        <v>2022</v>
      </c>
    </row>
    <row r="643" spans="15:16" x14ac:dyDescent="0.3">
      <c r="O643" t="s">
        <v>279</v>
      </c>
      <c r="P643">
        <v>2022</v>
      </c>
    </row>
    <row r="644" spans="15:16" x14ac:dyDescent="0.3">
      <c r="O644" t="s">
        <v>671</v>
      </c>
      <c r="P644">
        <v>2022</v>
      </c>
    </row>
    <row r="645" spans="15:16" x14ac:dyDescent="0.3">
      <c r="O645" t="s">
        <v>225</v>
      </c>
      <c r="P645">
        <v>2022</v>
      </c>
    </row>
    <row r="646" spans="15:16" x14ac:dyDescent="0.3">
      <c r="O646" t="s">
        <v>620</v>
      </c>
      <c r="P646">
        <v>2022</v>
      </c>
    </row>
    <row r="647" spans="15:16" x14ac:dyDescent="0.3">
      <c r="O647" t="s">
        <v>707</v>
      </c>
      <c r="P647">
        <v>2022</v>
      </c>
    </row>
    <row r="648" spans="15:16" x14ac:dyDescent="0.3">
      <c r="O648" t="s">
        <v>375</v>
      </c>
      <c r="P648">
        <v>2022</v>
      </c>
    </row>
    <row r="649" spans="15:16" x14ac:dyDescent="0.3">
      <c r="O649" t="s">
        <v>178</v>
      </c>
      <c r="P649">
        <v>2022</v>
      </c>
    </row>
    <row r="650" spans="15:16" x14ac:dyDescent="0.3">
      <c r="O650" t="s">
        <v>467</v>
      </c>
      <c r="P650">
        <v>2022</v>
      </c>
    </row>
    <row r="651" spans="15:16" x14ac:dyDescent="0.3">
      <c r="O651" t="s">
        <v>619</v>
      </c>
      <c r="P651">
        <v>2022</v>
      </c>
    </row>
    <row r="652" spans="15:16" x14ac:dyDescent="0.3">
      <c r="O652" t="s">
        <v>679</v>
      </c>
      <c r="P652">
        <v>2022</v>
      </c>
    </row>
    <row r="653" spans="15:16" x14ac:dyDescent="0.3">
      <c r="O653" t="s">
        <v>708</v>
      </c>
      <c r="P653">
        <v>2022</v>
      </c>
    </row>
    <row r="654" spans="15:16" x14ac:dyDescent="0.3">
      <c r="O654" t="s">
        <v>669</v>
      </c>
      <c r="P654">
        <v>2022</v>
      </c>
    </row>
    <row r="655" spans="15:16" x14ac:dyDescent="0.3">
      <c r="O655" t="s">
        <v>581</v>
      </c>
      <c r="P655">
        <v>2022</v>
      </c>
    </row>
    <row r="656" spans="15:16" x14ac:dyDescent="0.3">
      <c r="O656" t="s">
        <v>545</v>
      </c>
      <c r="P656">
        <v>2022</v>
      </c>
    </row>
    <row r="657" spans="15:16" x14ac:dyDescent="0.3">
      <c r="O657" t="s">
        <v>709</v>
      </c>
      <c r="P657">
        <v>2022</v>
      </c>
    </row>
    <row r="658" spans="15:16" x14ac:dyDescent="0.3">
      <c r="O658" t="s">
        <v>432</v>
      </c>
      <c r="P658">
        <v>2022</v>
      </c>
    </row>
    <row r="659" spans="15:16" x14ac:dyDescent="0.3">
      <c r="O659" t="s">
        <v>136</v>
      </c>
      <c r="P659">
        <v>2022</v>
      </c>
    </row>
    <row r="660" spans="15:16" x14ac:dyDescent="0.3">
      <c r="O660" t="s">
        <v>628</v>
      </c>
      <c r="P660">
        <v>2022</v>
      </c>
    </row>
    <row r="661" spans="15:16" x14ac:dyDescent="0.3">
      <c r="O661" t="s">
        <v>321</v>
      </c>
      <c r="P661">
        <v>2022</v>
      </c>
    </row>
    <row r="662" spans="15:16" x14ac:dyDescent="0.3">
      <c r="O662" t="s">
        <v>174</v>
      </c>
      <c r="P662">
        <v>2022</v>
      </c>
    </row>
    <row r="663" spans="15:16" x14ac:dyDescent="0.3">
      <c r="O663" t="s">
        <v>710</v>
      </c>
      <c r="P663">
        <v>2022</v>
      </c>
    </row>
    <row r="664" spans="15:16" x14ac:dyDescent="0.3">
      <c r="O664" t="s">
        <v>711</v>
      </c>
      <c r="P664">
        <v>2022</v>
      </c>
    </row>
    <row r="665" spans="15:16" x14ac:dyDescent="0.3">
      <c r="O665" t="s">
        <v>308</v>
      </c>
      <c r="P665">
        <v>2022</v>
      </c>
    </row>
    <row r="666" spans="15:16" x14ac:dyDescent="0.3">
      <c r="O666" t="s">
        <v>424</v>
      </c>
      <c r="P666">
        <v>2022</v>
      </c>
    </row>
    <row r="667" spans="15:16" x14ac:dyDescent="0.3">
      <c r="O667" t="s">
        <v>683</v>
      </c>
      <c r="P667">
        <v>2022</v>
      </c>
    </row>
    <row r="668" spans="15:16" x14ac:dyDescent="0.3">
      <c r="O668" t="s">
        <v>651</v>
      </c>
      <c r="P668">
        <v>2022</v>
      </c>
    </row>
    <row r="669" spans="15:16" x14ac:dyDescent="0.3">
      <c r="O669" t="s">
        <v>712</v>
      </c>
      <c r="P669">
        <v>2022</v>
      </c>
    </row>
    <row r="670" spans="15:16" x14ac:dyDescent="0.3">
      <c r="O670" t="s">
        <v>111</v>
      </c>
      <c r="P670">
        <v>2022</v>
      </c>
    </row>
    <row r="671" spans="15:16" x14ac:dyDescent="0.3">
      <c r="O671" t="s">
        <v>713</v>
      </c>
      <c r="P671">
        <v>2022</v>
      </c>
    </row>
    <row r="672" spans="15:16" x14ac:dyDescent="0.3">
      <c r="O672" t="s">
        <v>492</v>
      </c>
      <c r="P672">
        <v>2022</v>
      </c>
    </row>
    <row r="673" spans="15:16" x14ac:dyDescent="0.3">
      <c r="O673" t="s">
        <v>418</v>
      </c>
      <c r="P673">
        <v>2022</v>
      </c>
    </row>
    <row r="674" spans="15:16" x14ac:dyDescent="0.3">
      <c r="O674" t="s">
        <v>409</v>
      </c>
      <c r="P674">
        <v>2022</v>
      </c>
    </row>
    <row r="675" spans="15:16" x14ac:dyDescent="0.3">
      <c r="O675" t="s">
        <v>714</v>
      </c>
      <c r="P675">
        <v>2022</v>
      </c>
    </row>
    <row r="676" spans="15:16" x14ac:dyDescent="0.3">
      <c r="O676" t="s">
        <v>381</v>
      </c>
      <c r="P676">
        <v>2022</v>
      </c>
    </row>
    <row r="677" spans="15:16" x14ac:dyDescent="0.3">
      <c r="O677" t="s">
        <v>555</v>
      </c>
      <c r="P677">
        <v>2022</v>
      </c>
    </row>
    <row r="678" spans="15:16" x14ac:dyDescent="0.3">
      <c r="O678" t="s">
        <v>373</v>
      </c>
      <c r="P678">
        <v>2022</v>
      </c>
    </row>
    <row r="679" spans="15:16" x14ac:dyDescent="0.3">
      <c r="O679" t="s">
        <v>715</v>
      </c>
      <c r="P679">
        <v>2022</v>
      </c>
    </row>
    <row r="680" spans="15:16" x14ac:dyDescent="0.3">
      <c r="O680" t="s">
        <v>86</v>
      </c>
      <c r="P680">
        <v>2022</v>
      </c>
    </row>
    <row r="681" spans="15:16" x14ac:dyDescent="0.3">
      <c r="O681" t="s">
        <v>230</v>
      </c>
      <c r="P681">
        <v>2022</v>
      </c>
    </row>
    <row r="682" spans="15:16" x14ac:dyDescent="0.3">
      <c r="O682" t="s">
        <v>716</v>
      </c>
      <c r="P682">
        <v>2022</v>
      </c>
    </row>
    <row r="683" spans="15:16" x14ac:dyDescent="0.3">
      <c r="O683" t="s">
        <v>541</v>
      </c>
      <c r="P683">
        <v>2022</v>
      </c>
    </row>
    <row r="684" spans="15:16" x14ac:dyDescent="0.3">
      <c r="O684" t="s">
        <v>490</v>
      </c>
      <c r="P684">
        <v>2022</v>
      </c>
    </row>
    <row r="685" spans="15:16" x14ac:dyDescent="0.3">
      <c r="O685" t="s">
        <v>258</v>
      </c>
      <c r="P685">
        <v>2022</v>
      </c>
    </row>
    <row r="686" spans="15:16" x14ac:dyDescent="0.3">
      <c r="O686" t="s">
        <v>390</v>
      </c>
      <c r="P686">
        <v>2022</v>
      </c>
    </row>
    <row r="687" spans="15:16" x14ac:dyDescent="0.3">
      <c r="O687" t="s">
        <v>273</v>
      </c>
      <c r="P687">
        <v>2022</v>
      </c>
    </row>
    <row r="688" spans="15:16" x14ac:dyDescent="0.3">
      <c r="O688" t="s">
        <v>31</v>
      </c>
      <c r="P688">
        <v>2022</v>
      </c>
    </row>
    <row r="689" spans="15:16" x14ac:dyDescent="0.3">
      <c r="O689" t="s">
        <v>717</v>
      </c>
      <c r="P689">
        <v>2022</v>
      </c>
    </row>
    <row r="690" spans="15:16" x14ac:dyDescent="0.3">
      <c r="O690" t="s">
        <v>510</v>
      </c>
      <c r="P690">
        <v>2022</v>
      </c>
    </row>
    <row r="691" spans="15:16" x14ac:dyDescent="0.3">
      <c r="O691" t="s">
        <v>205</v>
      </c>
      <c r="P691">
        <v>2022</v>
      </c>
    </row>
    <row r="692" spans="15:16" x14ac:dyDescent="0.3">
      <c r="O692" t="s">
        <v>515</v>
      </c>
      <c r="P692">
        <v>2022</v>
      </c>
    </row>
    <row r="693" spans="15:16" x14ac:dyDescent="0.3">
      <c r="O693" t="s">
        <v>637</v>
      </c>
      <c r="P693">
        <v>2022</v>
      </c>
    </row>
    <row r="694" spans="15:16" x14ac:dyDescent="0.3">
      <c r="O694" t="s">
        <v>718</v>
      </c>
      <c r="P694">
        <v>2022</v>
      </c>
    </row>
    <row r="695" spans="15:16" x14ac:dyDescent="0.3">
      <c r="O695" t="s">
        <v>573</v>
      </c>
      <c r="P695">
        <v>2022</v>
      </c>
    </row>
    <row r="696" spans="15:16" x14ac:dyDescent="0.3">
      <c r="O696" t="s">
        <v>431</v>
      </c>
      <c r="P696">
        <v>2022</v>
      </c>
    </row>
    <row r="697" spans="15:16" x14ac:dyDescent="0.3">
      <c r="O697" t="s">
        <v>387</v>
      </c>
      <c r="P697">
        <v>2022</v>
      </c>
    </row>
    <row r="698" spans="15:16" x14ac:dyDescent="0.3">
      <c r="O698" t="s">
        <v>514</v>
      </c>
      <c r="P698">
        <v>2022</v>
      </c>
    </row>
    <row r="699" spans="15:16" x14ac:dyDescent="0.3">
      <c r="O699" t="s">
        <v>133</v>
      </c>
      <c r="P699">
        <v>2022</v>
      </c>
    </row>
    <row r="700" spans="15:16" x14ac:dyDescent="0.3">
      <c r="O700" t="s">
        <v>719</v>
      </c>
      <c r="P700">
        <v>2022</v>
      </c>
    </row>
    <row r="701" spans="15:16" x14ac:dyDescent="0.3">
      <c r="O701" t="s">
        <v>720</v>
      </c>
      <c r="P701">
        <v>2022</v>
      </c>
    </row>
    <row r="702" spans="15:16" x14ac:dyDescent="0.3">
      <c r="O702" t="s">
        <v>621</v>
      </c>
      <c r="P702">
        <v>2022</v>
      </c>
    </row>
    <row r="703" spans="15:16" x14ac:dyDescent="0.3">
      <c r="O703" t="s">
        <v>343</v>
      </c>
      <c r="P703">
        <v>2022</v>
      </c>
    </row>
    <row r="704" spans="15:16" x14ac:dyDescent="0.3">
      <c r="O704" t="s">
        <v>721</v>
      </c>
      <c r="P704">
        <v>2022</v>
      </c>
    </row>
    <row r="705" spans="15:16" x14ac:dyDescent="0.3">
      <c r="O705" t="s">
        <v>722</v>
      </c>
      <c r="P705">
        <v>2022</v>
      </c>
    </row>
    <row r="706" spans="15:16" x14ac:dyDescent="0.3">
      <c r="O706" t="s">
        <v>234</v>
      </c>
      <c r="P706">
        <v>2022</v>
      </c>
    </row>
    <row r="707" spans="15:16" x14ac:dyDescent="0.3">
      <c r="O707" t="s">
        <v>616</v>
      </c>
      <c r="P707">
        <v>2022</v>
      </c>
    </row>
    <row r="708" spans="15:16" x14ac:dyDescent="0.3">
      <c r="O708" t="s">
        <v>723</v>
      </c>
      <c r="P708">
        <v>2022</v>
      </c>
    </row>
    <row r="709" spans="15:16" x14ac:dyDescent="0.3">
      <c r="O709" t="s">
        <v>688</v>
      </c>
      <c r="P709">
        <v>2022</v>
      </c>
    </row>
    <row r="710" spans="15:16" x14ac:dyDescent="0.3">
      <c r="O710" t="s">
        <v>530</v>
      </c>
      <c r="P710">
        <v>2022</v>
      </c>
    </row>
    <row r="711" spans="15:16" x14ac:dyDescent="0.3">
      <c r="O711" t="s">
        <v>423</v>
      </c>
      <c r="P711">
        <v>2022</v>
      </c>
    </row>
    <row r="712" spans="15:16" x14ac:dyDescent="0.3">
      <c r="O712" t="s">
        <v>347</v>
      </c>
      <c r="P712">
        <v>2022</v>
      </c>
    </row>
    <row r="713" spans="15:16" x14ac:dyDescent="0.3">
      <c r="O713" t="s">
        <v>553</v>
      </c>
      <c r="P713">
        <v>2022</v>
      </c>
    </row>
    <row r="714" spans="15:16" x14ac:dyDescent="0.3">
      <c r="O714" t="s">
        <v>388</v>
      </c>
      <c r="P714">
        <v>2022</v>
      </c>
    </row>
    <row r="715" spans="15:16" x14ac:dyDescent="0.3">
      <c r="O715" t="s">
        <v>724</v>
      </c>
      <c r="P715">
        <v>2022</v>
      </c>
    </row>
    <row r="716" spans="15:16" x14ac:dyDescent="0.3">
      <c r="O716" t="s">
        <v>654</v>
      </c>
      <c r="P716">
        <v>2022</v>
      </c>
    </row>
    <row r="717" spans="15:16" x14ac:dyDescent="0.3">
      <c r="O717" t="s">
        <v>725</v>
      </c>
      <c r="P717">
        <v>2022</v>
      </c>
    </row>
    <row r="718" spans="15:16" x14ac:dyDescent="0.3">
      <c r="O718" t="s">
        <v>447</v>
      </c>
      <c r="P718">
        <v>2022</v>
      </c>
    </row>
    <row r="719" spans="15:16" x14ac:dyDescent="0.3">
      <c r="O719" t="s">
        <v>330</v>
      </c>
      <c r="P719">
        <v>2022</v>
      </c>
    </row>
    <row r="720" spans="15:16" x14ac:dyDescent="0.3">
      <c r="O720" t="s">
        <v>539</v>
      </c>
      <c r="P720">
        <v>2022</v>
      </c>
    </row>
    <row r="721" spans="15:16" x14ac:dyDescent="0.3">
      <c r="O721" t="s">
        <v>91</v>
      </c>
      <c r="P721">
        <v>2022</v>
      </c>
    </row>
    <row r="722" spans="15:16" x14ac:dyDescent="0.3">
      <c r="O722" t="s">
        <v>615</v>
      </c>
      <c r="P722">
        <v>2022</v>
      </c>
    </row>
    <row r="723" spans="15:16" x14ac:dyDescent="0.3">
      <c r="O723" t="s">
        <v>177</v>
      </c>
      <c r="P723">
        <v>2022</v>
      </c>
    </row>
    <row r="724" spans="15:16" x14ac:dyDescent="0.3">
      <c r="O724" t="s">
        <v>312</v>
      </c>
      <c r="P724">
        <v>2022</v>
      </c>
    </row>
    <row r="725" spans="15:16" x14ac:dyDescent="0.3">
      <c r="O725" t="s">
        <v>524</v>
      </c>
      <c r="P725">
        <v>2022</v>
      </c>
    </row>
    <row r="726" spans="15:16" x14ac:dyDescent="0.3">
      <c r="O726" t="s">
        <v>548</v>
      </c>
      <c r="P726">
        <v>2022</v>
      </c>
    </row>
    <row r="727" spans="15:16" x14ac:dyDescent="0.3">
      <c r="O727" t="s">
        <v>180</v>
      </c>
      <c r="P727">
        <v>2022</v>
      </c>
    </row>
    <row r="728" spans="15:16" x14ac:dyDescent="0.3">
      <c r="O728" t="s">
        <v>186</v>
      </c>
      <c r="P728">
        <v>2022</v>
      </c>
    </row>
    <row r="729" spans="15:16" x14ac:dyDescent="0.3">
      <c r="O729" t="s">
        <v>726</v>
      </c>
      <c r="P729">
        <v>2022</v>
      </c>
    </row>
    <row r="730" spans="15:16" x14ac:dyDescent="0.3">
      <c r="O730" t="s">
        <v>211</v>
      </c>
      <c r="P730">
        <v>2022</v>
      </c>
    </row>
    <row r="731" spans="15:16" x14ac:dyDescent="0.3">
      <c r="O731" t="s">
        <v>393</v>
      </c>
      <c r="P731">
        <v>2022</v>
      </c>
    </row>
    <row r="732" spans="15:16" x14ac:dyDescent="0.3">
      <c r="O732" t="s">
        <v>727</v>
      </c>
      <c r="P732">
        <v>2022</v>
      </c>
    </row>
    <row r="733" spans="15:16" x14ac:dyDescent="0.3">
      <c r="O733" t="s">
        <v>670</v>
      </c>
      <c r="P733">
        <v>2022</v>
      </c>
    </row>
    <row r="734" spans="15:16" x14ac:dyDescent="0.3">
      <c r="O734" t="s">
        <v>728</v>
      </c>
      <c r="P734">
        <v>2022</v>
      </c>
    </row>
    <row r="735" spans="15:16" x14ac:dyDescent="0.3">
      <c r="O735" t="s">
        <v>218</v>
      </c>
      <c r="P735">
        <v>2022</v>
      </c>
    </row>
    <row r="736" spans="15:16" x14ac:dyDescent="0.3">
      <c r="O736" t="s">
        <v>583</v>
      </c>
      <c r="P736">
        <v>2022</v>
      </c>
    </row>
    <row r="737" spans="15:16" x14ac:dyDescent="0.3">
      <c r="O737" t="s">
        <v>346</v>
      </c>
      <c r="P737">
        <v>2022</v>
      </c>
    </row>
    <row r="738" spans="15:16" x14ac:dyDescent="0.3">
      <c r="O738" t="s">
        <v>105</v>
      </c>
      <c r="P738">
        <v>2022</v>
      </c>
    </row>
    <row r="739" spans="15:16" x14ac:dyDescent="0.3">
      <c r="O739" t="s">
        <v>362</v>
      </c>
      <c r="P739">
        <v>2022</v>
      </c>
    </row>
    <row r="740" spans="15:16" x14ac:dyDescent="0.3">
      <c r="O740" t="s">
        <v>529</v>
      </c>
      <c r="P740">
        <v>2022</v>
      </c>
    </row>
    <row r="741" spans="15:16" x14ac:dyDescent="0.3">
      <c r="O741" t="s">
        <v>397</v>
      </c>
      <c r="P741">
        <v>2022</v>
      </c>
    </row>
    <row r="742" spans="15:16" x14ac:dyDescent="0.3">
      <c r="O742" t="s">
        <v>287</v>
      </c>
      <c r="P742">
        <v>2022</v>
      </c>
    </row>
    <row r="743" spans="15:16" x14ac:dyDescent="0.3">
      <c r="O743" t="s">
        <v>468</v>
      </c>
      <c r="P743">
        <v>2022</v>
      </c>
    </row>
    <row r="744" spans="15:16" x14ac:dyDescent="0.3">
      <c r="O744" t="s">
        <v>247</v>
      </c>
      <c r="P744">
        <v>2022</v>
      </c>
    </row>
    <row r="745" spans="15:16" x14ac:dyDescent="0.3">
      <c r="O745" t="s">
        <v>363</v>
      </c>
      <c r="P745">
        <v>2022</v>
      </c>
    </row>
    <row r="746" spans="15:16" x14ac:dyDescent="0.3">
      <c r="O746" t="s">
        <v>569</v>
      </c>
      <c r="P746">
        <v>2022</v>
      </c>
    </row>
    <row r="747" spans="15:16" x14ac:dyDescent="0.3">
      <c r="O747" t="s">
        <v>544</v>
      </c>
      <c r="P747">
        <v>2022</v>
      </c>
    </row>
    <row r="748" spans="15:16" x14ac:dyDescent="0.3">
      <c r="O748" t="s">
        <v>572</v>
      </c>
      <c r="P748">
        <v>2022</v>
      </c>
    </row>
    <row r="749" spans="15:16" x14ac:dyDescent="0.3">
      <c r="O749" t="s">
        <v>248</v>
      </c>
      <c r="P749">
        <v>2022</v>
      </c>
    </row>
    <row r="750" spans="15:16" x14ac:dyDescent="0.3">
      <c r="O750" t="s">
        <v>481</v>
      </c>
      <c r="P750">
        <v>2022</v>
      </c>
    </row>
    <row r="751" spans="15:16" x14ac:dyDescent="0.3">
      <c r="O751" t="s">
        <v>641</v>
      </c>
      <c r="P751">
        <v>2022</v>
      </c>
    </row>
    <row r="752" spans="15:16" x14ac:dyDescent="0.3">
      <c r="O752" t="s">
        <v>729</v>
      </c>
      <c r="P752">
        <v>2022</v>
      </c>
    </row>
    <row r="753" spans="15:16" x14ac:dyDescent="0.3">
      <c r="O753" t="s">
        <v>559</v>
      </c>
      <c r="P753">
        <v>2022</v>
      </c>
    </row>
    <row r="754" spans="15:16" x14ac:dyDescent="0.3">
      <c r="O754" t="s">
        <v>730</v>
      </c>
      <c r="P754">
        <v>2022</v>
      </c>
    </row>
    <row r="755" spans="15:16" x14ac:dyDescent="0.3">
      <c r="O755" t="s">
        <v>731</v>
      </c>
      <c r="P755">
        <v>2022</v>
      </c>
    </row>
    <row r="756" spans="15:16" x14ac:dyDescent="0.3">
      <c r="O756" t="s">
        <v>434</v>
      </c>
      <c r="P756">
        <v>2022</v>
      </c>
    </row>
    <row r="757" spans="15:16" x14ac:dyDescent="0.3">
      <c r="O757" t="s">
        <v>732</v>
      </c>
      <c r="P757">
        <v>2022</v>
      </c>
    </row>
    <row r="758" spans="15:16" x14ac:dyDescent="0.3">
      <c r="O758" t="s">
        <v>536</v>
      </c>
      <c r="P758">
        <v>2022</v>
      </c>
    </row>
    <row r="759" spans="15:16" x14ac:dyDescent="0.3">
      <c r="O759" t="s">
        <v>660</v>
      </c>
      <c r="P759">
        <v>2022</v>
      </c>
    </row>
    <row r="760" spans="15:16" x14ac:dyDescent="0.3">
      <c r="O760" t="s">
        <v>733</v>
      </c>
      <c r="P760">
        <v>2022</v>
      </c>
    </row>
    <row r="761" spans="15:16" x14ac:dyDescent="0.3">
      <c r="O761" t="s">
        <v>264</v>
      </c>
      <c r="P761">
        <v>2022</v>
      </c>
    </row>
    <row r="762" spans="15:16" x14ac:dyDescent="0.3">
      <c r="O762" t="s">
        <v>499</v>
      </c>
      <c r="P762">
        <v>2022</v>
      </c>
    </row>
    <row r="763" spans="15:16" x14ac:dyDescent="0.3">
      <c r="O763" t="s">
        <v>520</v>
      </c>
      <c r="P763">
        <v>2022</v>
      </c>
    </row>
    <row r="764" spans="15:16" x14ac:dyDescent="0.3">
      <c r="O764" t="s">
        <v>275</v>
      </c>
      <c r="P764">
        <v>2022</v>
      </c>
    </row>
    <row r="765" spans="15:16" x14ac:dyDescent="0.3">
      <c r="O765" t="s">
        <v>594</v>
      </c>
      <c r="P765">
        <v>2022</v>
      </c>
    </row>
    <row r="766" spans="15:16" x14ac:dyDescent="0.3">
      <c r="O766" t="s">
        <v>311</v>
      </c>
      <c r="P766">
        <v>2022</v>
      </c>
    </row>
    <row r="767" spans="15:16" x14ac:dyDescent="0.3">
      <c r="O767" t="s">
        <v>504</v>
      </c>
      <c r="P767">
        <v>2022</v>
      </c>
    </row>
    <row r="768" spans="15:16" x14ac:dyDescent="0.3">
      <c r="O768" t="s">
        <v>2</v>
      </c>
      <c r="P768">
        <v>2022</v>
      </c>
    </row>
    <row r="769" spans="15:16" x14ac:dyDescent="0.3">
      <c r="O769" t="s">
        <v>542</v>
      </c>
      <c r="P769">
        <v>2022</v>
      </c>
    </row>
    <row r="770" spans="15:16" x14ac:dyDescent="0.3">
      <c r="O770" t="s">
        <v>437</v>
      </c>
      <c r="P770">
        <v>2022</v>
      </c>
    </row>
    <row r="771" spans="15:16" x14ac:dyDescent="0.3">
      <c r="O771" t="s">
        <v>457</v>
      </c>
      <c r="P771">
        <v>2022</v>
      </c>
    </row>
    <row r="772" spans="15:16" x14ac:dyDescent="0.3">
      <c r="O772" t="s">
        <v>283</v>
      </c>
      <c r="P772">
        <v>2022</v>
      </c>
    </row>
    <row r="773" spans="15:16" x14ac:dyDescent="0.3">
      <c r="O773" t="s">
        <v>734</v>
      </c>
      <c r="P773">
        <v>2022</v>
      </c>
    </row>
    <row r="774" spans="15:16" x14ac:dyDescent="0.3">
      <c r="O774" t="s">
        <v>293</v>
      </c>
      <c r="P774">
        <v>2022</v>
      </c>
    </row>
    <row r="775" spans="15:16" x14ac:dyDescent="0.3">
      <c r="O775" t="s">
        <v>517</v>
      </c>
      <c r="P775">
        <v>2022</v>
      </c>
    </row>
    <row r="776" spans="15:16" x14ac:dyDescent="0.3">
      <c r="O776" t="s">
        <v>735</v>
      </c>
      <c r="P776">
        <v>2022</v>
      </c>
    </row>
    <row r="777" spans="15:16" x14ac:dyDescent="0.3">
      <c r="O777" t="s">
        <v>736</v>
      </c>
      <c r="P777">
        <v>2022</v>
      </c>
    </row>
    <row r="778" spans="15:16" x14ac:dyDescent="0.3">
      <c r="O778" t="s">
        <v>189</v>
      </c>
      <c r="P778">
        <v>2022</v>
      </c>
    </row>
    <row r="779" spans="15:16" x14ac:dyDescent="0.3">
      <c r="O779" t="s">
        <v>121</v>
      </c>
      <c r="P779">
        <v>2022</v>
      </c>
    </row>
    <row r="780" spans="15:16" x14ac:dyDescent="0.3">
      <c r="O780" t="s">
        <v>168</v>
      </c>
      <c r="P780">
        <v>2022</v>
      </c>
    </row>
    <row r="781" spans="15:16" x14ac:dyDescent="0.3">
      <c r="O781" t="s">
        <v>737</v>
      </c>
      <c r="P781">
        <v>2022</v>
      </c>
    </row>
    <row r="782" spans="15:16" x14ac:dyDescent="0.3">
      <c r="O782" t="s">
        <v>367</v>
      </c>
      <c r="P782">
        <v>2022</v>
      </c>
    </row>
    <row r="783" spans="15:16" x14ac:dyDescent="0.3">
      <c r="O783" t="s">
        <v>154</v>
      </c>
      <c r="P783">
        <v>2022</v>
      </c>
    </row>
    <row r="784" spans="15:16" x14ac:dyDescent="0.3">
      <c r="O784" t="s">
        <v>320</v>
      </c>
      <c r="P784">
        <v>2022</v>
      </c>
    </row>
    <row r="785" spans="15:16" x14ac:dyDescent="0.3">
      <c r="O785" t="s">
        <v>631</v>
      </c>
      <c r="P785">
        <v>2022</v>
      </c>
    </row>
    <row r="786" spans="15:16" x14ac:dyDescent="0.3">
      <c r="O786" t="s">
        <v>380</v>
      </c>
      <c r="P786">
        <v>2022</v>
      </c>
    </row>
    <row r="787" spans="15:16" x14ac:dyDescent="0.3">
      <c r="O787" t="s">
        <v>103</v>
      </c>
      <c r="P787">
        <v>2022</v>
      </c>
    </row>
    <row r="788" spans="15:16" x14ac:dyDescent="0.3">
      <c r="O788" t="s">
        <v>255</v>
      </c>
      <c r="P788">
        <v>2022</v>
      </c>
    </row>
    <row r="789" spans="15:16" x14ac:dyDescent="0.3">
      <c r="O789" t="s">
        <v>260</v>
      </c>
      <c r="P789">
        <v>2022</v>
      </c>
    </row>
    <row r="790" spans="15:16" x14ac:dyDescent="0.3">
      <c r="O790" t="s">
        <v>738</v>
      </c>
      <c r="P790">
        <v>2022</v>
      </c>
    </row>
    <row r="791" spans="15:16" x14ac:dyDescent="0.3">
      <c r="O791" t="s">
        <v>506</v>
      </c>
      <c r="P791">
        <v>2022</v>
      </c>
    </row>
    <row r="792" spans="15:16" x14ac:dyDescent="0.3">
      <c r="O792" t="s">
        <v>739</v>
      </c>
      <c r="P792">
        <v>2022</v>
      </c>
    </row>
    <row r="793" spans="15:16" x14ac:dyDescent="0.3">
      <c r="O793" t="s">
        <v>590</v>
      </c>
      <c r="P793">
        <v>2022</v>
      </c>
    </row>
    <row r="794" spans="15:16" x14ac:dyDescent="0.3">
      <c r="O794" t="s">
        <v>582</v>
      </c>
      <c r="P794">
        <v>2022</v>
      </c>
    </row>
    <row r="795" spans="15:16" x14ac:dyDescent="0.3">
      <c r="O795" t="s">
        <v>740</v>
      </c>
      <c r="P795">
        <v>2022</v>
      </c>
    </row>
    <row r="796" spans="15:16" x14ac:dyDescent="0.3">
      <c r="O796" t="s">
        <v>252</v>
      </c>
      <c r="P796">
        <v>2022</v>
      </c>
    </row>
    <row r="797" spans="15:16" x14ac:dyDescent="0.3">
      <c r="O797" t="s">
        <v>741</v>
      </c>
      <c r="P797">
        <v>2022</v>
      </c>
    </row>
    <row r="798" spans="15:16" x14ac:dyDescent="0.3">
      <c r="O798" t="s">
        <v>567</v>
      </c>
      <c r="P798">
        <v>2022</v>
      </c>
    </row>
    <row r="799" spans="15:16" x14ac:dyDescent="0.3">
      <c r="O799" t="s">
        <v>277</v>
      </c>
      <c r="P799">
        <v>2022</v>
      </c>
    </row>
    <row r="800" spans="15:16" x14ac:dyDescent="0.3">
      <c r="O800" t="s">
        <v>226</v>
      </c>
      <c r="P800">
        <v>2022</v>
      </c>
    </row>
    <row r="801" spans="15:16" x14ac:dyDescent="0.3">
      <c r="O801" t="s">
        <v>742</v>
      </c>
      <c r="P801">
        <v>2022</v>
      </c>
    </row>
    <row r="802" spans="15:16" x14ac:dyDescent="0.3">
      <c r="O802" t="s">
        <v>743</v>
      </c>
      <c r="P802">
        <v>2022</v>
      </c>
    </row>
    <row r="803" spans="15:16" x14ac:dyDescent="0.3">
      <c r="O803" t="s">
        <v>496</v>
      </c>
      <c r="P803">
        <v>2022</v>
      </c>
    </row>
    <row r="804" spans="15:16" x14ac:dyDescent="0.3">
      <c r="O804" t="s">
        <v>495</v>
      </c>
      <c r="P804">
        <v>2022</v>
      </c>
    </row>
    <row r="805" spans="15:16" x14ac:dyDescent="0.3">
      <c r="O805" t="s">
        <v>417</v>
      </c>
      <c r="P805">
        <v>2022</v>
      </c>
    </row>
    <row r="806" spans="15:16" x14ac:dyDescent="0.3">
      <c r="O806" t="s">
        <v>365</v>
      </c>
      <c r="P806">
        <v>2022</v>
      </c>
    </row>
    <row r="807" spans="15:16" x14ac:dyDescent="0.3">
      <c r="O807" t="s">
        <v>400</v>
      </c>
      <c r="P807">
        <v>2022</v>
      </c>
    </row>
    <row r="808" spans="15:16" x14ac:dyDescent="0.3">
      <c r="O808" t="s">
        <v>209</v>
      </c>
      <c r="P808">
        <v>2022</v>
      </c>
    </row>
    <row r="809" spans="15:16" x14ac:dyDescent="0.3">
      <c r="O809" t="s">
        <v>477</v>
      </c>
      <c r="P809">
        <v>2022</v>
      </c>
    </row>
    <row r="810" spans="15:16" x14ac:dyDescent="0.3">
      <c r="O810" t="s">
        <v>744</v>
      </c>
      <c r="P810">
        <v>2022</v>
      </c>
    </row>
    <row r="811" spans="15:16" x14ac:dyDescent="0.3">
      <c r="O811" t="s">
        <v>332</v>
      </c>
      <c r="P811">
        <v>2022</v>
      </c>
    </row>
    <row r="812" spans="15:16" x14ac:dyDescent="0.3">
      <c r="O812" t="s">
        <v>254</v>
      </c>
      <c r="P812">
        <v>2022</v>
      </c>
    </row>
    <row r="813" spans="15:16" x14ac:dyDescent="0.3">
      <c r="O813" t="s">
        <v>562</v>
      </c>
      <c r="P813">
        <v>2022</v>
      </c>
    </row>
    <row r="814" spans="15:16" x14ac:dyDescent="0.3">
      <c r="O814" t="s">
        <v>231</v>
      </c>
      <c r="P814">
        <v>2022</v>
      </c>
    </row>
    <row r="815" spans="15:16" x14ac:dyDescent="0.3">
      <c r="O815" t="s">
        <v>505</v>
      </c>
      <c r="P815">
        <v>2022</v>
      </c>
    </row>
    <row r="816" spans="15:16" x14ac:dyDescent="0.3">
      <c r="O816" t="s">
        <v>368</v>
      </c>
      <c r="P816">
        <v>2022</v>
      </c>
    </row>
    <row r="817" spans="15:16" x14ac:dyDescent="0.3">
      <c r="O817" t="s">
        <v>49</v>
      </c>
      <c r="P817">
        <v>2022</v>
      </c>
    </row>
    <row r="818" spans="15:16" x14ac:dyDescent="0.3">
      <c r="O818" t="s">
        <v>414</v>
      </c>
      <c r="P818">
        <v>2022</v>
      </c>
    </row>
    <row r="819" spans="15:16" x14ac:dyDescent="0.3">
      <c r="O819" t="s">
        <v>521</v>
      </c>
      <c r="P819">
        <v>2022</v>
      </c>
    </row>
    <row r="820" spans="15:16" x14ac:dyDescent="0.3">
      <c r="O820" t="s">
        <v>503</v>
      </c>
      <c r="P820">
        <v>2022</v>
      </c>
    </row>
    <row r="821" spans="15:16" x14ac:dyDescent="0.3">
      <c r="O821" t="s">
        <v>288</v>
      </c>
      <c r="P821">
        <v>2022</v>
      </c>
    </row>
    <row r="822" spans="15:16" x14ac:dyDescent="0.3">
      <c r="O822" t="s">
        <v>197</v>
      </c>
      <c r="P822">
        <v>2022</v>
      </c>
    </row>
    <row r="823" spans="15:16" x14ac:dyDescent="0.3">
      <c r="O823" t="s">
        <v>129</v>
      </c>
      <c r="P823">
        <v>2022</v>
      </c>
    </row>
    <row r="824" spans="15:16" x14ac:dyDescent="0.3">
      <c r="O824" t="s">
        <v>39</v>
      </c>
      <c r="P824">
        <v>2022</v>
      </c>
    </row>
    <row r="825" spans="15:16" x14ac:dyDescent="0.3">
      <c r="O825" t="s">
        <v>745</v>
      </c>
      <c r="P825">
        <v>2022</v>
      </c>
    </row>
    <row r="826" spans="15:16" x14ac:dyDescent="0.3">
      <c r="O826" t="s">
        <v>173</v>
      </c>
      <c r="P826">
        <v>2022</v>
      </c>
    </row>
    <row r="827" spans="15:16" x14ac:dyDescent="0.3">
      <c r="O827" t="s">
        <v>665</v>
      </c>
      <c r="P827">
        <v>2022</v>
      </c>
    </row>
    <row r="828" spans="15:16" x14ac:dyDescent="0.3">
      <c r="O828" t="s">
        <v>95</v>
      </c>
      <c r="P828">
        <v>2022</v>
      </c>
    </row>
    <row r="829" spans="15:16" x14ac:dyDescent="0.3">
      <c r="O829" t="s">
        <v>358</v>
      </c>
      <c r="P829">
        <v>2022</v>
      </c>
    </row>
    <row r="830" spans="15:16" x14ac:dyDescent="0.3">
      <c r="O830" t="s">
        <v>746</v>
      </c>
      <c r="P830">
        <v>2022</v>
      </c>
    </row>
    <row r="831" spans="15:16" x14ac:dyDescent="0.3">
      <c r="O831" t="s">
        <v>385</v>
      </c>
      <c r="P831">
        <v>2022</v>
      </c>
    </row>
    <row r="832" spans="15:16" x14ac:dyDescent="0.3">
      <c r="O832" t="s">
        <v>438</v>
      </c>
      <c r="P832">
        <v>2022</v>
      </c>
    </row>
    <row r="833" spans="15:16" x14ac:dyDescent="0.3">
      <c r="O833" t="s">
        <v>482</v>
      </c>
      <c r="P833">
        <v>2022</v>
      </c>
    </row>
    <row r="834" spans="15:16" x14ac:dyDescent="0.3">
      <c r="O834" t="s">
        <v>672</v>
      </c>
      <c r="P834">
        <v>2022</v>
      </c>
    </row>
    <row r="835" spans="15:16" x14ac:dyDescent="0.3">
      <c r="O835" t="s">
        <v>747</v>
      </c>
      <c r="P835">
        <v>2022</v>
      </c>
    </row>
    <row r="836" spans="15:16" x14ac:dyDescent="0.3">
      <c r="O836" t="s">
        <v>748</v>
      </c>
      <c r="P836">
        <v>2022</v>
      </c>
    </row>
    <row r="837" spans="15:16" x14ac:dyDescent="0.3">
      <c r="O837" t="s">
        <v>256</v>
      </c>
      <c r="P837">
        <v>2022</v>
      </c>
    </row>
    <row r="838" spans="15:16" x14ac:dyDescent="0.3">
      <c r="O838" t="s">
        <v>193</v>
      </c>
      <c r="P838">
        <v>2022</v>
      </c>
    </row>
    <row r="839" spans="15:16" x14ac:dyDescent="0.3">
      <c r="O839" t="s">
        <v>152</v>
      </c>
      <c r="P839">
        <v>2022</v>
      </c>
    </row>
    <row r="840" spans="15:16" x14ac:dyDescent="0.3">
      <c r="O840" t="s">
        <v>749</v>
      </c>
      <c r="P840">
        <v>2022</v>
      </c>
    </row>
    <row r="841" spans="15:16" x14ac:dyDescent="0.3">
      <c r="O841" t="s">
        <v>750</v>
      </c>
      <c r="P841">
        <v>2022</v>
      </c>
    </row>
    <row r="842" spans="15:16" x14ac:dyDescent="0.3">
      <c r="O842" t="s">
        <v>465</v>
      </c>
      <c r="P842">
        <v>2022</v>
      </c>
    </row>
    <row r="843" spans="15:16" x14ac:dyDescent="0.3">
      <c r="O843" t="s">
        <v>227</v>
      </c>
      <c r="P843">
        <v>2022</v>
      </c>
    </row>
    <row r="844" spans="15:16" x14ac:dyDescent="0.3">
      <c r="O844" t="s">
        <v>166</v>
      </c>
      <c r="P844">
        <v>2022</v>
      </c>
    </row>
    <row r="845" spans="15:16" x14ac:dyDescent="0.3">
      <c r="O845" t="s">
        <v>751</v>
      </c>
      <c r="P845">
        <v>2022</v>
      </c>
    </row>
    <row r="846" spans="15:16" x14ac:dyDescent="0.3">
      <c r="O846" t="s">
        <v>595</v>
      </c>
      <c r="P846">
        <v>2022</v>
      </c>
    </row>
    <row r="847" spans="15:16" x14ac:dyDescent="0.3">
      <c r="O847" t="s">
        <v>752</v>
      </c>
      <c r="P847">
        <v>2022</v>
      </c>
    </row>
    <row r="848" spans="15:16" x14ac:dyDescent="0.3">
      <c r="O848" t="s">
        <v>753</v>
      </c>
      <c r="P848">
        <v>2022</v>
      </c>
    </row>
    <row r="849" spans="15:16" x14ac:dyDescent="0.3">
      <c r="O849" t="s">
        <v>754</v>
      </c>
      <c r="P849">
        <v>2022</v>
      </c>
    </row>
    <row r="850" spans="15:16" x14ac:dyDescent="0.3">
      <c r="O850" t="s">
        <v>301</v>
      </c>
      <c r="P850">
        <v>2022</v>
      </c>
    </row>
    <row r="851" spans="15:16" x14ac:dyDescent="0.3">
      <c r="O851" t="s">
        <v>686</v>
      </c>
      <c r="P851">
        <v>2022</v>
      </c>
    </row>
    <row r="852" spans="15:16" x14ac:dyDescent="0.3">
      <c r="O852" t="s">
        <v>511</v>
      </c>
      <c r="P852">
        <v>2022</v>
      </c>
    </row>
    <row r="853" spans="15:16" x14ac:dyDescent="0.3">
      <c r="O853" t="s">
        <v>223</v>
      </c>
      <c r="P853">
        <v>2022</v>
      </c>
    </row>
    <row r="854" spans="15:16" x14ac:dyDescent="0.3">
      <c r="O854" t="s">
        <v>755</v>
      </c>
      <c r="P854">
        <v>2022</v>
      </c>
    </row>
    <row r="855" spans="15:16" x14ac:dyDescent="0.3">
      <c r="O855" t="s">
        <v>65</v>
      </c>
      <c r="P855">
        <v>2022</v>
      </c>
    </row>
    <row r="856" spans="15:16" x14ac:dyDescent="0.3">
      <c r="O856" t="s">
        <v>561</v>
      </c>
      <c r="P856">
        <v>2022</v>
      </c>
    </row>
    <row r="857" spans="15:16" x14ac:dyDescent="0.3">
      <c r="O857" t="s">
        <v>756</v>
      </c>
      <c r="P857">
        <v>2022</v>
      </c>
    </row>
    <row r="858" spans="15:16" x14ac:dyDescent="0.3">
      <c r="O858" t="s">
        <v>327</v>
      </c>
      <c r="P858">
        <v>2022</v>
      </c>
    </row>
    <row r="859" spans="15:16" x14ac:dyDescent="0.3">
      <c r="O859" t="s">
        <v>757</v>
      </c>
      <c r="P859">
        <v>2022</v>
      </c>
    </row>
    <row r="860" spans="15:16" x14ac:dyDescent="0.3">
      <c r="O860" t="s">
        <v>484</v>
      </c>
      <c r="P860">
        <v>2022</v>
      </c>
    </row>
    <row r="861" spans="15:16" x14ac:dyDescent="0.3">
      <c r="O861" t="s">
        <v>405</v>
      </c>
      <c r="P861">
        <v>2022</v>
      </c>
    </row>
    <row r="862" spans="15:16" x14ac:dyDescent="0.3">
      <c r="O862" t="s">
        <v>758</v>
      </c>
      <c r="P862">
        <v>2022</v>
      </c>
    </row>
    <row r="863" spans="15:16" x14ac:dyDescent="0.3">
      <c r="O863" t="s">
        <v>627</v>
      </c>
      <c r="P863">
        <v>2022</v>
      </c>
    </row>
    <row r="864" spans="15:16" x14ac:dyDescent="0.3">
      <c r="O864" t="s">
        <v>585</v>
      </c>
      <c r="P864">
        <v>2022</v>
      </c>
    </row>
    <row r="865" spans="15:16" x14ac:dyDescent="0.3">
      <c r="O865" t="s">
        <v>374</v>
      </c>
      <c r="P865">
        <v>2022</v>
      </c>
    </row>
    <row r="866" spans="15:16" x14ac:dyDescent="0.3">
      <c r="O866" t="s">
        <v>25</v>
      </c>
      <c r="P866">
        <v>2022</v>
      </c>
    </row>
    <row r="867" spans="15:16" x14ac:dyDescent="0.3">
      <c r="O867" t="s">
        <v>267</v>
      </c>
      <c r="P867">
        <v>2022</v>
      </c>
    </row>
    <row r="868" spans="15:16" x14ac:dyDescent="0.3">
      <c r="O868" t="s">
        <v>759</v>
      </c>
      <c r="P868">
        <v>2022</v>
      </c>
    </row>
    <row r="869" spans="15:16" x14ac:dyDescent="0.3">
      <c r="O869" t="s">
        <v>203</v>
      </c>
      <c r="P869">
        <v>2022</v>
      </c>
    </row>
    <row r="870" spans="15:16" x14ac:dyDescent="0.3">
      <c r="O870" t="s">
        <v>451</v>
      </c>
      <c r="P870">
        <v>2022</v>
      </c>
    </row>
    <row r="871" spans="15:16" x14ac:dyDescent="0.3">
      <c r="O871" t="s">
        <v>666</v>
      </c>
      <c r="P871">
        <v>2022</v>
      </c>
    </row>
    <row r="872" spans="15:16" x14ac:dyDescent="0.3">
      <c r="O872" t="s">
        <v>34</v>
      </c>
      <c r="P872">
        <v>2022</v>
      </c>
    </row>
    <row r="873" spans="15:16" x14ac:dyDescent="0.3">
      <c r="O873" t="s">
        <v>410</v>
      </c>
      <c r="P873">
        <v>2022</v>
      </c>
    </row>
    <row r="874" spans="15:16" x14ac:dyDescent="0.3">
      <c r="O874" t="s">
        <v>470</v>
      </c>
      <c r="P874">
        <v>2022</v>
      </c>
    </row>
    <row r="875" spans="15:16" x14ac:dyDescent="0.3">
      <c r="O875" t="s">
        <v>760</v>
      </c>
      <c r="P875">
        <v>2022</v>
      </c>
    </row>
    <row r="876" spans="15:16" x14ac:dyDescent="0.3">
      <c r="O876" t="s">
        <v>391</v>
      </c>
      <c r="P876">
        <v>2022</v>
      </c>
    </row>
    <row r="877" spans="15:16" x14ac:dyDescent="0.3">
      <c r="O877" t="s">
        <v>421</v>
      </c>
      <c r="P877">
        <v>2022</v>
      </c>
    </row>
    <row r="878" spans="15:16" x14ac:dyDescent="0.3">
      <c r="O878" t="s">
        <v>156</v>
      </c>
      <c r="P878">
        <v>2022</v>
      </c>
    </row>
    <row r="879" spans="15:16" x14ac:dyDescent="0.3">
      <c r="O879" t="s">
        <v>761</v>
      </c>
      <c r="P879">
        <v>2022</v>
      </c>
    </row>
    <row r="880" spans="15:16" x14ac:dyDescent="0.3">
      <c r="O880" t="s">
        <v>350</v>
      </c>
      <c r="P880">
        <v>2022</v>
      </c>
    </row>
    <row r="881" spans="15:16" x14ac:dyDescent="0.3">
      <c r="O881" t="s">
        <v>452</v>
      </c>
      <c r="P881">
        <v>2022</v>
      </c>
    </row>
    <row r="882" spans="15:16" x14ac:dyDescent="0.3">
      <c r="O882" t="s">
        <v>314</v>
      </c>
      <c r="P882">
        <v>2022</v>
      </c>
    </row>
    <row r="883" spans="15:16" x14ac:dyDescent="0.3">
      <c r="O883" t="s">
        <v>762</v>
      </c>
      <c r="P883">
        <v>2022</v>
      </c>
    </row>
    <row r="884" spans="15:16" x14ac:dyDescent="0.3">
      <c r="O884" t="s">
        <v>626</v>
      </c>
      <c r="P884">
        <v>2022</v>
      </c>
    </row>
    <row r="885" spans="15:16" x14ac:dyDescent="0.3">
      <c r="O885" t="s">
        <v>463</v>
      </c>
      <c r="P885">
        <v>2022</v>
      </c>
    </row>
    <row r="886" spans="15:16" x14ac:dyDescent="0.3">
      <c r="O886" t="s">
        <v>217</v>
      </c>
      <c r="P886">
        <v>2022</v>
      </c>
    </row>
    <row r="887" spans="15:16" x14ac:dyDescent="0.3">
      <c r="O887" t="s">
        <v>339</v>
      </c>
      <c r="P887">
        <v>2022</v>
      </c>
    </row>
    <row r="888" spans="15:16" x14ac:dyDescent="0.3">
      <c r="O888" t="s">
        <v>250</v>
      </c>
      <c r="P888">
        <v>2022</v>
      </c>
    </row>
    <row r="889" spans="15:16" x14ac:dyDescent="0.3">
      <c r="O889" t="s">
        <v>185</v>
      </c>
      <c r="P889">
        <v>2022</v>
      </c>
    </row>
    <row r="890" spans="15:16" x14ac:dyDescent="0.3">
      <c r="O890" t="s">
        <v>763</v>
      </c>
      <c r="P890">
        <v>2022</v>
      </c>
    </row>
    <row r="891" spans="15:16" x14ac:dyDescent="0.3">
      <c r="O891" t="s">
        <v>764</v>
      </c>
      <c r="P891">
        <v>2022</v>
      </c>
    </row>
    <row r="892" spans="15:16" x14ac:dyDescent="0.3">
      <c r="O892" t="s">
        <v>589</v>
      </c>
      <c r="P892">
        <v>2022</v>
      </c>
    </row>
    <row r="893" spans="15:16" x14ac:dyDescent="0.3">
      <c r="O893" t="s">
        <v>678</v>
      </c>
      <c r="P893">
        <v>2022</v>
      </c>
    </row>
    <row r="894" spans="15:16" x14ac:dyDescent="0.3">
      <c r="O894" t="s">
        <v>528</v>
      </c>
      <c r="P894">
        <v>2022</v>
      </c>
    </row>
    <row r="895" spans="15:16" x14ac:dyDescent="0.3">
      <c r="O895" t="s">
        <v>765</v>
      </c>
      <c r="P895">
        <v>2022</v>
      </c>
    </row>
    <row r="896" spans="15:16" x14ac:dyDescent="0.3">
      <c r="O896" t="s">
        <v>466</v>
      </c>
      <c r="P896">
        <v>2022</v>
      </c>
    </row>
    <row r="897" spans="15:16" x14ac:dyDescent="0.3">
      <c r="O897" t="s">
        <v>241</v>
      </c>
      <c r="P897">
        <v>2022</v>
      </c>
    </row>
    <row r="898" spans="15:16" x14ac:dyDescent="0.3">
      <c r="O898" t="s">
        <v>766</v>
      </c>
      <c r="P898">
        <v>2022</v>
      </c>
    </row>
    <row r="899" spans="15:16" x14ac:dyDescent="0.3">
      <c r="O899" t="s">
        <v>509</v>
      </c>
      <c r="P899">
        <v>2022</v>
      </c>
    </row>
    <row r="900" spans="15:16" x14ac:dyDescent="0.3">
      <c r="O900" t="s">
        <v>644</v>
      </c>
      <c r="P900">
        <v>2022</v>
      </c>
    </row>
    <row r="901" spans="15:16" x14ac:dyDescent="0.3">
      <c r="O901" t="s">
        <v>652</v>
      </c>
      <c r="P901">
        <v>2022</v>
      </c>
    </row>
    <row r="902" spans="15:16" x14ac:dyDescent="0.3">
      <c r="O902" t="s">
        <v>251</v>
      </c>
      <c r="P902">
        <v>2022</v>
      </c>
    </row>
    <row r="903" spans="15:16" x14ac:dyDescent="0.3">
      <c r="O903" t="s">
        <v>384</v>
      </c>
      <c r="P903">
        <v>2022</v>
      </c>
    </row>
    <row r="904" spans="15:16" x14ac:dyDescent="0.3">
      <c r="O904" t="s">
        <v>685</v>
      </c>
      <c r="P904">
        <v>2022</v>
      </c>
    </row>
    <row r="905" spans="15:16" x14ac:dyDescent="0.3">
      <c r="O905" t="s">
        <v>162</v>
      </c>
      <c r="P905">
        <v>2022</v>
      </c>
    </row>
    <row r="906" spans="15:16" x14ac:dyDescent="0.3">
      <c r="O906" t="s">
        <v>580</v>
      </c>
      <c r="P906">
        <v>2022</v>
      </c>
    </row>
    <row r="907" spans="15:16" x14ac:dyDescent="0.3">
      <c r="O907" t="s">
        <v>658</v>
      </c>
      <c r="P907">
        <v>2022</v>
      </c>
    </row>
    <row r="908" spans="15:16" x14ac:dyDescent="0.3">
      <c r="O908" t="s">
        <v>767</v>
      </c>
      <c r="P908">
        <v>2022</v>
      </c>
    </row>
    <row r="909" spans="15:16" x14ac:dyDescent="0.3">
      <c r="O909" t="s">
        <v>61</v>
      </c>
      <c r="P909">
        <v>2022</v>
      </c>
    </row>
    <row r="910" spans="15:16" x14ac:dyDescent="0.3">
      <c r="O910" t="s">
        <v>125</v>
      </c>
      <c r="P910">
        <v>2022</v>
      </c>
    </row>
    <row r="911" spans="15:16" x14ac:dyDescent="0.3">
      <c r="O911" t="s">
        <v>689</v>
      </c>
      <c r="P911">
        <v>2022</v>
      </c>
    </row>
    <row r="912" spans="15:16" x14ac:dyDescent="0.3">
      <c r="O912" t="s">
        <v>768</v>
      </c>
      <c r="P912">
        <v>2022</v>
      </c>
    </row>
    <row r="913" spans="15:16" x14ac:dyDescent="0.3">
      <c r="O913" t="s">
        <v>488</v>
      </c>
      <c r="P913">
        <v>2022</v>
      </c>
    </row>
    <row r="914" spans="15:16" x14ac:dyDescent="0.3">
      <c r="O914" t="s">
        <v>240</v>
      </c>
      <c r="P914">
        <v>2022</v>
      </c>
    </row>
    <row r="915" spans="15:16" x14ac:dyDescent="0.3">
      <c r="O915" t="s">
        <v>769</v>
      </c>
      <c r="P915">
        <v>2022</v>
      </c>
    </row>
    <row r="916" spans="15:16" x14ac:dyDescent="0.3">
      <c r="O916" t="s">
        <v>770</v>
      </c>
      <c r="P916">
        <v>2022</v>
      </c>
    </row>
    <row r="917" spans="15:16" x14ac:dyDescent="0.3">
      <c r="O917" t="s">
        <v>44</v>
      </c>
      <c r="P917">
        <v>2022</v>
      </c>
    </row>
    <row r="918" spans="15:16" x14ac:dyDescent="0.3">
      <c r="O918" t="s">
        <v>404</v>
      </c>
      <c r="P918">
        <v>2022</v>
      </c>
    </row>
    <row r="919" spans="15:16" x14ac:dyDescent="0.3">
      <c r="O919" t="s">
        <v>340</v>
      </c>
      <c r="P919">
        <v>2022</v>
      </c>
    </row>
    <row r="920" spans="15:16" x14ac:dyDescent="0.3">
      <c r="O920" t="s">
        <v>392</v>
      </c>
      <c r="P920">
        <v>2022</v>
      </c>
    </row>
    <row r="921" spans="15:16" x14ac:dyDescent="0.3">
      <c r="O921" t="s">
        <v>549</v>
      </c>
      <c r="P921">
        <v>2022</v>
      </c>
    </row>
    <row r="922" spans="15:16" x14ac:dyDescent="0.3">
      <c r="O922" t="s">
        <v>376</v>
      </c>
      <c r="P922">
        <v>2022</v>
      </c>
    </row>
    <row r="923" spans="15:16" x14ac:dyDescent="0.3">
      <c r="O923" t="s">
        <v>557</v>
      </c>
      <c r="P923">
        <v>2022</v>
      </c>
    </row>
    <row r="924" spans="15:16" x14ac:dyDescent="0.3">
      <c r="O924" t="s">
        <v>127</v>
      </c>
      <c r="P924">
        <v>2022</v>
      </c>
    </row>
    <row r="925" spans="15:16" x14ac:dyDescent="0.3">
      <c r="O925" t="s">
        <v>472</v>
      </c>
      <c r="P925">
        <v>2022</v>
      </c>
    </row>
    <row r="926" spans="15:16" x14ac:dyDescent="0.3">
      <c r="O926" t="s">
        <v>395</v>
      </c>
      <c r="P926">
        <v>2022</v>
      </c>
    </row>
    <row r="927" spans="15:16" x14ac:dyDescent="0.3">
      <c r="O927" t="s">
        <v>459</v>
      </c>
      <c r="P927">
        <v>2022</v>
      </c>
    </row>
    <row r="928" spans="15:16" x14ac:dyDescent="0.3">
      <c r="O928" t="s">
        <v>547</v>
      </c>
      <c r="P928">
        <v>2022</v>
      </c>
    </row>
    <row r="929" spans="15:16" x14ac:dyDescent="0.3">
      <c r="O929" t="s">
        <v>673</v>
      </c>
      <c r="P929">
        <v>2022</v>
      </c>
    </row>
    <row r="930" spans="15:16" x14ac:dyDescent="0.3">
      <c r="O930" t="s">
        <v>245</v>
      </c>
      <c r="P930">
        <v>2022</v>
      </c>
    </row>
    <row r="931" spans="15:16" x14ac:dyDescent="0.3">
      <c r="O931" t="s">
        <v>364</v>
      </c>
      <c r="P931">
        <v>2022</v>
      </c>
    </row>
    <row r="932" spans="15:16" x14ac:dyDescent="0.3">
      <c r="O932" t="s">
        <v>771</v>
      </c>
      <c r="P932">
        <v>2022</v>
      </c>
    </row>
    <row r="933" spans="15:16" x14ac:dyDescent="0.3">
      <c r="O933" t="s">
        <v>638</v>
      </c>
      <c r="P933">
        <v>2022</v>
      </c>
    </row>
    <row r="934" spans="15:16" x14ac:dyDescent="0.3">
      <c r="O934" t="s">
        <v>571</v>
      </c>
      <c r="P934">
        <v>2022</v>
      </c>
    </row>
    <row r="935" spans="15:16" x14ac:dyDescent="0.3">
      <c r="O935" t="s">
        <v>772</v>
      </c>
      <c r="P935">
        <v>2022</v>
      </c>
    </row>
    <row r="936" spans="15:16" x14ac:dyDescent="0.3">
      <c r="O936" t="s">
        <v>335</v>
      </c>
      <c r="P936">
        <v>2022</v>
      </c>
    </row>
    <row r="937" spans="15:16" x14ac:dyDescent="0.3">
      <c r="O937" t="s">
        <v>773</v>
      </c>
      <c r="P937">
        <v>2022</v>
      </c>
    </row>
    <row r="938" spans="15:16" x14ac:dyDescent="0.3">
      <c r="O938" t="s">
        <v>774</v>
      </c>
      <c r="P938">
        <v>2022</v>
      </c>
    </row>
    <row r="939" spans="15:16" x14ac:dyDescent="0.3">
      <c r="O939" t="s">
        <v>274</v>
      </c>
      <c r="P939">
        <v>2022</v>
      </c>
    </row>
    <row r="940" spans="15:16" x14ac:dyDescent="0.3">
      <c r="O940" t="s">
        <v>304</v>
      </c>
      <c r="P940">
        <v>2022</v>
      </c>
    </row>
    <row r="941" spans="15:16" x14ac:dyDescent="0.3">
      <c r="O941" t="s">
        <v>244</v>
      </c>
      <c r="P941">
        <v>2022</v>
      </c>
    </row>
    <row r="942" spans="15:16" x14ac:dyDescent="0.3">
      <c r="O942" t="s">
        <v>160</v>
      </c>
      <c r="P942">
        <v>2022</v>
      </c>
    </row>
    <row r="943" spans="15:16" x14ac:dyDescent="0.3">
      <c r="O943" t="s">
        <v>591</v>
      </c>
      <c r="P943">
        <v>2022</v>
      </c>
    </row>
    <row r="944" spans="15:16" x14ac:dyDescent="0.3">
      <c r="O944" t="s">
        <v>597</v>
      </c>
      <c r="P944">
        <v>2022</v>
      </c>
    </row>
    <row r="945" spans="15:16" x14ac:dyDescent="0.3">
      <c r="O945" t="s">
        <v>323</v>
      </c>
      <c r="P945">
        <v>2022</v>
      </c>
    </row>
    <row r="946" spans="15:16" x14ac:dyDescent="0.3">
      <c r="O946" t="s">
        <v>775</v>
      </c>
      <c r="P946">
        <v>2022</v>
      </c>
    </row>
    <row r="947" spans="15:16" x14ac:dyDescent="0.3">
      <c r="O947" t="s">
        <v>667</v>
      </c>
      <c r="P947">
        <v>2022</v>
      </c>
    </row>
    <row r="948" spans="15:16" x14ac:dyDescent="0.3">
      <c r="O948" t="s">
        <v>107</v>
      </c>
      <c r="P948">
        <v>2022</v>
      </c>
    </row>
    <row r="949" spans="15:16" x14ac:dyDescent="0.3">
      <c r="O949" t="s">
        <v>497</v>
      </c>
      <c r="P949">
        <v>2022</v>
      </c>
    </row>
    <row r="950" spans="15:16" x14ac:dyDescent="0.3">
      <c r="O950" t="s">
        <v>776</v>
      </c>
      <c r="P950">
        <v>2022</v>
      </c>
    </row>
    <row r="951" spans="15:16" x14ac:dyDescent="0.3">
      <c r="O951" t="s">
        <v>341</v>
      </c>
      <c r="P951">
        <v>2022</v>
      </c>
    </row>
    <row r="952" spans="15:16" x14ac:dyDescent="0.3">
      <c r="O952" t="s">
        <v>624</v>
      </c>
      <c r="P952">
        <v>2022</v>
      </c>
    </row>
    <row r="953" spans="15:16" x14ac:dyDescent="0.3">
      <c r="O953" t="s">
        <v>777</v>
      </c>
      <c r="P953">
        <v>2022</v>
      </c>
    </row>
    <row r="954" spans="15:16" x14ac:dyDescent="0.3">
      <c r="O954" t="s">
        <v>778</v>
      </c>
      <c r="P954">
        <v>2022</v>
      </c>
    </row>
    <row r="955" spans="15:16" x14ac:dyDescent="0.3">
      <c r="O955" t="s">
        <v>430</v>
      </c>
      <c r="P955">
        <v>2022</v>
      </c>
    </row>
    <row r="956" spans="15:16" x14ac:dyDescent="0.3">
      <c r="O956" t="s">
        <v>191</v>
      </c>
      <c r="P956">
        <v>2022</v>
      </c>
    </row>
    <row r="957" spans="15:16" x14ac:dyDescent="0.3">
      <c r="O957" t="s">
        <v>779</v>
      </c>
      <c r="P957">
        <v>2022</v>
      </c>
    </row>
    <row r="958" spans="15:16" x14ac:dyDescent="0.3">
      <c r="O958" t="s">
        <v>780</v>
      </c>
      <c r="P958">
        <v>2022</v>
      </c>
    </row>
    <row r="959" spans="15:16" x14ac:dyDescent="0.3">
      <c r="O959" t="s">
        <v>313</v>
      </c>
      <c r="P959">
        <v>2022</v>
      </c>
    </row>
    <row r="960" spans="15:16" x14ac:dyDescent="0.3">
      <c r="O960" t="s">
        <v>781</v>
      </c>
      <c r="P960">
        <v>2022</v>
      </c>
    </row>
    <row r="961" spans="15:16" x14ac:dyDescent="0.3">
      <c r="O961" t="s">
        <v>195</v>
      </c>
      <c r="P961">
        <v>2022</v>
      </c>
    </row>
    <row r="962" spans="15:16" x14ac:dyDescent="0.3">
      <c r="O962" t="s">
        <v>782</v>
      </c>
      <c r="P962">
        <v>2022</v>
      </c>
    </row>
    <row r="963" spans="15:16" x14ac:dyDescent="0.3">
      <c r="O963" t="s">
        <v>586</v>
      </c>
      <c r="P963">
        <v>2022</v>
      </c>
    </row>
    <row r="964" spans="15:16" x14ac:dyDescent="0.3">
      <c r="O964" t="s">
        <v>474</v>
      </c>
      <c r="P964">
        <v>2022</v>
      </c>
    </row>
    <row r="965" spans="15:16" x14ac:dyDescent="0.3">
      <c r="O965" t="s">
        <v>516</v>
      </c>
      <c r="P965">
        <v>2022</v>
      </c>
    </row>
    <row r="966" spans="15:16" x14ac:dyDescent="0.3">
      <c r="O966" t="s">
        <v>280</v>
      </c>
      <c r="P966">
        <v>2022</v>
      </c>
    </row>
    <row r="967" spans="15:16" x14ac:dyDescent="0.3">
      <c r="O967" t="s">
        <v>613</v>
      </c>
      <c r="P967">
        <v>2022</v>
      </c>
    </row>
    <row r="968" spans="15:16" x14ac:dyDescent="0.3">
      <c r="O968" t="s">
        <v>543</v>
      </c>
      <c r="P968">
        <v>2022</v>
      </c>
    </row>
    <row r="969" spans="15:16" x14ac:dyDescent="0.3">
      <c r="O969" t="s">
        <v>622</v>
      </c>
      <c r="P969">
        <v>2022</v>
      </c>
    </row>
    <row r="970" spans="15:16" x14ac:dyDescent="0.3">
      <c r="O970" t="s">
        <v>213</v>
      </c>
      <c r="P970">
        <v>2022</v>
      </c>
    </row>
    <row r="971" spans="15:16" x14ac:dyDescent="0.3">
      <c r="O971" t="s">
        <v>429</v>
      </c>
      <c r="P971">
        <v>2022</v>
      </c>
    </row>
    <row r="972" spans="15:16" x14ac:dyDescent="0.3">
      <c r="O972" t="s">
        <v>419</v>
      </c>
      <c r="P972">
        <v>2022</v>
      </c>
    </row>
    <row r="973" spans="15:16" x14ac:dyDescent="0.3">
      <c r="O973" t="s">
        <v>783</v>
      </c>
      <c r="P973">
        <v>2022</v>
      </c>
    </row>
    <row r="974" spans="15:16" x14ac:dyDescent="0.3">
      <c r="O974" t="s">
        <v>682</v>
      </c>
      <c r="P974">
        <v>2022</v>
      </c>
    </row>
    <row r="975" spans="15:16" x14ac:dyDescent="0.3">
      <c r="O975" t="s">
        <v>268</v>
      </c>
      <c r="P975">
        <v>2022</v>
      </c>
    </row>
    <row r="976" spans="15:16" x14ac:dyDescent="0.3">
      <c r="O976" t="s">
        <v>784</v>
      </c>
      <c r="P976">
        <v>2022</v>
      </c>
    </row>
    <row r="977" spans="15:16" x14ac:dyDescent="0.3">
      <c r="O977" t="s">
        <v>640</v>
      </c>
      <c r="P977">
        <v>2022</v>
      </c>
    </row>
    <row r="978" spans="15:16" x14ac:dyDescent="0.3">
      <c r="O978" t="s">
        <v>73</v>
      </c>
      <c r="P978">
        <v>2022</v>
      </c>
    </row>
    <row r="979" spans="15:16" x14ac:dyDescent="0.3">
      <c r="O979" t="s">
        <v>443</v>
      </c>
      <c r="P979">
        <v>2022</v>
      </c>
    </row>
    <row r="980" spans="15:16" x14ac:dyDescent="0.3">
      <c r="O980" t="s">
        <v>485</v>
      </c>
      <c r="P980">
        <v>2022</v>
      </c>
    </row>
    <row r="981" spans="15:16" x14ac:dyDescent="0.3">
      <c r="O981" t="s">
        <v>554</v>
      </c>
      <c r="P981">
        <v>2022</v>
      </c>
    </row>
    <row r="982" spans="15:16" x14ac:dyDescent="0.3">
      <c r="O982" t="s">
        <v>785</v>
      </c>
      <c r="P982">
        <v>2022</v>
      </c>
    </row>
    <row r="983" spans="15:16" x14ac:dyDescent="0.3">
      <c r="O983" t="s">
        <v>172</v>
      </c>
      <c r="P983">
        <v>2022</v>
      </c>
    </row>
    <row r="984" spans="15:16" x14ac:dyDescent="0.3">
      <c r="O984" t="s">
        <v>253</v>
      </c>
      <c r="P984">
        <v>2022</v>
      </c>
    </row>
    <row r="985" spans="15:16" x14ac:dyDescent="0.3">
      <c r="O985" t="s">
        <v>786</v>
      </c>
      <c r="P985">
        <v>2022</v>
      </c>
    </row>
    <row r="986" spans="15:16" x14ac:dyDescent="0.3">
      <c r="O986" t="s">
        <v>693</v>
      </c>
      <c r="P986">
        <v>2022</v>
      </c>
    </row>
    <row r="987" spans="15:16" x14ac:dyDescent="0.3">
      <c r="O987" t="s">
        <v>294</v>
      </c>
      <c r="P987">
        <v>2022</v>
      </c>
    </row>
    <row r="988" spans="15:16" x14ac:dyDescent="0.3">
      <c r="O988" t="s">
        <v>389</v>
      </c>
      <c r="P988">
        <v>2022</v>
      </c>
    </row>
    <row r="989" spans="15:16" x14ac:dyDescent="0.3">
      <c r="O989" t="s">
        <v>272</v>
      </c>
      <c r="P989">
        <v>2022</v>
      </c>
    </row>
    <row r="990" spans="15:16" x14ac:dyDescent="0.3">
      <c r="O990" t="s">
        <v>297</v>
      </c>
      <c r="P990">
        <v>2022</v>
      </c>
    </row>
    <row r="991" spans="15:16" x14ac:dyDescent="0.3">
      <c r="O991" t="s">
        <v>684</v>
      </c>
      <c r="P991">
        <v>2022</v>
      </c>
    </row>
    <row r="992" spans="15:16" x14ac:dyDescent="0.3">
      <c r="O992" t="s">
        <v>276</v>
      </c>
      <c r="P992">
        <v>2022</v>
      </c>
    </row>
    <row r="993" spans="15:16" x14ac:dyDescent="0.3">
      <c r="O993" t="s">
        <v>584</v>
      </c>
      <c r="P993">
        <v>2022</v>
      </c>
    </row>
    <row r="994" spans="15:16" x14ac:dyDescent="0.3">
      <c r="O994" t="s">
        <v>787</v>
      </c>
      <c r="P994">
        <v>2022</v>
      </c>
    </row>
    <row r="995" spans="15:16" x14ac:dyDescent="0.3">
      <c r="O995" t="s">
        <v>206</v>
      </c>
      <c r="P995">
        <v>2022</v>
      </c>
    </row>
    <row r="996" spans="15:16" x14ac:dyDescent="0.3">
      <c r="O996" t="s">
        <v>639</v>
      </c>
      <c r="P996">
        <v>2022</v>
      </c>
    </row>
    <row r="997" spans="15:16" x14ac:dyDescent="0.3">
      <c r="O997" t="s">
        <v>292</v>
      </c>
      <c r="P997">
        <v>2022</v>
      </c>
    </row>
    <row r="998" spans="15:16" x14ac:dyDescent="0.3">
      <c r="O998" t="s">
        <v>788</v>
      </c>
      <c r="P998">
        <v>2022</v>
      </c>
    </row>
    <row r="999" spans="15:16" x14ac:dyDescent="0.3">
      <c r="O999" t="s">
        <v>789</v>
      </c>
      <c r="P999">
        <v>2022</v>
      </c>
    </row>
    <row r="1000" spans="15:16" x14ac:dyDescent="0.3">
      <c r="O1000" t="s">
        <v>115</v>
      </c>
      <c r="P1000">
        <v>2022</v>
      </c>
    </row>
    <row r="1001" spans="15:16" x14ac:dyDescent="0.3">
      <c r="O1001" t="s">
        <v>566</v>
      </c>
      <c r="P1001">
        <v>2022</v>
      </c>
    </row>
    <row r="1002" spans="15:16" x14ac:dyDescent="0.3">
      <c r="O1002" t="s">
        <v>790</v>
      </c>
      <c r="P1002">
        <v>2022</v>
      </c>
    </row>
    <row r="1003" spans="15:16" x14ac:dyDescent="0.3">
      <c r="O1003" t="s">
        <v>574</v>
      </c>
      <c r="P1003">
        <v>2022</v>
      </c>
    </row>
    <row r="1004" spans="15:16" x14ac:dyDescent="0.3">
      <c r="O1004" t="s">
        <v>791</v>
      </c>
      <c r="P1004">
        <v>2022</v>
      </c>
    </row>
    <row r="1005" spans="15:16" x14ac:dyDescent="0.3">
      <c r="O1005" t="s">
        <v>792</v>
      </c>
      <c r="P1005">
        <v>2022</v>
      </c>
    </row>
    <row r="1006" spans="15:16" x14ac:dyDescent="0.3">
      <c r="O1006" t="s">
        <v>793</v>
      </c>
      <c r="P1006">
        <v>2022</v>
      </c>
    </row>
    <row r="1007" spans="15:16" x14ac:dyDescent="0.3">
      <c r="O1007" t="s">
        <v>165</v>
      </c>
      <c r="P1007">
        <v>2022</v>
      </c>
    </row>
    <row r="1008" spans="15:16" x14ac:dyDescent="0.3">
      <c r="O1008" t="s">
        <v>163</v>
      </c>
      <c r="P1008">
        <v>2022</v>
      </c>
    </row>
    <row r="1009" spans="15:16" x14ac:dyDescent="0.3">
      <c r="O1009" t="s">
        <v>270</v>
      </c>
      <c r="P1009">
        <v>2022</v>
      </c>
    </row>
    <row r="1010" spans="15:16" x14ac:dyDescent="0.3">
      <c r="O1010" t="s">
        <v>302</v>
      </c>
      <c r="P1010">
        <v>2022</v>
      </c>
    </row>
    <row r="1011" spans="15:16" x14ac:dyDescent="0.3">
      <c r="O1011" t="s">
        <v>46</v>
      </c>
      <c r="P1011">
        <v>2022</v>
      </c>
    </row>
    <row r="1012" spans="15:16" x14ac:dyDescent="0.3">
      <c r="O1012" t="s">
        <v>600</v>
      </c>
      <c r="P1012">
        <v>2022</v>
      </c>
    </row>
    <row r="1013" spans="15:16" x14ac:dyDescent="0.3">
      <c r="O1013" t="s">
        <v>433</v>
      </c>
      <c r="P1013">
        <v>2022</v>
      </c>
    </row>
    <row r="1014" spans="15:16" x14ac:dyDescent="0.3">
      <c r="O1014" t="s">
        <v>117</v>
      </c>
      <c r="P1014">
        <v>2022</v>
      </c>
    </row>
    <row r="1015" spans="15:16" x14ac:dyDescent="0.3">
      <c r="O1015" t="s">
        <v>450</v>
      </c>
      <c r="P1015">
        <v>2022</v>
      </c>
    </row>
    <row r="1016" spans="15:16" x14ac:dyDescent="0.3">
      <c r="O1016" t="s">
        <v>794</v>
      </c>
      <c r="P1016">
        <v>2022</v>
      </c>
    </row>
    <row r="1017" spans="15:16" x14ac:dyDescent="0.3">
      <c r="O1017" t="s">
        <v>630</v>
      </c>
      <c r="P1017">
        <v>2022</v>
      </c>
    </row>
    <row r="1018" spans="15:16" x14ac:dyDescent="0.3">
      <c r="O1018" t="s">
        <v>795</v>
      </c>
      <c r="P1018">
        <v>2022</v>
      </c>
    </row>
    <row r="1019" spans="15:16" x14ac:dyDescent="0.3">
      <c r="O1019" t="s">
        <v>214</v>
      </c>
      <c r="P1019">
        <v>2022</v>
      </c>
    </row>
    <row r="1020" spans="15:16" x14ac:dyDescent="0.3">
      <c r="O1020" t="s">
        <v>440</v>
      </c>
      <c r="P1020">
        <v>2022</v>
      </c>
    </row>
    <row r="1021" spans="15:16" x14ac:dyDescent="0.3">
      <c r="O1021" t="s">
        <v>611</v>
      </c>
      <c r="P1021">
        <v>2022</v>
      </c>
    </row>
    <row r="1022" spans="15:16" x14ac:dyDescent="0.3">
      <c r="O1022" t="s">
        <v>7</v>
      </c>
      <c r="P1022">
        <v>2022</v>
      </c>
    </row>
    <row r="1023" spans="15:16" x14ac:dyDescent="0.3">
      <c r="O1023" t="s">
        <v>796</v>
      </c>
      <c r="P1023">
        <v>2022</v>
      </c>
    </row>
    <row r="1024" spans="15:16" x14ac:dyDescent="0.3">
      <c r="O1024" t="s">
        <v>77</v>
      </c>
      <c r="P1024">
        <v>2022</v>
      </c>
    </row>
    <row r="1025" spans="15:16" x14ac:dyDescent="0.3">
      <c r="O1025" t="s">
        <v>664</v>
      </c>
      <c r="P1025">
        <v>2022</v>
      </c>
    </row>
    <row r="1026" spans="15:16" x14ac:dyDescent="0.3">
      <c r="O1026" t="s">
        <v>138</v>
      </c>
      <c r="P1026">
        <v>2022</v>
      </c>
    </row>
    <row r="1027" spans="15:16" x14ac:dyDescent="0.3">
      <c r="O1027" t="s">
        <v>349</v>
      </c>
      <c r="P1027">
        <v>2022</v>
      </c>
    </row>
    <row r="1028" spans="15:16" x14ac:dyDescent="0.3">
      <c r="O1028" t="s">
        <v>797</v>
      </c>
      <c r="P1028">
        <v>2022</v>
      </c>
    </row>
    <row r="1029" spans="15:16" x14ac:dyDescent="0.3">
      <c r="O1029" t="s">
        <v>798</v>
      </c>
      <c r="P1029">
        <v>2022</v>
      </c>
    </row>
    <row r="1030" spans="15:16" x14ac:dyDescent="0.3">
      <c r="O1030" t="s">
        <v>398</v>
      </c>
      <c r="P1030">
        <v>2022</v>
      </c>
    </row>
    <row r="1031" spans="15:16" x14ac:dyDescent="0.3">
      <c r="O1031" t="s">
        <v>633</v>
      </c>
      <c r="P1031">
        <v>2022</v>
      </c>
    </row>
    <row r="1032" spans="15:16" x14ac:dyDescent="0.3">
      <c r="O1032" t="s">
        <v>610</v>
      </c>
      <c r="P1032">
        <v>2022</v>
      </c>
    </row>
    <row r="1033" spans="15:16" x14ac:dyDescent="0.3">
      <c r="O1033" t="s">
        <v>799</v>
      </c>
      <c r="P1033">
        <v>2022</v>
      </c>
    </row>
    <row r="1034" spans="15:16" x14ac:dyDescent="0.3">
      <c r="O1034" t="s">
        <v>462</v>
      </c>
      <c r="P1034">
        <v>2022</v>
      </c>
    </row>
    <row r="1035" spans="15:16" x14ac:dyDescent="0.3">
      <c r="O1035" t="s">
        <v>534</v>
      </c>
      <c r="P1035">
        <v>2022</v>
      </c>
    </row>
    <row r="1036" spans="15:16" x14ac:dyDescent="0.3">
      <c r="O1036" t="s">
        <v>800</v>
      </c>
      <c r="P1036">
        <v>2022</v>
      </c>
    </row>
    <row r="1037" spans="15:16" x14ac:dyDescent="0.3">
      <c r="O1037" t="s">
        <v>229</v>
      </c>
      <c r="P1037">
        <v>2022</v>
      </c>
    </row>
    <row r="1038" spans="15:16" x14ac:dyDescent="0.3">
      <c r="O1038" t="s">
        <v>309</v>
      </c>
      <c r="P1038">
        <v>2022</v>
      </c>
    </row>
    <row r="1039" spans="15:16" x14ac:dyDescent="0.3">
      <c r="O1039" t="s">
        <v>663</v>
      </c>
      <c r="P1039">
        <v>2022</v>
      </c>
    </row>
    <row r="1040" spans="15:16" x14ac:dyDescent="0.3">
      <c r="O1040" t="s">
        <v>219</v>
      </c>
      <c r="P1040">
        <v>2022</v>
      </c>
    </row>
    <row r="1041" spans="15:16" x14ac:dyDescent="0.3">
      <c r="O1041" t="s">
        <v>801</v>
      </c>
      <c r="P1041">
        <v>2022</v>
      </c>
    </row>
    <row r="1042" spans="15:16" x14ac:dyDescent="0.3">
      <c r="O1042" t="s">
        <v>570</v>
      </c>
      <c r="P1042">
        <v>2022</v>
      </c>
    </row>
    <row r="1043" spans="15:16" x14ac:dyDescent="0.3">
      <c r="O1043" t="s">
        <v>802</v>
      </c>
      <c r="P1043">
        <v>2022</v>
      </c>
    </row>
    <row r="1044" spans="15:16" x14ac:dyDescent="0.3">
      <c r="O1044" t="s">
        <v>662</v>
      </c>
      <c r="P1044">
        <v>2022</v>
      </c>
    </row>
    <row r="1045" spans="15:16" x14ac:dyDescent="0.3">
      <c r="O1045" t="s">
        <v>394</v>
      </c>
      <c r="P1045">
        <v>2022</v>
      </c>
    </row>
    <row r="1046" spans="15:16" x14ac:dyDescent="0.3">
      <c r="O1046" t="s">
        <v>359</v>
      </c>
      <c r="P1046">
        <v>2022</v>
      </c>
    </row>
    <row r="1047" spans="15:16" x14ac:dyDescent="0.3">
      <c r="O1047" t="s">
        <v>649</v>
      </c>
      <c r="P1047">
        <v>2022</v>
      </c>
    </row>
    <row r="1048" spans="15:16" x14ac:dyDescent="0.3">
      <c r="O1048" t="s">
        <v>803</v>
      </c>
      <c r="P1048">
        <v>2022</v>
      </c>
    </row>
    <row r="1049" spans="15:16" x14ac:dyDescent="0.3">
      <c r="O1049" t="s">
        <v>592</v>
      </c>
      <c r="P1049">
        <v>2022</v>
      </c>
    </row>
    <row r="1050" spans="15:16" x14ac:dyDescent="0.3">
      <c r="O1050" t="s">
        <v>295</v>
      </c>
      <c r="P1050">
        <v>2022</v>
      </c>
    </row>
    <row r="1051" spans="15:16" x14ac:dyDescent="0.3">
      <c r="O1051" t="s">
        <v>804</v>
      </c>
      <c r="P1051">
        <v>2022</v>
      </c>
    </row>
    <row r="1052" spans="15:16" x14ac:dyDescent="0.3">
      <c r="O1052" t="s">
        <v>164</v>
      </c>
      <c r="P1052">
        <v>2022</v>
      </c>
    </row>
    <row r="1053" spans="15:16" x14ac:dyDescent="0.3">
      <c r="O1053" t="s">
        <v>508</v>
      </c>
      <c r="P1053">
        <v>2022</v>
      </c>
    </row>
    <row r="1054" spans="15:16" x14ac:dyDescent="0.3">
      <c r="O1054" t="s">
        <v>281</v>
      </c>
      <c r="P1054">
        <v>2022</v>
      </c>
    </row>
    <row r="1055" spans="15:16" x14ac:dyDescent="0.3">
      <c r="O1055" t="s">
        <v>338</v>
      </c>
      <c r="P1055">
        <v>2022</v>
      </c>
    </row>
    <row r="1056" spans="15:16" x14ac:dyDescent="0.3">
      <c r="O1056" t="s">
        <v>805</v>
      </c>
      <c r="P1056">
        <v>2022</v>
      </c>
    </row>
    <row r="1057" spans="15:16" x14ac:dyDescent="0.3">
      <c r="O1057" t="s">
        <v>531</v>
      </c>
      <c r="P1057">
        <v>2022</v>
      </c>
    </row>
    <row r="1058" spans="15:16" x14ac:dyDescent="0.3">
      <c r="O1058" t="s">
        <v>355</v>
      </c>
      <c r="P1058">
        <v>2022</v>
      </c>
    </row>
    <row r="1059" spans="15:16" x14ac:dyDescent="0.3">
      <c r="O1059" t="s">
        <v>806</v>
      </c>
      <c r="P1059">
        <v>2022</v>
      </c>
    </row>
    <row r="1060" spans="15:16" x14ac:dyDescent="0.3">
      <c r="O1060" t="s">
        <v>140</v>
      </c>
      <c r="P1060">
        <v>2022</v>
      </c>
    </row>
    <row r="1061" spans="15:16" x14ac:dyDescent="0.3">
      <c r="O1061" t="s">
        <v>290</v>
      </c>
      <c r="P1061">
        <v>2022</v>
      </c>
    </row>
    <row r="1062" spans="15:16" x14ac:dyDescent="0.3">
      <c r="O1062" t="s">
        <v>176</v>
      </c>
      <c r="P1062">
        <v>2022</v>
      </c>
    </row>
    <row r="1063" spans="15:16" x14ac:dyDescent="0.3">
      <c r="O1063" t="s">
        <v>807</v>
      </c>
      <c r="P1063">
        <v>2022</v>
      </c>
    </row>
    <row r="1064" spans="15:16" x14ac:dyDescent="0.3">
      <c r="O1064" t="s">
        <v>242</v>
      </c>
      <c r="P1064">
        <v>2022</v>
      </c>
    </row>
    <row r="1065" spans="15:16" x14ac:dyDescent="0.3">
      <c r="O1065" t="s">
        <v>190</v>
      </c>
      <c r="P1065">
        <v>2022</v>
      </c>
    </row>
    <row r="1066" spans="15:16" x14ac:dyDescent="0.3">
      <c r="O1066" t="s">
        <v>596</v>
      </c>
      <c r="P1066">
        <v>2022</v>
      </c>
    </row>
    <row r="1067" spans="15:16" x14ac:dyDescent="0.3">
      <c r="O1067" t="s">
        <v>220</v>
      </c>
      <c r="P1067">
        <v>2022</v>
      </c>
    </row>
    <row r="1068" spans="15:16" x14ac:dyDescent="0.3">
      <c r="O1068" t="s">
        <v>808</v>
      </c>
      <c r="P1068">
        <v>2022</v>
      </c>
    </row>
    <row r="1069" spans="15:16" x14ac:dyDescent="0.3">
      <c r="O1069" t="s">
        <v>411</v>
      </c>
      <c r="P1069">
        <v>2022</v>
      </c>
    </row>
    <row r="1070" spans="15:16" x14ac:dyDescent="0.3">
      <c r="O1070" t="s">
        <v>444</v>
      </c>
      <c r="P1070">
        <v>2022</v>
      </c>
    </row>
    <row r="1071" spans="15:16" x14ac:dyDescent="0.3">
      <c r="O1071" t="s">
        <v>426</v>
      </c>
      <c r="P1071">
        <v>2022</v>
      </c>
    </row>
    <row r="1072" spans="15:16" x14ac:dyDescent="0.3">
      <c r="O1072" t="s">
        <v>809</v>
      </c>
      <c r="P1072">
        <v>2022</v>
      </c>
    </row>
    <row r="1073" spans="15:16" x14ac:dyDescent="0.3">
      <c r="O1073" t="s">
        <v>344</v>
      </c>
      <c r="P1073">
        <v>2022</v>
      </c>
    </row>
    <row r="1074" spans="15:16" x14ac:dyDescent="0.3">
      <c r="O1074" t="s">
        <v>636</v>
      </c>
      <c r="P1074">
        <v>2022</v>
      </c>
    </row>
    <row r="1075" spans="15:16" x14ac:dyDescent="0.3">
      <c r="O1075" t="s">
        <v>810</v>
      </c>
      <c r="P1075">
        <v>2022</v>
      </c>
    </row>
    <row r="1076" spans="15:16" x14ac:dyDescent="0.3">
      <c r="O1076" t="s">
        <v>811</v>
      </c>
      <c r="P1076">
        <v>2022</v>
      </c>
    </row>
    <row r="1077" spans="15:16" x14ac:dyDescent="0.3">
      <c r="O1077" t="s">
        <v>222</v>
      </c>
      <c r="P1077">
        <v>2022</v>
      </c>
    </row>
    <row r="1078" spans="15:16" x14ac:dyDescent="0.3">
      <c r="O1078" t="s">
        <v>188</v>
      </c>
      <c r="P1078">
        <v>2022</v>
      </c>
    </row>
    <row r="1079" spans="15:16" x14ac:dyDescent="0.3">
      <c r="O1079" t="s">
        <v>812</v>
      </c>
      <c r="P1079">
        <v>2022</v>
      </c>
    </row>
    <row r="1080" spans="15:16" x14ac:dyDescent="0.3">
      <c r="O1080" t="s">
        <v>26</v>
      </c>
      <c r="P1080">
        <v>2022</v>
      </c>
    </row>
    <row r="1081" spans="15:16" x14ac:dyDescent="0.3">
      <c r="O1081" t="s">
        <v>379</v>
      </c>
      <c r="P1081">
        <v>2022</v>
      </c>
    </row>
    <row r="1082" spans="15:16" x14ac:dyDescent="0.3">
      <c r="O1082" t="s">
        <v>813</v>
      </c>
      <c r="P1082">
        <v>2022</v>
      </c>
    </row>
    <row r="1083" spans="15:16" x14ac:dyDescent="0.3">
      <c r="O1083" t="s">
        <v>41</v>
      </c>
      <c r="P1083">
        <v>2022</v>
      </c>
    </row>
    <row r="1084" spans="15:16" x14ac:dyDescent="0.3">
      <c r="O1084" t="s">
        <v>360</v>
      </c>
      <c r="P1084">
        <v>2022</v>
      </c>
    </row>
    <row r="1085" spans="15:16" x14ac:dyDescent="0.3">
      <c r="O1085" t="s">
        <v>538</v>
      </c>
      <c r="P1085">
        <v>2022</v>
      </c>
    </row>
    <row r="1086" spans="15:16" x14ac:dyDescent="0.3">
      <c r="O1086" t="s">
        <v>526</v>
      </c>
      <c r="P1086">
        <v>2022</v>
      </c>
    </row>
    <row r="1087" spans="15:16" x14ac:dyDescent="0.3">
      <c r="O1087" t="s">
        <v>325</v>
      </c>
      <c r="P1087">
        <v>2022</v>
      </c>
    </row>
    <row r="1088" spans="15:16" x14ac:dyDescent="0.3">
      <c r="O1088" t="s">
        <v>647</v>
      </c>
      <c r="P1088">
        <v>2022</v>
      </c>
    </row>
    <row r="1089" spans="15:16" x14ac:dyDescent="0.3">
      <c r="O1089" t="s">
        <v>169</v>
      </c>
      <c r="P1089">
        <v>2022</v>
      </c>
    </row>
    <row r="1090" spans="15:16" x14ac:dyDescent="0.3">
      <c r="O1090" t="s">
        <v>617</v>
      </c>
      <c r="P1090">
        <v>2022</v>
      </c>
    </row>
    <row r="1091" spans="15:16" x14ac:dyDescent="0.3">
      <c r="O1091" t="s">
        <v>402</v>
      </c>
      <c r="P1091">
        <v>2022</v>
      </c>
    </row>
    <row r="1092" spans="15:16" x14ac:dyDescent="0.3">
      <c r="O1092" t="s">
        <v>328</v>
      </c>
      <c r="P1092">
        <v>2022</v>
      </c>
    </row>
    <row r="1093" spans="15:16" x14ac:dyDescent="0.3">
      <c r="O1093" t="s">
        <v>576</v>
      </c>
      <c r="P1093">
        <v>2022</v>
      </c>
    </row>
    <row r="1094" spans="15:16" x14ac:dyDescent="0.3">
      <c r="O1094" t="s">
        <v>436</v>
      </c>
      <c r="P1094">
        <v>2022</v>
      </c>
    </row>
    <row r="1095" spans="15:16" x14ac:dyDescent="0.3">
      <c r="O1095" t="s">
        <v>181</v>
      </c>
      <c r="P1095">
        <v>2022</v>
      </c>
    </row>
    <row r="1096" spans="15:16" x14ac:dyDescent="0.3">
      <c r="O1096" t="s">
        <v>326</v>
      </c>
      <c r="P1096">
        <v>2022</v>
      </c>
    </row>
    <row r="1097" spans="15:16" x14ac:dyDescent="0.3">
      <c r="O1097" t="s">
        <v>212</v>
      </c>
      <c r="P1097">
        <v>2022</v>
      </c>
    </row>
    <row r="1098" spans="15:16" x14ac:dyDescent="0.3">
      <c r="O1098" t="s">
        <v>194</v>
      </c>
      <c r="P1098">
        <v>2022</v>
      </c>
    </row>
    <row r="1099" spans="15:16" x14ac:dyDescent="0.3">
      <c r="O1099" t="s">
        <v>233</v>
      </c>
      <c r="P1099">
        <v>2022</v>
      </c>
    </row>
    <row r="1100" spans="15:16" x14ac:dyDescent="0.3">
      <c r="O1100" t="s">
        <v>814</v>
      </c>
      <c r="P1100">
        <v>2022</v>
      </c>
    </row>
    <row r="1101" spans="15:16" x14ac:dyDescent="0.3">
      <c r="O1101" t="s">
        <v>370</v>
      </c>
      <c r="P1101">
        <v>2022</v>
      </c>
    </row>
    <row r="1102" spans="15:16" x14ac:dyDescent="0.3">
      <c r="O1102" t="s">
        <v>369</v>
      </c>
      <c r="P1102">
        <v>2022</v>
      </c>
    </row>
    <row r="1103" spans="15:16" x14ac:dyDescent="0.3">
      <c r="O1103" t="s">
        <v>269</v>
      </c>
      <c r="P1103">
        <v>2022</v>
      </c>
    </row>
    <row r="1104" spans="15:16" x14ac:dyDescent="0.3">
      <c r="O1104" t="s">
        <v>478</v>
      </c>
      <c r="P1104">
        <v>2022</v>
      </c>
    </row>
    <row r="1105" spans="15:16" x14ac:dyDescent="0.3">
      <c r="O1105" t="s">
        <v>378</v>
      </c>
      <c r="P1105">
        <v>2022</v>
      </c>
    </row>
    <row r="1106" spans="15:16" x14ac:dyDescent="0.3">
      <c r="O1106" t="s">
        <v>815</v>
      </c>
      <c r="P1106">
        <v>2022</v>
      </c>
    </row>
    <row r="1107" spans="15:16" x14ac:dyDescent="0.3">
      <c r="O1107" t="s">
        <v>816</v>
      </c>
      <c r="P1107">
        <v>2022</v>
      </c>
    </row>
    <row r="1108" spans="15:16" x14ac:dyDescent="0.3">
      <c r="O1108" t="s">
        <v>371</v>
      </c>
      <c r="P1108">
        <v>2022</v>
      </c>
    </row>
    <row r="1109" spans="15:16" x14ac:dyDescent="0.3">
      <c r="O1109" t="s">
        <v>331</v>
      </c>
      <c r="P1109">
        <v>2022</v>
      </c>
    </row>
    <row r="1110" spans="15:16" x14ac:dyDescent="0.3">
      <c r="O1110" t="s">
        <v>167</v>
      </c>
      <c r="P1110">
        <v>2022</v>
      </c>
    </row>
    <row r="1111" spans="15:16" x14ac:dyDescent="0.3">
      <c r="O1111" t="s">
        <v>475</v>
      </c>
      <c r="P1111">
        <v>2022</v>
      </c>
    </row>
    <row r="1112" spans="15:16" x14ac:dyDescent="0.3">
      <c r="O1112" t="s">
        <v>236</v>
      </c>
      <c r="P1112">
        <v>2022</v>
      </c>
    </row>
    <row r="1113" spans="15:16" x14ac:dyDescent="0.3">
      <c r="O1113" t="s">
        <v>674</v>
      </c>
      <c r="P1113">
        <v>2022</v>
      </c>
    </row>
    <row r="1114" spans="15:16" x14ac:dyDescent="0.3">
      <c r="O1114" t="s">
        <v>204</v>
      </c>
      <c r="P1114">
        <v>2022</v>
      </c>
    </row>
    <row r="1115" spans="15:16" x14ac:dyDescent="0.3">
      <c r="O1115" t="s">
        <v>687</v>
      </c>
      <c r="P1115">
        <v>2022</v>
      </c>
    </row>
    <row r="1116" spans="15:16" x14ac:dyDescent="0.3">
      <c r="O1116" t="s">
        <v>291</v>
      </c>
      <c r="P1116">
        <v>2022</v>
      </c>
    </row>
    <row r="1117" spans="15:16" x14ac:dyDescent="0.3">
      <c r="O1117" t="s">
        <v>441</v>
      </c>
      <c r="P1117">
        <v>2022</v>
      </c>
    </row>
    <row r="1118" spans="15:16" x14ac:dyDescent="0.3">
      <c r="O1118" t="s">
        <v>817</v>
      </c>
      <c r="P1118">
        <v>2022</v>
      </c>
    </row>
    <row r="1119" spans="15:16" x14ac:dyDescent="0.3">
      <c r="O1119" t="s">
        <v>334</v>
      </c>
      <c r="P1119">
        <v>2022</v>
      </c>
    </row>
    <row r="1120" spans="15:16" x14ac:dyDescent="0.3">
      <c r="O1120" t="s">
        <v>518</v>
      </c>
      <c r="P1120">
        <v>2022</v>
      </c>
    </row>
    <row r="1121" spans="15:16" x14ac:dyDescent="0.3">
      <c r="O1121" t="s">
        <v>192</v>
      </c>
      <c r="P1121">
        <v>2022</v>
      </c>
    </row>
    <row r="1122" spans="15:16" x14ac:dyDescent="0.3">
      <c r="O1122" t="s">
        <v>298</v>
      </c>
      <c r="P1122">
        <v>2022</v>
      </c>
    </row>
    <row r="1123" spans="15:16" x14ac:dyDescent="0.3">
      <c r="O1123" t="s">
        <v>322</v>
      </c>
      <c r="P1123">
        <v>2022</v>
      </c>
    </row>
    <row r="1124" spans="15:16" x14ac:dyDescent="0.3">
      <c r="O1124" t="s">
        <v>439</v>
      </c>
      <c r="P1124">
        <v>2022</v>
      </c>
    </row>
    <row r="1125" spans="15:16" x14ac:dyDescent="0.3">
      <c r="O1125" t="s">
        <v>494</v>
      </c>
      <c r="P1125">
        <v>2022</v>
      </c>
    </row>
    <row r="1126" spans="15:16" x14ac:dyDescent="0.3">
      <c r="O1126" t="s">
        <v>646</v>
      </c>
      <c r="P1126">
        <v>2022</v>
      </c>
    </row>
    <row r="1127" spans="15:16" x14ac:dyDescent="0.3">
      <c r="O1127" t="s">
        <v>522</v>
      </c>
      <c r="P1127">
        <v>2022</v>
      </c>
    </row>
    <row r="1128" spans="15:16" x14ac:dyDescent="0.3">
      <c r="O1128" t="s">
        <v>818</v>
      </c>
      <c r="P1128">
        <v>2022</v>
      </c>
    </row>
    <row r="1129" spans="15:16" x14ac:dyDescent="0.3">
      <c r="O1129" t="s">
        <v>415</v>
      </c>
      <c r="P1129">
        <v>2022</v>
      </c>
    </row>
    <row r="1130" spans="15:16" x14ac:dyDescent="0.3">
      <c r="O1130" t="s">
        <v>603</v>
      </c>
      <c r="P1130">
        <v>2022</v>
      </c>
    </row>
    <row r="1131" spans="15:16" x14ac:dyDescent="0.3">
      <c r="O1131" t="s">
        <v>819</v>
      </c>
      <c r="P1131">
        <v>2022</v>
      </c>
    </row>
    <row r="1132" spans="15:16" x14ac:dyDescent="0.3">
      <c r="O1132" t="s">
        <v>820</v>
      </c>
      <c r="P1132">
        <v>2022</v>
      </c>
    </row>
    <row r="1133" spans="15:16" x14ac:dyDescent="0.3">
      <c r="O1133" t="s">
        <v>552</v>
      </c>
      <c r="P1133">
        <v>2022</v>
      </c>
    </row>
    <row r="1134" spans="15:16" x14ac:dyDescent="0.3">
      <c r="O1134" t="s">
        <v>493</v>
      </c>
      <c r="P1134">
        <v>2022</v>
      </c>
    </row>
    <row r="1135" spans="15:16" x14ac:dyDescent="0.3">
      <c r="O1135" t="s">
        <v>361</v>
      </c>
      <c r="P1135">
        <v>2022</v>
      </c>
    </row>
    <row r="1136" spans="15:16" x14ac:dyDescent="0.3">
      <c r="O1136" t="s">
        <v>483</v>
      </c>
      <c r="P1136">
        <v>2022</v>
      </c>
    </row>
    <row r="1137" spans="15:16" x14ac:dyDescent="0.3">
      <c r="O1137" t="s">
        <v>101</v>
      </c>
      <c r="P1137">
        <v>2022</v>
      </c>
    </row>
    <row r="1138" spans="15:16" x14ac:dyDescent="0.3">
      <c r="O1138" t="s">
        <v>821</v>
      </c>
      <c r="P1138">
        <v>2022</v>
      </c>
    </row>
    <row r="1139" spans="15:16" x14ac:dyDescent="0.3">
      <c r="O1139" t="s">
        <v>822</v>
      </c>
      <c r="P1139">
        <v>2022</v>
      </c>
    </row>
    <row r="1140" spans="15:16" x14ac:dyDescent="0.3">
      <c r="O1140" t="s">
        <v>691</v>
      </c>
      <c r="P1140">
        <v>2022</v>
      </c>
    </row>
    <row r="1141" spans="15:16" x14ac:dyDescent="0.3">
      <c r="O1141" t="s">
        <v>681</v>
      </c>
      <c r="P1141">
        <v>2022</v>
      </c>
    </row>
    <row r="1142" spans="15:16" x14ac:dyDescent="0.3">
      <c r="O1142" t="s">
        <v>823</v>
      </c>
      <c r="P1142">
        <v>2022</v>
      </c>
    </row>
    <row r="1143" spans="15:16" x14ac:dyDescent="0.3">
      <c r="O1143" t="s">
        <v>659</v>
      </c>
      <c r="P1143">
        <v>2022</v>
      </c>
    </row>
    <row r="1144" spans="15:16" x14ac:dyDescent="0.3">
      <c r="O1144" t="s">
        <v>93</v>
      </c>
      <c r="P1144">
        <v>2022</v>
      </c>
    </row>
    <row r="1145" spans="15:16" x14ac:dyDescent="0.3">
      <c r="O1145" t="s">
        <v>207</v>
      </c>
      <c r="P1145">
        <v>2022</v>
      </c>
    </row>
    <row r="1146" spans="15:16" x14ac:dyDescent="0.3">
      <c r="O1146" t="s">
        <v>604</v>
      </c>
      <c r="P1146">
        <v>2022</v>
      </c>
    </row>
    <row r="1147" spans="15:16" x14ac:dyDescent="0.3">
      <c r="O1147" t="s">
        <v>824</v>
      </c>
      <c r="P1147">
        <v>2022</v>
      </c>
    </row>
    <row r="1148" spans="15:16" x14ac:dyDescent="0.3">
      <c r="O1148" t="s">
        <v>606</v>
      </c>
      <c r="P1148">
        <v>2022</v>
      </c>
    </row>
    <row r="1149" spans="15:16" x14ac:dyDescent="0.3">
      <c r="O1149" t="s">
        <v>131</v>
      </c>
      <c r="P1149">
        <v>2022</v>
      </c>
    </row>
    <row r="1150" spans="15:16" x14ac:dyDescent="0.3">
      <c r="O1150" t="s">
        <v>257</v>
      </c>
      <c r="P1150">
        <v>2022</v>
      </c>
    </row>
    <row r="1151" spans="15:16" x14ac:dyDescent="0.3">
      <c r="O1151" t="s">
        <v>623</v>
      </c>
      <c r="P1151">
        <v>2022</v>
      </c>
    </row>
    <row r="1152" spans="15:16" x14ac:dyDescent="0.3">
      <c r="O1152" t="s">
        <v>460</v>
      </c>
      <c r="P1152">
        <v>2022</v>
      </c>
    </row>
    <row r="1153" spans="15:16" x14ac:dyDescent="0.3">
      <c r="O1153" t="s">
        <v>825</v>
      </c>
      <c r="P1153">
        <v>2022</v>
      </c>
    </row>
    <row r="1154" spans="15:16" x14ac:dyDescent="0.3">
      <c r="O1154" t="s">
        <v>826</v>
      </c>
      <c r="P1154">
        <v>2022</v>
      </c>
    </row>
    <row r="1155" spans="15:16" x14ac:dyDescent="0.3">
      <c r="O1155" t="s">
        <v>246</v>
      </c>
      <c r="P1155">
        <v>2022</v>
      </c>
    </row>
    <row r="1156" spans="15:16" x14ac:dyDescent="0.3">
      <c r="O1156" t="s">
        <v>827</v>
      </c>
      <c r="P1156">
        <v>2022</v>
      </c>
    </row>
    <row r="1157" spans="15:16" x14ac:dyDescent="0.3">
      <c r="O1157" t="s">
        <v>565</v>
      </c>
      <c r="P1157">
        <v>2022</v>
      </c>
    </row>
    <row r="1158" spans="15:16" x14ac:dyDescent="0.3">
      <c r="O1158" t="s">
        <v>413</v>
      </c>
      <c r="P1158">
        <v>2022</v>
      </c>
    </row>
    <row r="1159" spans="15:16" x14ac:dyDescent="0.3">
      <c r="O1159" t="s">
        <v>614</v>
      </c>
      <c r="P1159">
        <v>2022</v>
      </c>
    </row>
    <row r="1160" spans="15:16" x14ac:dyDescent="0.3">
      <c r="O1160" t="s">
        <v>828</v>
      </c>
      <c r="P1160">
        <v>2022</v>
      </c>
    </row>
    <row r="1161" spans="15:16" x14ac:dyDescent="0.3">
      <c r="O1161" t="s">
        <v>491</v>
      </c>
      <c r="P1161">
        <v>2022</v>
      </c>
    </row>
    <row r="1162" spans="15:16" x14ac:dyDescent="0.3">
      <c r="O1162" t="s">
        <v>829</v>
      </c>
      <c r="P1162">
        <v>2022</v>
      </c>
    </row>
    <row r="1163" spans="15:16" x14ac:dyDescent="0.3">
      <c r="O1163" t="s">
        <v>455</v>
      </c>
      <c r="P1163">
        <v>2022</v>
      </c>
    </row>
    <row r="1164" spans="15:16" x14ac:dyDescent="0.3">
      <c r="O1164" t="s">
        <v>550</v>
      </c>
      <c r="P1164">
        <v>2022</v>
      </c>
    </row>
    <row r="1165" spans="15:16" x14ac:dyDescent="0.3">
      <c r="O1165" t="s">
        <v>599</v>
      </c>
      <c r="P1165">
        <v>2022</v>
      </c>
    </row>
    <row r="1166" spans="15:16" x14ac:dyDescent="0.3">
      <c r="O1166" t="s">
        <v>830</v>
      </c>
      <c r="P1166">
        <v>2022</v>
      </c>
    </row>
    <row r="1167" spans="15:16" x14ac:dyDescent="0.3">
      <c r="O1167" t="s">
        <v>263</v>
      </c>
      <c r="P1167">
        <v>2022</v>
      </c>
    </row>
    <row r="1168" spans="15:16" x14ac:dyDescent="0.3">
      <c r="O1168" t="s">
        <v>605</v>
      </c>
      <c r="P1168">
        <v>2022</v>
      </c>
    </row>
    <row r="1169" spans="15:16" x14ac:dyDescent="0.3">
      <c r="O1169" t="s">
        <v>171</v>
      </c>
      <c r="P1169">
        <v>2022</v>
      </c>
    </row>
    <row r="1170" spans="15:16" x14ac:dyDescent="0.3">
      <c r="O1170" t="s">
        <v>788</v>
      </c>
      <c r="P1170">
        <v>2023</v>
      </c>
    </row>
    <row r="1171" spans="15:16" x14ac:dyDescent="0.3">
      <c r="O1171" t="s">
        <v>439</v>
      </c>
      <c r="P1171">
        <v>2023</v>
      </c>
    </row>
    <row r="1172" spans="15:16" x14ac:dyDescent="0.3">
      <c r="O1172" t="s">
        <v>408</v>
      </c>
      <c r="P1172">
        <v>2023</v>
      </c>
    </row>
    <row r="1173" spans="15:16" x14ac:dyDescent="0.3">
      <c r="O1173" t="s">
        <v>831</v>
      </c>
      <c r="P1173">
        <v>2023</v>
      </c>
    </row>
    <row r="1174" spans="15:16" x14ac:dyDescent="0.3">
      <c r="O1174" t="s">
        <v>832</v>
      </c>
      <c r="P1174">
        <v>2023</v>
      </c>
    </row>
    <row r="1175" spans="15:16" x14ac:dyDescent="0.3">
      <c r="O1175" t="s">
        <v>724</v>
      </c>
      <c r="P1175">
        <v>2023</v>
      </c>
    </row>
    <row r="1176" spans="15:16" x14ac:dyDescent="0.3">
      <c r="O1176" t="s">
        <v>305</v>
      </c>
      <c r="P1176">
        <v>2023</v>
      </c>
    </row>
    <row r="1177" spans="15:16" x14ac:dyDescent="0.3">
      <c r="O1177" t="s">
        <v>336</v>
      </c>
      <c r="P1177">
        <v>2023</v>
      </c>
    </row>
    <row r="1178" spans="15:16" x14ac:dyDescent="0.3">
      <c r="O1178" t="s">
        <v>785</v>
      </c>
      <c r="P1178">
        <v>2023</v>
      </c>
    </row>
    <row r="1179" spans="15:16" x14ac:dyDescent="0.3">
      <c r="O1179" t="s">
        <v>29</v>
      </c>
      <c r="P1179">
        <v>2023</v>
      </c>
    </row>
    <row r="1180" spans="15:16" x14ac:dyDescent="0.3">
      <c r="O1180" t="s">
        <v>39</v>
      </c>
      <c r="P1180">
        <v>2023</v>
      </c>
    </row>
    <row r="1181" spans="15:16" x14ac:dyDescent="0.3">
      <c r="O1181" t="s">
        <v>277</v>
      </c>
      <c r="P1181">
        <v>2023</v>
      </c>
    </row>
    <row r="1182" spans="15:16" x14ac:dyDescent="0.3">
      <c r="O1182" t="s">
        <v>692</v>
      </c>
      <c r="P1182">
        <v>2023</v>
      </c>
    </row>
    <row r="1183" spans="15:16" x14ac:dyDescent="0.3">
      <c r="O1183" t="s">
        <v>230</v>
      </c>
      <c r="P1183">
        <v>2023</v>
      </c>
    </row>
    <row r="1184" spans="15:16" x14ac:dyDescent="0.3">
      <c r="O1184" t="s">
        <v>833</v>
      </c>
      <c r="P1184">
        <v>2023</v>
      </c>
    </row>
    <row r="1185" spans="15:16" x14ac:dyDescent="0.3">
      <c r="O1185" t="s">
        <v>457</v>
      </c>
      <c r="P1185">
        <v>2023</v>
      </c>
    </row>
    <row r="1186" spans="15:16" x14ac:dyDescent="0.3">
      <c r="O1186" t="s">
        <v>217</v>
      </c>
      <c r="P1186">
        <v>2023</v>
      </c>
    </row>
    <row r="1187" spans="15:16" x14ac:dyDescent="0.3">
      <c r="O1187" t="s">
        <v>743</v>
      </c>
      <c r="P1187">
        <v>2023</v>
      </c>
    </row>
    <row r="1188" spans="15:16" x14ac:dyDescent="0.3">
      <c r="O1188" t="s">
        <v>325</v>
      </c>
      <c r="P1188">
        <v>2023</v>
      </c>
    </row>
    <row r="1189" spans="15:16" x14ac:dyDescent="0.3">
      <c r="O1189" t="s">
        <v>656</v>
      </c>
      <c r="P1189">
        <v>2023</v>
      </c>
    </row>
    <row r="1190" spans="15:16" x14ac:dyDescent="0.3">
      <c r="O1190" t="s">
        <v>597</v>
      </c>
      <c r="P1190">
        <v>2023</v>
      </c>
    </row>
    <row r="1191" spans="15:16" x14ac:dyDescent="0.3">
      <c r="O1191" t="s">
        <v>834</v>
      </c>
      <c r="P1191">
        <v>2023</v>
      </c>
    </row>
    <row r="1192" spans="15:16" x14ac:dyDescent="0.3">
      <c r="O1192" t="s">
        <v>384</v>
      </c>
      <c r="P1192">
        <v>2023</v>
      </c>
    </row>
    <row r="1193" spans="15:16" x14ac:dyDescent="0.3">
      <c r="O1193" t="s">
        <v>784</v>
      </c>
      <c r="P1193">
        <v>2023</v>
      </c>
    </row>
    <row r="1194" spans="15:16" x14ac:dyDescent="0.3">
      <c r="O1194" t="s">
        <v>829</v>
      </c>
      <c r="P1194">
        <v>2023</v>
      </c>
    </row>
    <row r="1195" spans="15:16" x14ac:dyDescent="0.3">
      <c r="O1195" t="s">
        <v>313</v>
      </c>
      <c r="P1195">
        <v>2023</v>
      </c>
    </row>
    <row r="1196" spans="15:16" x14ac:dyDescent="0.3">
      <c r="O1196" t="s">
        <v>297</v>
      </c>
      <c r="P1196">
        <v>2023</v>
      </c>
    </row>
    <row r="1197" spans="15:16" x14ac:dyDescent="0.3">
      <c r="O1197" t="s">
        <v>795</v>
      </c>
      <c r="P1197">
        <v>2023</v>
      </c>
    </row>
    <row r="1198" spans="15:16" x14ac:dyDescent="0.3">
      <c r="O1198" t="s">
        <v>490</v>
      </c>
      <c r="P1198">
        <v>2023</v>
      </c>
    </row>
    <row r="1199" spans="15:16" x14ac:dyDescent="0.3">
      <c r="O1199" t="s">
        <v>660</v>
      </c>
      <c r="P1199">
        <v>2023</v>
      </c>
    </row>
    <row r="1200" spans="15:16" x14ac:dyDescent="0.3">
      <c r="O1200" t="s">
        <v>317</v>
      </c>
      <c r="P1200">
        <v>2023</v>
      </c>
    </row>
    <row r="1201" spans="15:16" x14ac:dyDescent="0.3">
      <c r="O1201" t="s">
        <v>366</v>
      </c>
      <c r="P1201">
        <v>2023</v>
      </c>
    </row>
    <row r="1202" spans="15:16" x14ac:dyDescent="0.3">
      <c r="O1202" t="s">
        <v>810</v>
      </c>
      <c r="P1202">
        <v>2023</v>
      </c>
    </row>
    <row r="1203" spans="15:16" x14ac:dyDescent="0.3">
      <c r="O1203" t="s">
        <v>696</v>
      </c>
      <c r="P1203">
        <v>2023</v>
      </c>
    </row>
    <row r="1204" spans="15:16" x14ac:dyDescent="0.3">
      <c r="O1204" t="s">
        <v>521</v>
      </c>
      <c r="P1204">
        <v>2023</v>
      </c>
    </row>
    <row r="1205" spans="15:16" x14ac:dyDescent="0.3">
      <c r="O1205" t="s">
        <v>835</v>
      </c>
      <c r="P1205">
        <v>2023</v>
      </c>
    </row>
    <row r="1206" spans="15:16" x14ac:dyDescent="0.3">
      <c r="O1206" t="s">
        <v>207</v>
      </c>
      <c r="P1206">
        <v>2023</v>
      </c>
    </row>
    <row r="1207" spans="15:16" x14ac:dyDescent="0.3">
      <c r="O1207" t="s">
        <v>570</v>
      </c>
      <c r="P1207">
        <v>2023</v>
      </c>
    </row>
    <row r="1208" spans="15:16" x14ac:dyDescent="0.3">
      <c r="O1208" t="s">
        <v>339</v>
      </c>
      <c r="P1208">
        <v>2023</v>
      </c>
    </row>
    <row r="1209" spans="15:16" x14ac:dyDescent="0.3">
      <c r="O1209" t="s">
        <v>662</v>
      </c>
      <c r="P1209">
        <v>2023</v>
      </c>
    </row>
    <row r="1210" spans="15:16" x14ac:dyDescent="0.3">
      <c r="O1210" t="s">
        <v>836</v>
      </c>
      <c r="P1210">
        <v>2023</v>
      </c>
    </row>
    <row r="1211" spans="15:16" x14ac:dyDescent="0.3">
      <c r="O1211" t="s">
        <v>550</v>
      </c>
      <c r="P1211">
        <v>2023</v>
      </c>
    </row>
    <row r="1212" spans="15:16" x14ac:dyDescent="0.3">
      <c r="O1212" t="s">
        <v>193</v>
      </c>
      <c r="P1212">
        <v>2023</v>
      </c>
    </row>
    <row r="1213" spans="15:16" x14ac:dyDescent="0.3">
      <c r="O1213" t="s">
        <v>172</v>
      </c>
      <c r="P1213">
        <v>2023</v>
      </c>
    </row>
    <row r="1214" spans="15:16" x14ac:dyDescent="0.3">
      <c r="O1214" t="s">
        <v>629</v>
      </c>
      <c r="P1214">
        <v>2023</v>
      </c>
    </row>
    <row r="1215" spans="15:16" x14ac:dyDescent="0.3">
      <c r="O1215" t="s">
        <v>254</v>
      </c>
      <c r="P1215">
        <v>2023</v>
      </c>
    </row>
    <row r="1216" spans="15:16" x14ac:dyDescent="0.3">
      <c r="O1216" t="s">
        <v>127</v>
      </c>
      <c r="P1216">
        <v>2023</v>
      </c>
    </row>
    <row r="1217" spans="15:16" x14ac:dyDescent="0.3">
      <c r="O1217" t="s">
        <v>539</v>
      </c>
      <c r="P1217">
        <v>2023</v>
      </c>
    </row>
    <row r="1218" spans="15:16" x14ac:dyDescent="0.3">
      <c r="O1218" t="s">
        <v>26</v>
      </c>
      <c r="P1218">
        <v>2023</v>
      </c>
    </row>
    <row r="1219" spans="15:16" x14ac:dyDescent="0.3">
      <c r="O1219" t="s">
        <v>248</v>
      </c>
      <c r="P1219">
        <v>2023</v>
      </c>
    </row>
    <row r="1220" spans="15:16" x14ac:dyDescent="0.3">
      <c r="O1220" t="s">
        <v>373</v>
      </c>
      <c r="P1220">
        <v>2023</v>
      </c>
    </row>
    <row r="1221" spans="15:16" x14ac:dyDescent="0.3">
      <c r="O1221" t="s">
        <v>113</v>
      </c>
      <c r="P1221">
        <v>2023</v>
      </c>
    </row>
    <row r="1222" spans="15:16" x14ac:dyDescent="0.3">
      <c r="O1222" t="s">
        <v>566</v>
      </c>
      <c r="P1222">
        <v>2023</v>
      </c>
    </row>
    <row r="1223" spans="15:16" x14ac:dyDescent="0.3">
      <c r="O1223" t="s">
        <v>492</v>
      </c>
      <c r="P1223">
        <v>2023</v>
      </c>
    </row>
    <row r="1224" spans="15:16" x14ac:dyDescent="0.3">
      <c r="O1224" t="s">
        <v>506</v>
      </c>
      <c r="P1224">
        <v>2023</v>
      </c>
    </row>
    <row r="1225" spans="15:16" x14ac:dyDescent="0.3">
      <c r="O1225" t="s">
        <v>470</v>
      </c>
      <c r="P1225">
        <v>2023</v>
      </c>
    </row>
    <row r="1226" spans="15:16" x14ac:dyDescent="0.3">
      <c r="O1226" t="s">
        <v>189</v>
      </c>
      <c r="P1226">
        <v>2023</v>
      </c>
    </row>
    <row r="1227" spans="15:16" x14ac:dyDescent="0.3">
      <c r="O1227" t="s">
        <v>222</v>
      </c>
      <c r="P1227">
        <v>2023</v>
      </c>
    </row>
    <row r="1228" spans="15:16" x14ac:dyDescent="0.3">
      <c r="O1228" t="s">
        <v>206</v>
      </c>
      <c r="P1228">
        <v>2023</v>
      </c>
    </row>
    <row r="1229" spans="15:16" x14ac:dyDescent="0.3">
      <c r="O1229" t="s">
        <v>837</v>
      </c>
      <c r="P1229">
        <v>2023</v>
      </c>
    </row>
    <row r="1230" spans="15:16" x14ac:dyDescent="0.3">
      <c r="O1230" t="s">
        <v>762</v>
      </c>
      <c r="P1230">
        <v>2023</v>
      </c>
    </row>
    <row r="1231" spans="15:16" x14ac:dyDescent="0.3">
      <c r="O1231" t="s">
        <v>123</v>
      </c>
      <c r="P1231">
        <v>2023</v>
      </c>
    </row>
    <row r="1232" spans="15:16" x14ac:dyDescent="0.3">
      <c r="O1232" t="s">
        <v>791</v>
      </c>
      <c r="P1232">
        <v>2023</v>
      </c>
    </row>
    <row r="1233" spans="15:16" x14ac:dyDescent="0.3">
      <c r="O1233" t="s">
        <v>634</v>
      </c>
      <c r="P1233">
        <v>2023</v>
      </c>
    </row>
    <row r="1234" spans="15:16" x14ac:dyDescent="0.3">
      <c r="O1234" t="s">
        <v>246</v>
      </c>
      <c r="P1234">
        <v>2023</v>
      </c>
    </row>
    <row r="1235" spans="15:16" x14ac:dyDescent="0.3">
      <c r="O1235" t="s">
        <v>579</v>
      </c>
      <c r="P1235">
        <v>2023</v>
      </c>
    </row>
    <row r="1236" spans="15:16" x14ac:dyDescent="0.3">
      <c r="O1236" t="s">
        <v>711</v>
      </c>
      <c r="P1236">
        <v>2023</v>
      </c>
    </row>
    <row r="1237" spans="15:16" x14ac:dyDescent="0.3">
      <c r="O1237" t="s">
        <v>767</v>
      </c>
      <c r="P1237">
        <v>2023</v>
      </c>
    </row>
    <row r="1238" spans="15:16" x14ac:dyDescent="0.3">
      <c r="O1238" t="s">
        <v>293</v>
      </c>
      <c r="P1238">
        <v>2023</v>
      </c>
    </row>
    <row r="1239" spans="15:16" x14ac:dyDescent="0.3">
      <c r="O1239" t="s">
        <v>503</v>
      </c>
      <c r="P1239">
        <v>2023</v>
      </c>
    </row>
    <row r="1240" spans="15:16" x14ac:dyDescent="0.3">
      <c r="O1240" t="s">
        <v>728</v>
      </c>
      <c r="P1240">
        <v>2023</v>
      </c>
    </row>
    <row r="1241" spans="15:16" x14ac:dyDescent="0.3">
      <c r="O1241" t="s">
        <v>163</v>
      </c>
      <c r="P1241">
        <v>2023</v>
      </c>
    </row>
    <row r="1242" spans="15:16" x14ac:dyDescent="0.3">
      <c r="O1242" t="s">
        <v>556</v>
      </c>
      <c r="P1242">
        <v>2023</v>
      </c>
    </row>
    <row r="1243" spans="15:16" x14ac:dyDescent="0.3">
      <c r="O1243" t="s">
        <v>320</v>
      </c>
      <c r="P1243">
        <v>2023</v>
      </c>
    </row>
    <row r="1244" spans="15:16" x14ac:dyDescent="0.3">
      <c r="O1244" t="s">
        <v>647</v>
      </c>
      <c r="P1244">
        <v>2023</v>
      </c>
    </row>
    <row r="1245" spans="15:16" x14ac:dyDescent="0.3">
      <c r="O1245" t="s">
        <v>645</v>
      </c>
      <c r="P1245">
        <v>2023</v>
      </c>
    </row>
    <row r="1246" spans="15:16" x14ac:dyDescent="0.3">
      <c r="O1246" t="s">
        <v>725</v>
      </c>
      <c r="P1246">
        <v>2023</v>
      </c>
    </row>
    <row r="1247" spans="15:16" x14ac:dyDescent="0.3">
      <c r="O1247" t="s">
        <v>708</v>
      </c>
      <c r="P1247">
        <v>2023</v>
      </c>
    </row>
    <row r="1248" spans="15:16" x14ac:dyDescent="0.3">
      <c r="O1248" t="s">
        <v>401</v>
      </c>
      <c r="P1248">
        <v>2023</v>
      </c>
    </row>
    <row r="1249" spans="15:16" x14ac:dyDescent="0.3">
      <c r="O1249" t="s">
        <v>603</v>
      </c>
      <c r="P1249">
        <v>2023</v>
      </c>
    </row>
    <row r="1250" spans="15:16" x14ac:dyDescent="0.3">
      <c r="O1250" t="s">
        <v>399</v>
      </c>
      <c r="P1250">
        <v>2023</v>
      </c>
    </row>
    <row r="1251" spans="15:16" x14ac:dyDescent="0.3">
      <c r="O1251" t="s">
        <v>764</v>
      </c>
      <c r="P1251">
        <v>2023</v>
      </c>
    </row>
    <row r="1252" spans="15:16" x14ac:dyDescent="0.3">
      <c r="O1252" t="s">
        <v>378</v>
      </c>
      <c r="P1252">
        <v>2023</v>
      </c>
    </row>
    <row r="1253" spans="15:16" x14ac:dyDescent="0.3">
      <c r="O1253" t="s">
        <v>119</v>
      </c>
      <c r="P1253">
        <v>2023</v>
      </c>
    </row>
    <row r="1254" spans="15:16" x14ac:dyDescent="0.3">
      <c r="O1254" t="s">
        <v>838</v>
      </c>
      <c r="P1254">
        <v>2023</v>
      </c>
    </row>
    <row r="1255" spans="15:16" x14ac:dyDescent="0.3">
      <c r="O1255" t="s">
        <v>493</v>
      </c>
      <c r="P1255">
        <v>2023</v>
      </c>
    </row>
    <row r="1256" spans="15:16" x14ac:dyDescent="0.3">
      <c r="O1256" t="s">
        <v>604</v>
      </c>
      <c r="P1256">
        <v>2023</v>
      </c>
    </row>
    <row r="1257" spans="15:16" x14ac:dyDescent="0.3">
      <c r="O1257" t="s">
        <v>505</v>
      </c>
      <c r="P1257">
        <v>2023</v>
      </c>
    </row>
    <row r="1258" spans="15:16" x14ac:dyDescent="0.3">
      <c r="O1258" t="s">
        <v>351</v>
      </c>
      <c r="P1258">
        <v>2023</v>
      </c>
    </row>
    <row r="1259" spans="15:16" x14ac:dyDescent="0.3">
      <c r="O1259" t="s">
        <v>839</v>
      </c>
      <c r="P1259">
        <v>2023</v>
      </c>
    </row>
    <row r="1260" spans="15:16" x14ac:dyDescent="0.3">
      <c r="O1260" t="s">
        <v>684</v>
      </c>
      <c r="P1260">
        <v>2023</v>
      </c>
    </row>
    <row r="1261" spans="15:16" x14ac:dyDescent="0.3">
      <c r="O1261" t="s">
        <v>496</v>
      </c>
      <c r="P1261">
        <v>2023</v>
      </c>
    </row>
    <row r="1262" spans="15:16" x14ac:dyDescent="0.3">
      <c r="O1262" t="s">
        <v>264</v>
      </c>
      <c r="P1262">
        <v>2023</v>
      </c>
    </row>
    <row r="1263" spans="15:16" x14ac:dyDescent="0.3">
      <c r="O1263" t="s">
        <v>219</v>
      </c>
      <c r="P1263">
        <v>2023</v>
      </c>
    </row>
    <row r="1264" spans="15:16" x14ac:dyDescent="0.3">
      <c r="O1264" t="s">
        <v>689</v>
      </c>
      <c r="P1264">
        <v>2023</v>
      </c>
    </row>
    <row r="1265" spans="15:16" x14ac:dyDescent="0.3">
      <c r="O1265" t="s">
        <v>314</v>
      </c>
      <c r="P1265">
        <v>2023</v>
      </c>
    </row>
    <row r="1266" spans="15:16" x14ac:dyDescent="0.3">
      <c r="O1266" t="s">
        <v>350</v>
      </c>
      <c r="P1266">
        <v>2023</v>
      </c>
    </row>
    <row r="1267" spans="15:16" x14ac:dyDescent="0.3">
      <c r="O1267" t="s">
        <v>754</v>
      </c>
      <c r="P1267">
        <v>2023</v>
      </c>
    </row>
    <row r="1268" spans="15:16" x14ac:dyDescent="0.3">
      <c r="O1268" t="s">
        <v>377</v>
      </c>
      <c r="P1268">
        <v>2023</v>
      </c>
    </row>
    <row r="1269" spans="15:16" x14ac:dyDescent="0.3">
      <c r="O1269" t="s">
        <v>740</v>
      </c>
      <c r="P1269">
        <v>2023</v>
      </c>
    </row>
    <row r="1270" spans="15:16" x14ac:dyDescent="0.3">
      <c r="O1270" t="s">
        <v>741</v>
      </c>
      <c r="P1270">
        <v>2023</v>
      </c>
    </row>
    <row r="1271" spans="15:16" x14ac:dyDescent="0.3">
      <c r="O1271" t="s">
        <v>393</v>
      </c>
      <c r="P1271">
        <v>2023</v>
      </c>
    </row>
    <row r="1272" spans="15:16" x14ac:dyDescent="0.3">
      <c r="O1272" t="s">
        <v>559</v>
      </c>
      <c r="P1272">
        <v>2023</v>
      </c>
    </row>
    <row r="1273" spans="15:16" x14ac:dyDescent="0.3">
      <c r="O1273" t="s">
        <v>383</v>
      </c>
      <c r="P1273">
        <v>2023</v>
      </c>
    </row>
    <row r="1274" spans="15:16" x14ac:dyDescent="0.3">
      <c r="O1274" t="s">
        <v>756</v>
      </c>
      <c r="P1274">
        <v>2023</v>
      </c>
    </row>
    <row r="1275" spans="15:16" x14ac:dyDescent="0.3">
      <c r="O1275" t="s">
        <v>794</v>
      </c>
      <c r="P1275">
        <v>2023</v>
      </c>
    </row>
    <row r="1276" spans="15:16" x14ac:dyDescent="0.3">
      <c r="O1276" t="s">
        <v>256</v>
      </c>
      <c r="P1276">
        <v>2023</v>
      </c>
    </row>
    <row r="1277" spans="15:16" x14ac:dyDescent="0.3">
      <c r="O1277" t="s">
        <v>184</v>
      </c>
      <c r="P1277">
        <v>2023</v>
      </c>
    </row>
    <row r="1278" spans="15:16" x14ac:dyDescent="0.3">
      <c r="O1278" t="s">
        <v>358</v>
      </c>
      <c r="P1278">
        <v>2023</v>
      </c>
    </row>
    <row r="1279" spans="15:16" x14ac:dyDescent="0.3">
      <c r="O1279" t="s">
        <v>840</v>
      </c>
      <c r="P1279">
        <v>2023</v>
      </c>
    </row>
    <row r="1280" spans="15:16" x14ac:dyDescent="0.3">
      <c r="O1280" t="s">
        <v>841</v>
      </c>
      <c r="P1280">
        <v>2023</v>
      </c>
    </row>
    <row r="1281" spans="15:16" x14ac:dyDescent="0.3">
      <c r="O1281" t="s">
        <v>535</v>
      </c>
      <c r="P1281">
        <v>2023</v>
      </c>
    </row>
    <row r="1282" spans="15:16" x14ac:dyDescent="0.3">
      <c r="O1282" t="s">
        <v>613</v>
      </c>
      <c r="P1282">
        <v>2023</v>
      </c>
    </row>
    <row r="1283" spans="15:16" x14ac:dyDescent="0.3">
      <c r="O1283" t="s">
        <v>326</v>
      </c>
      <c r="P1283">
        <v>2023</v>
      </c>
    </row>
    <row r="1284" spans="15:16" x14ac:dyDescent="0.3">
      <c r="O1284" t="s">
        <v>17</v>
      </c>
      <c r="P1284">
        <v>2023</v>
      </c>
    </row>
    <row r="1285" spans="15:16" x14ac:dyDescent="0.3">
      <c r="O1285" t="s">
        <v>528</v>
      </c>
      <c r="P1285">
        <v>2023</v>
      </c>
    </row>
    <row r="1286" spans="15:16" x14ac:dyDescent="0.3">
      <c r="O1286" t="s">
        <v>830</v>
      </c>
      <c r="P1286">
        <v>2023</v>
      </c>
    </row>
    <row r="1287" spans="15:16" x14ac:dyDescent="0.3">
      <c r="O1287" t="s">
        <v>514</v>
      </c>
      <c r="P1287">
        <v>2023</v>
      </c>
    </row>
    <row r="1288" spans="15:16" x14ac:dyDescent="0.3">
      <c r="O1288" t="s">
        <v>685</v>
      </c>
      <c r="P1288">
        <v>2023</v>
      </c>
    </row>
    <row r="1289" spans="15:16" x14ac:dyDescent="0.3">
      <c r="O1289" t="s">
        <v>181</v>
      </c>
      <c r="P1289">
        <v>2023</v>
      </c>
    </row>
    <row r="1290" spans="15:16" x14ac:dyDescent="0.3">
      <c r="O1290" t="s">
        <v>411</v>
      </c>
      <c r="P1290">
        <v>2023</v>
      </c>
    </row>
    <row r="1291" spans="15:16" x14ac:dyDescent="0.3">
      <c r="O1291" t="s">
        <v>682</v>
      </c>
      <c r="P1291">
        <v>2023</v>
      </c>
    </row>
    <row r="1292" spans="15:16" x14ac:dyDescent="0.3">
      <c r="O1292" t="s">
        <v>338</v>
      </c>
      <c r="P1292">
        <v>2023</v>
      </c>
    </row>
    <row r="1293" spans="15:16" x14ac:dyDescent="0.3">
      <c r="O1293" t="s">
        <v>792</v>
      </c>
      <c r="P1293">
        <v>2023</v>
      </c>
    </row>
    <row r="1294" spans="15:16" x14ac:dyDescent="0.3">
      <c r="O1294" t="s">
        <v>253</v>
      </c>
      <c r="P1294">
        <v>2023</v>
      </c>
    </row>
    <row r="1295" spans="15:16" x14ac:dyDescent="0.3">
      <c r="O1295" t="s">
        <v>760</v>
      </c>
      <c r="P1295">
        <v>2023</v>
      </c>
    </row>
    <row r="1296" spans="15:16" x14ac:dyDescent="0.3">
      <c r="O1296" t="s">
        <v>626</v>
      </c>
      <c r="P1296">
        <v>2023</v>
      </c>
    </row>
    <row r="1297" spans="15:16" x14ac:dyDescent="0.3">
      <c r="O1297" t="s">
        <v>842</v>
      </c>
      <c r="P1297">
        <v>2023</v>
      </c>
    </row>
    <row r="1298" spans="15:16" x14ac:dyDescent="0.3">
      <c r="O1298" t="s">
        <v>95</v>
      </c>
      <c r="P1298">
        <v>2023</v>
      </c>
    </row>
    <row r="1299" spans="15:16" x14ac:dyDescent="0.3">
      <c r="O1299" t="s">
        <v>560</v>
      </c>
      <c r="P1299">
        <v>2023</v>
      </c>
    </row>
    <row r="1300" spans="15:16" x14ac:dyDescent="0.3">
      <c r="O1300" t="s">
        <v>588</v>
      </c>
      <c r="P1300">
        <v>2023</v>
      </c>
    </row>
    <row r="1301" spans="15:16" x14ac:dyDescent="0.3">
      <c r="O1301" t="s">
        <v>555</v>
      </c>
      <c r="P1301">
        <v>2023</v>
      </c>
    </row>
    <row r="1302" spans="15:16" x14ac:dyDescent="0.3">
      <c r="O1302" t="s">
        <v>271</v>
      </c>
      <c r="P1302">
        <v>2023</v>
      </c>
    </row>
    <row r="1303" spans="15:16" x14ac:dyDescent="0.3">
      <c r="O1303" t="s">
        <v>452</v>
      </c>
      <c r="P1303">
        <v>2023</v>
      </c>
    </row>
    <row r="1304" spans="15:16" x14ac:dyDescent="0.3">
      <c r="O1304" t="s">
        <v>201</v>
      </c>
      <c r="P1304">
        <v>2023</v>
      </c>
    </row>
    <row r="1305" spans="15:16" x14ac:dyDescent="0.3">
      <c r="O1305" t="s">
        <v>436</v>
      </c>
      <c r="P1305">
        <v>2023</v>
      </c>
    </row>
    <row r="1306" spans="15:16" x14ac:dyDescent="0.3">
      <c r="O1306" t="s">
        <v>564</v>
      </c>
      <c r="P1306">
        <v>2023</v>
      </c>
    </row>
    <row r="1307" spans="15:16" x14ac:dyDescent="0.3">
      <c r="O1307" t="s">
        <v>744</v>
      </c>
      <c r="P1307">
        <v>2023</v>
      </c>
    </row>
    <row r="1308" spans="15:16" x14ac:dyDescent="0.3">
      <c r="O1308" t="s">
        <v>159</v>
      </c>
      <c r="P1308">
        <v>2023</v>
      </c>
    </row>
    <row r="1309" spans="15:16" x14ac:dyDescent="0.3">
      <c r="O1309" t="s">
        <v>342</v>
      </c>
      <c r="P1309">
        <v>2023</v>
      </c>
    </row>
    <row r="1310" spans="15:16" x14ac:dyDescent="0.3">
      <c r="O1310" t="s">
        <v>843</v>
      </c>
      <c r="P1310">
        <v>2023</v>
      </c>
    </row>
    <row r="1311" spans="15:16" x14ac:dyDescent="0.3">
      <c r="O1311" t="s">
        <v>472</v>
      </c>
      <c r="P1311">
        <v>2023</v>
      </c>
    </row>
    <row r="1312" spans="15:16" x14ac:dyDescent="0.3">
      <c r="O1312" t="s">
        <v>612</v>
      </c>
      <c r="P1312">
        <v>2023</v>
      </c>
    </row>
    <row r="1313" spans="15:16" x14ac:dyDescent="0.3">
      <c r="O1313" t="s">
        <v>729</v>
      </c>
      <c r="P1313">
        <v>2023</v>
      </c>
    </row>
    <row r="1314" spans="15:16" x14ac:dyDescent="0.3">
      <c r="O1314" t="s">
        <v>263</v>
      </c>
      <c r="P1314">
        <v>2023</v>
      </c>
    </row>
    <row r="1315" spans="15:16" x14ac:dyDescent="0.3">
      <c r="O1315" t="s">
        <v>491</v>
      </c>
      <c r="P1315">
        <v>2023</v>
      </c>
    </row>
    <row r="1316" spans="15:16" x14ac:dyDescent="0.3">
      <c r="O1316" t="s">
        <v>544</v>
      </c>
      <c r="P1316">
        <v>2023</v>
      </c>
    </row>
    <row r="1317" spans="15:16" x14ac:dyDescent="0.3">
      <c r="O1317" t="s">
        <v>460</v>
      </c>
      <c r="P1317">
        <v>2023</v>
      </c>
    </row>
    <row r="1318" spans="15:16" x14ac:dyDescent="0.3">
      <c r="O1318" t="s">
        <v>796</v>
      </c>
      <c r="P1318">
        <v>2023</v>
      </c>
    </row>
    <row r="1319" spans="15:16" x14ac:dyDescent="0.3">
      <c r="O1319" t="s">
        <v>525</v>
      </c>
      <c r="P1319">
        <v>2023</v>
      </c>
    </row>
    <row r="1320" spans="15:16" x14ac:dyDescent="0.3">
      <c r="O1320" t="s">
        <v>387</v>
      </c>
      <c r="P1320">
        <v>2023</v>
      </c>
    </row>
    <row r="1321" spans="15:16" x14ac:dyDescent="0.3">
      <c r="O1321" t="s">
        <v>208</v>
      </c>
      <c r="P1321">
        <v>2023</v>
      </c>
    </row>
    <row r="1322" spans="15:16" x14ac:dyDescent="0.3">
      <c r="O1322" t="s">
        <v>722</v>
      </c>
      <c r="P1322">
        <v>2023</v>
      </c>
    </row>
    <row r="1323" spans="15:16" x14ac:dyDescent="0.3">
      <c r="O1323" t="s">
        <v>91</v>
      </c>
      <c r="P1323">
        <v>2023</v>
      </c>
    </row>
    <row r="1324" spans="15:16" x14ac:dyDescent="0.3">
      <c r="O1324" t="s">
        <v>274</v>
      </c>
      <c r="P1324">
        <v>2023</v>
      </c>
    </row>
    <row r="1325" spans="15:16" x14ac:dyDescent="0.3">
      <c r="O1325" t="s">
        <v>425</v>
      </c>
      <c r="P1325">
        <v>2023</v>
      </c>
    </row>
    <row r="1326" spans="15:16" x14ac:dyDescent="0.3">
      <c r="O1326" t="s">
        <v>34</v>
      </c>
      <c r="P1326">
        <v>2023</v>
      </c>
    </row>
    <row r="1327" spans="15:16" x14ac:dyDescent="0.3">
      <c r="O1327" t="s">
        <v>844</v>
      </c>
      <c r="P1327">
        <v>2023</v>
      </c>
    </row>
    <row r="1328" spans="15:16" x14ac:dyDescent="0.3">
      <c r="O1328" t="s">
        <v>144</v>
      </c>
      <c r="P1328">
        <v>2023</v>
      </c>
    </row>
    <row r="1329" spans="15:16" x14ac:dyDescent="0.3">
      <c r="O1329" t="s">
        <v>654</v>
      </c>
      <c r="P1329">
        <v>2023</v>
      </c>
    </row>
    <row r="1330" spans="15:16" x14ac:dyDescent="0.3">
      <c r="O1330" t="s">
        <v>349</v>
      </c>
      <c r="P1330">
        <v>2023</v>
      </c>
    </row>
    <row r="1331" spans="15:16" x14ac:dyDescent="0.3">
      <c r="O1331" t="s">
        <v>77</v>
      </c>
      <c r="P1331">
        <v>2023</v>
      </c>
    </row>
    <row r="1332" spans="15:16" x14ac:dyDescent="0.3">
      <c r="O1332" t="s">
        <v>36</v>
      </c>
      <c r="P1332">
        <v>2023</v>
      </c>
    </row>
    <row r="1333" spans="15:16" x14ac:dyDescent="0.3">
      <c r="O1333" t="s">
        <v>426</v>
      </c>
      <c r="P1333">
        <v>2023</v>
      </c>
    </row>
    <row r="1334" spans="15:16" x14ac:dyDescent="0.3">
      <c r="O1334" t="s">
        <v>661</v>
      </c>
      <c r="P1334">
        <v>2023</v>
      </c>
    </row>
    <row r="1335" spans="15:16" x14ac:dyDescent="0.3">
      <c r="O1335" t="s">
        <v>577</v>
      </c>
      <c r="P1335">
        <v>2023</v>
      </c>
    </row>
    <row r="1336" spans="15:16" x14ac:dyDescent="0.3">
      <c r="O1336" t="s">
        <v>663</v>
      </c>
      <c r="P1336">
        <v>2023</v>
      </c>
    </row>
    <row r="1337" spans="15:16" x14ac:dyDescent="0.3">
      <c r="O1337" t="s">
        <v>471</v>
      </c>
      <c r="P1337">
        <v>2023</v>
      </c>
    </row>
    <row r="1338" spans="15:16" x14ac:dyDescent="0.3">
      <c r="O1338" t="s">
        <v>150</v>
      </c>
      <c r="P1338">
        <v>2023</v>
      </c>
    </row>
    <row r="1339" spans="15:16" x14ac:dyDescent="0.3">
      <c r="O1339" t="s">
        <v>319</v>
      </c>
      <c r="P1339">
        <v>2023</v>
      </c>
    </row>
    <row r="1340" spans="15:16" x14ac:dyDescent="0.3">
      <c r="O1340" t="s">
        <v>391</v>
      </c>
      <c r="P1340">
        <v>2023</v>
      </c>
    </row>
    <row r="1341" spans="15:16" x14ac:dyDescent="0.3">
      <c r="O1341" t="s">
        <v>249</v>
      </c>
      <c r="P1341">
        <v>2023</v>
      </c>
    </row>
    <row r="1342" spans="15:16" x14ac:dyDescent="0.3">
      <c r="O1342" t="s">
        <v>745</v>
      </c>
      <c r="P1342">
        <v>2023</v>
      </c>
    </row>
    <row r="1343" spans="15:16" x14ac:dyDescent="0.3">
      <c r="O1343" t="s">
        <v>242</v>
      </c>
      <c r="P1343">
        <v>2023</v>
      </c>
    </row>
    <row r="1344" spans="15:16" x14ac:dyDescent="0.3">
      <c r="O1344" t="s">
        <v>617</v>
      </c>
      <c r="P1344">
        <v>2023</v>
      </c>
    </row>
    <row r="1345" spans="15:16" x14ac:dyDescent="0.3">
      <c r="O1345" t="s">
        <v>215</v>
      </c>
      <c r="P1345">
        <v>2023</v>
      </c>
    </row>
    <row r="1346" spans="15:16" x14ac:dyDescent="0.3">
      <c r="O1346" t="s">
        <v>683</v>
      </c>
      <c r="P1346">
        <v>2023</v>
      </c>
    </row>
    <row r="1347" spans="15:16" x14ac:dyDescent="0.3">
      <c r="O1347" t="s">
        <v>545</v>
      </c>
      <c r="P1347">
        <v>2023</v>
      </c>
    </row>
    <row r="1348" spans="15:16" x14ac:dyDescent="0.3">
      <c r="O1348" t="s">
        <v>186</v>
      </c>
      <c r="P1348">
        <v>2023</v>
      </c>
    </row>
    <row r="1349" spans="15:16" x14ac:dyDescent="0.3">
      <c r="O1349" t="s">
        <v>608</v>
      </c>
      <c r="P1349">
        <v>2023</v>
      </c>
    </row>
    <row r="1350" spans="15:16" x14ac:dyDescent="0.3">
      <c r="O1350" t="s">
        <v>494</v>
      </c>
      <c r="P1350">
        <v>2023</v>
      </c>
    </row>
    <row r="1351" spans="15:16" x14ac:dyDescent="0.3">
      <c r="O1351" t="s">
        <v>572</v>
      </c>
      <c r="P1351">
        <v>2023</v>
      </c>
    </row>
    <row r="1352" spans="15:16" x14ac:dyDescent="0.3">
      <c r="O1352" t="s">
        <v>298</v>
      </c>
      <c r="P1352">
        <v>2023</v>
      </c>
    </row>
    <row r="1353" spans="15:16" x14ac:dyDescent="0.3">
      <c r="O1353" t="s">
        <v>182</v>
      </c>
      <c r="P1353">
        <v>2023</v>
      </c>
    </row>
    <row r="1354" spans="15:16" x14ac:dyDescent="0.3">
      <c r="O1354" t="s">
        <v>716</v>
      </c>
      <c r="P1354">
        <v>2023</v>
      </c>
    </row>
    <row r="1355" spans="15:16" x14ac:dyDescent="0.3">
      <c r="O1355" t="s">
        <v>845</v>
      </c>
      <c r="P1355">
        <v>2023</v>
      </c>
    </row>
    <row r="1356" spans="15:16" x14ac:dyDescent="0.3">
      <c r="O1356" t="s">
        <v>324</v>
      </c>
      <c r="P1356">
        <v>2023</v>
      </c>
    </row>
    <row r="1357" spans="15:16" x14ac:dyDescent="0.3">
      <c r="O1357" t="s">
        <v>179</v>
      </c>
      <c r="P1357">
        <v>2023</v>
      </c>
    </row>
    <row r="1358" spans="15:16" x14ac:dyDescent="0.3">
      <c r="O1358" t="s">
        <v>644</v>
      </c>
      <c r="P1358">
        <v>2023</v>
      </c>
    </row>
    <row r="1359" spans="15:16" x14ac:dyDescent="0.3">
      <c r="O1359" t="s">
        <v>190</v>
      </c>
      <c r="P1359">
        <v>2023</v>
      </c>
    </row>
    <row r="1360" spans="15:16" x14ac:dyDescent="0.3">
      <c r="O1360" t="s">
        <v>65</v>
      </c>
      <c r="P1360">
        <v>2023</v>
      </c>
    </row>
    <row r="1361" spans="15:16" x14ac:dyDescent="0.3">
      <c r="O1361" t="s">
        <v>546</v>
      </c>
      <c r="P1361">
        <v>2023</v>
      </c>
    </row>
    <row r="1362" spans="15:16" x14ac:dyDescent="0.3">
      <c r="O1362" t="s">
        <v>183</v>
      </c>
      <c r="P1362">
        <v>2023</v>
      </c>
    </row>
    <row r="1363" spans="15:16" x14ac:dyDescent="0.3">
      <c r="O1363" t="s">
        <v>632</v>
      </c>
      <c r="P1363">
        <v>2023</v>
      </c>
    </row>
    <row r="1364" spans="15:16" x14ac:dyDescent="0.3">
      <c r="O1364" t="s">
        <v>403</v>
      </c>
      <c r="P1364">
        <v>2023</v>
      </c>
    </row>
    <row r="1365" spans="15:16" x14ac:dyDescent="0.3">
      <c r="O1365" t="s">
        <v>97</v>
      </c>
      <c r="P1365">
        <v>2023</v>
      </c>
    </row>
    <row r="1366" spans="15:16" x14ac:dyDescent="0.3">
      <c r="O1366" t="s">
        <v>846</v>
      </c>
      <c r="P1366">
        <v>2023</v>
      </c>
    </row>
    <row r="1367" spans="15:16" x14ac:dyDescent="0.3">
      <c r="O1367" t="s">
        <v>340</v>
      </c>
      <c r="P1367">
        <v>2023</v>
      </c>
    </row>
    <row r="1368" spans="15:16" x14ac:dyDescent="0.3">
      <c r="O1368" t="s">
        <v>749</v>
      </c>
      <c r="P1368">
        <v>2023</v>
      </c>
    </row>
    <row r="1369" spans="15:16" x14ac:dyDescent="0.3">
      <c r="O1369" t="s">
        <v>591</v>
      </c>
      <c r="P1369">
        <v>2023</v>
      </c>
    </row>
    <row r="1370" spans="15:16" x14ac:dyDescent="0.3">
      <c r="O1370" t="s">
        <v>461</v>
      </c>
      <c r="P1370">
        <v>2023</v>
      </c>
    </row>
    <row r="1371" spans="15:16" x14ac:dyDescent="0.3">
      <c r="O1371" t="s">
        <v>286</v>
      </c>
      <c r="P1371">
        <v>2023</v>
      </c>
    </row>
    <row r="1372" spans="15:16" x14ac:dyDescent="0.3">
      <c r="O1372" t="s">
        <v>343</v>
      </c>
      <c r="P1372">
        <v>2023</v>
      </c>
    </row>
    <row r="1373" spans="15:16" x14ac:dyDescent="0.3">
      <c r="O1373" t="s">
        <v>602</v>
      </c>
      <c r="P1373">
        <v>2023</v>
      </c>
    </row>
    <row r="1374" spans="15:16" x14ac:dyDescent="0.3">
      <c r="O1374" t="s">
        <v>504</v>
      </c>
      <c r="P1374">
        <v>2023</v>
      </c>
    </row>
    <row r="1375" spans="15:16" x14ac:dyDescent="0.3">
      <c r="O1375" t="s">
        <v>448</v>
      </c>
      <c r="P1375">
        <v>2023</v>
      </c>
    </row>
    <row r="1376" spans="15:16" x14ac:dyDescent="0.3">
      <c r="O1376" t="s">
        <v>847</v>
      </c>
      <c r="P1376">
        <v>2023</v>
      </c>
    </row>
    <row r="1377" spans="15:16" x14ac:dyDescent="0.3">
      <c r="O1377" t="s">
        <v>605</v>
      </c>
      <c r="P1377">
        <v>2023</v>
      </c>
    </row>
    <row r="1378" spans="15:16" x14ac:dyDescent="0.3">
      <c r="O1378" t="s">
        <v>527</v>
      </c>
      <c r="P1378">
        <v>2023</v>
      </c>
    </row>
    <row r="1379" spans="15:16" x14ac:dyDescent="0.3">
      <c r="O1379" t="s">
        <v>700</v>
      </c>
      <c r="P1379">
        <v>2023</v>
      </c>
    </row>
    <row r="1380" spans="15:16" x14ac:dyDescent="0.3">
      <c r="O1380" t="s">
        <v>220</v>
      </c>
      <c r="P1380">
        <v>2023</v>
      </c>
    </row>
    <row r="1381" spans="15:16" x14ac:dyDescent="0.3">
      <c r="O1381" t="s">
        <v>214</v>
      </c>
      <c r="P1381">
        <v>2023</v>
      </c>
    </row>
    <row r="1382" spans="15:16" x14ac:dyDescent="0.3">
      <c r="O1382" t="s">
        <v>519</v>
      </c>
      <c r="P1382">
        <v>2023</v>
      </c>
    </row>
    <row r="1383" spans="15:16" x14ac:dyDescent="0.3">
      <c r="O1383" t="s">
        <v>554</v>
      </c>
      <c r="P1383">
        <v>2023</v>
      </c>
    </row>
    <row r="1384" spans="15:16" x14ac:dyDescent="0.3">
      <c r="O1384" t="s">
        <v>848</v>
      </c>
      <c r="P1384">
        <v>2023</v>
      </c>
    </row>
    <row r="1385" spans="15:16" x14ac:dyDescent="0.3">
      <c r="O1385" t="s">
        <v>822</v>
      </c>
      <c r="P1385">
        <v>2023</v>
      </c>
    </row>
    <row r="1386" spans="15:16" x14ac:dyDescent="0.3">
      <c r="O1386" t="s">
        <v>69</v>
      </c>
      <c r="P1386">
        <v>2023</v>
      </c>
    </row>
    <row r="1387" spans="15:16" x14ac:dyDescent="0.3">
      <c r="O1387" t="s">
        <v>374</v>
      </c>
      <c r="P1387">
        <v>2023</v>
      </c>
    </row>
    <row r="1388" spans="15:16" x14ac:dyDescent="0.3">
      <c r="O1388" t="s">
        <v>355</v>
      </c>
      <c r="P1388">
        <v>2023</v>
      </c>
    </row>
    <row r="1389" spans="15:16" x14ac:dyDescent="0.3">
      <c r="O1389" t="s">
        <v>755</v>
      </c>
      <c r="P1389">
        <v>2023</v>
      </c>
    </row>
    <row r="1390" spans="15:16" x14ac:dyDescent="0.3">
      <c r="O1390" t="s">
        <v>821</v>
      </c>
      <c r="P1390">
        <v>2023</v>
      </c>
    </row>
    <row r="1391" spans="15:16" x14ac:dyDescent="0.3">
      <c r="O1391" t="s">
        <v>783</v>
      </c>
      <c r="P1391">
        <v>2023</v>
      </c>
    </row>
    <row r="1392" spans="15:16" x14ac:dyDescent="0.3">
      <c r="O1392" t="s">
        <v>407</v>
      </c>
      <c r="P1392">
        <v>2023</v>
      </c>
    </row>
    <row r="1393" spans="15:16" x14ac:dyDescent="0.3">
      <c r="O1393" t="s">
        <v>849</v>
      </c>
      <c r="P1393">
        <v>2023</v>
      </c>
    </row>
    <row r="1394" spans="15:16" x14ac:dyDescent="0.3">
      <c r="O1394" t="s">
        <v>418</v>
      </c>
      <c r="P1394">
        <v>2023</v>
      </c>
    </row>
    <row r="1395" spans="15:16" x14ac:dyDescent="0.3">
      <c r="O1395" t="s">
        <v>657</v>
      </c>
      <c r="P1395">
        <v>2023</v>
      </c>
    </row>
    <row r="1396" spans="15:16" x14ac:dyDescent="0.3">
      <c r="O1396" t="s">
        <v>303</v>
      </c>
      <c r="P1396">
        <v>2023</v>
      </c>
    </row>
    <row r="1397" spans="15:16" x14ac:dyDescent="0.3">
      <c r="O1397" t="s">
        <v>850</v>
      </c>
      <c r="P1397">
        <v>2023</v>
      </c>
    </row>
    <row r="1398" spans="15:16" x14ac:dyDescent="0.3">
      <c r="O1398" t="s">
        <v>257</v>
      </c>
      <c r="P1398">
        <v>2023</v>
      </c>
    </row>
    <row r="1399" spans="15:16" x14ac:dyDescent="0.3">
      <c r="O1399" t="s">
        <v>787</v>
      </c>
      <c r="P1399">
        <v>2023</v>
      </c>
    </row>
    <row r="1400" spans="15:16" x14ac:dyDescent="0.3">
      <c r="O1400" t="s">
        <v>851</v>
      </c>
      <c r="P1400">
        <v>2023</v>
      </c>
    </row>
    <row r="1401" spans="15:16" x14ac:dyDescent="0.3">
      <c r="O1401" t="s">
        <v>307</v>
      </c>
      <c r="P1401">
        <v>2023</v>
      </c>
    </row>
    <row r="1402" spans="15:16" x14ac:dyDescent="0.3">
      <c r="O1402" t="s">
        <v>526</v>
      </c>
      <c r="P1402">
        <v>2023</v>
      </c>
    </row>
    <row r="1403" spans="15:16" x14ac:dyDescent="0.3">
      <c r="O1403" t="s">
        <v>348</v>
      </c>
      <c r="P1403">
        <v>2023</v>
      </c>
    </row>
    <row r="1404" spans="15:16" x14ac:dyDescent="0.3">
      <c r="O1404" t="s">
        <v>852</v>
      </c>
      <c r="P1404">
        <v>2023</v>
      </c>
    </row>
    <row r="1405" spans="15:16" x14ac:dyDescent="0.3">
      <c r="O1405" t="s">
        <v>61</v>
      </c>
      <c r="P1405">
        <v>2023</v>
      </c>
    </row>
    <row r="1406" spans="15:16" x14ac:dyDescent="0.3">
      <c r="O1406" t="s">
        <v>328</v>
      </c>
      <c r="P1406">
        <v>2023</v>
      </c>
    </row>
    <row r="1407" spans="15:16" x14ac:dyDescent="0.3">
      <c r="O1407" t="s">
        <v>532</v>
      </c>
      <c r="P1407">
        <v>2023</v>
      </c>
    </row>
    <row r="1408" spans="15:16" x14ac:dyDescent="0.3">
      <c r="O1408" t="s">
        <v>509</v>
      </c>
      <c r="P1408">
        <v>2023</v>
      </c>
    </row>
    <row r="1409" spans="15:16" x14ac:dyDescent="0.3">
      <c r="O1409" t="s">
        <v>697</v>
      </c>
      <c r="P1409">
        <v>2023</v>
      </c>
    </row>
    <row r="1410" spans="15:16" x14ac:dyDescent="0.3">
      <c r="O1410" t="s">
        <v>853</v>
      </c>
      <c r="P1410">
        <v>2023</v>
      </c>
    </row>
    <row r="1411" spans="15:16" x14ac:dyDescent="0.3">
      <c r="O1411" t="s">
        <v>771</v>
      </c>
      <c r="P1411">
        <v>2023</v>
      </c>
    </row>
    <row r="1412" spans="15:16" x14ac:dyDescent="0.3">
      <c r="O1412" t="s">
        <v>447</v>
      </c>
      <c r="P1412">
        <v>2023</v>
      </c>
    </row>
    <row r="1413" spans="15:16" x14ac:dyDescent="0.3">
      <c r="O1413" t="s">
        <v>272</v>
      </c>
      <c r="P1413">
        <v>2023</v>
      </c>
    </row>
    <row r="1414" spans="15:16" x14ac:dyDescent="0.3">
      <c r="O1414" t="s">
        <v>171</v>
      </c>
      <c r="P1414">
        <v>2023</v>
      </c>
    </row>
    <row r="1415" spans="15:16" x14ac:dyDescent="0.3">
      <c r="O1415" t="s">
        <v>438</v>
      </c>
      <c r="P1415">
        <v>2023</v>
      </c>
    </row>
    <row r="1416" spans="15:16" x14ac:dyDescent="0.3">
      <c r="O1416" t="s">
        <v>434</v>
      </c>
      <c r="P1416">
        <v>2023</v>
      </c>
    </row>
    <row r="1417" spans="15:16" x14ac:dyDescent="0.3">
      <c r="O1417" t="s">
        <v>721</v>
      </c>
      <c r="P1417">
        <v>2023</v>
      </c>
    </row>
    <row r="1418" spans="15:16" x14ac:dyDescent="0.3">
      <c r="O1418" t="s">
        <v>255</v>
      </c>
      <c r="P1418">
        <v>2023</v>
      </c>
    </row>
    <row r="1419" spans="15:16" x14ac:dyDescent="0.3">
      <c r="O1419" t="s">
        <v>435</v>
      </c>
      <c r="P1419">
        <v>2023</v>
      </c>
    </row>
    <row r="1420" spans="15:16" x14ac:dyDescent="0.3">
      <c r="O1420" t="s">
        <v>536</v>
      </c>
      <c r="P1420">
        <v>2023</v>
      </c>
    </row>
    <row r="1421" spans="15:16" x14ac:dyDescent="0.3">
      <c r="O1421" t="s">
        <v>854</v>
      </c>
      <c r="P1421">
        <v>2023</v>
      </c>
    </row>
    <row r="1422" spans="15:16" x14ac:dyDescent="0.3">
      <c r="O1422" t="s">
        <v>413</v>
      </c>
      <c r="P1422">
        <v>2023</v>
      </c>
    </row>
    <row r="1423" spans="15:16" x14ac:dyDescent="0.3">
      <c r="O1423" t="s">
        <v>534</v>
      </c>
      <c r="P1423">
        <v>2023</v>
      </c>
    </row>
    <row r="1424" spans="15:16" x14ac:dyDescent="0.3">
      <c r="O1424" t="s">
        <v>310</v>
      </c>
      <c r="P1424">
        <v>2023</v>
      </c>
    </row>
    <row r="1425" spans="15:16" x14ac:dyDescent="0.3">
      <c r="O1425" t="s">
        <v>415</v>
      </c>
      <c r="P1425">
        <v>2023</v>
      </c>
    </row>
    <row r="1426" spans="15:16" x14ac:dyDescent="0.3">
      <c r="O1426" t="s">
        <v>666</v>
      </c>
      <c r="P1426">
        <v>2023</v>
      </c>
    </row>
    <row r="1427" spans="15:16" x14ac:dyDescent="0.3">
      <c r="O1427" t="s">
        <v>623</v>
      </c>
      <c r="P1427">
        <v>2023</v>
      </c>
    </row>
    <row r="1428" spans="15:16" x14ac:dyDescent="0.3">
      <c r="O1428" t="s">
        <v>598</v>
      </c>
      <c r="P1428">
        <v>2023</v>
      </c>
    </row>
    <row r="1429" spans="15:16" x14ac:dyDescent="0.3">
      <c r="O1429" t="s">
        <v>291</v>
      </c>
      <c r="P1429">
        <v>2023</v>
      </c>
    </row>
    <row r="1430" spans="15:16" x14ac:dyDescent="0.3">
      <c r="O1430" t="s">
        <v>529</v>
      </c>
      <c r="P1430">
        <v>2023</v>
      </c>
    </row>
    <row r="1431" spans="15:16" x14ac:dyDescent="0.3">
      <c r="O1431" t="s">
        <v>2</v>
      </c>
      <c r="P1431">
        <v>2023</v>
      </c>
    </row>
    <row r="1432" spans="15:16" x14ac:dyDescent="0.3">
      <c r="O1432" t="s">
        <v>142</v>
      </c>
      <c r="P1432">
        <v>2023</v>
      </c>
    </row>
    <row r="1433" spans="15:16" x14ac:dyDescent="0.3">
      <c r="O1433" t="s">
        <v>828</v>
      </c>
      <c r="P1433">
        <v>2023</v>
      </c>
    </row>
    <row r="1434" spans="15:16" x14ac:dyDescent="0.3">
      <c r="O1434" t="s">
        <v>548</v>
      </c>
      <c r="P1434">
        <v>2023</v>
      </c>
    </row>
    <row r="1435" spans="15:16" x14ac:dyDescent="0.3">
      <c r="O1435" t="s">
        <v>41</v>
      </c>
      <c r="P1435">
        <v>2023</v>
      </c>
    </row>
    <row r="1436" spans="15:16" x14ac:dyDescent="0.3">
      <c r="O1436" t="s">
        <v>235</v>
      </c>
      <c r="P1436">
        <v>2023</v>
      </c>
    </row>
    <row r="1437" spans="15:16" x14ac:dyDescent="0.3">
      <c r="O1437" t="s">
        <v>419</v>
      </c>
      <c r="P1437">
        <v>2023</v>
      </c>
    </row>
    <row r="1438" spans="15:16" x14ac:dyDescent="0.3">
      <c r="O1438" t="s">
        <v>502</v>
      </c>
      <c r="P1438">
        <v>2023</v>
      </c>
    </row>
    <row r="1439" spans="15:16" x14ac:dyDescent="0.3">
      <c r="O1439" t="s">
        <v>327</v>
      </c>
      <c r="P1439">
        <v>2023</v>
      </c>
    </row>
    <row r="1440" spans="15:16" x14ac:dyDescent="0.3">
      <c r="O1440" t="s">
        <v>187</v>
      </c>
      <c r="P1440">
        <v>2023</v>
      </c>
    </row>
    <row r="1441" spans="15:16" x14ac:dyDescent="0.3">
      <c r="O1441" t="s">
        <v>581</v>
      </c>
      <c r="P1441">
        <v>2023</v>
      </c>
    </row>
    <row r="1442" spans="15:16" x14ac:dyDescent="0.3">
      <c r="O1442" t="s">
        <v>226</v>
      </c>
      <c r="P1442">
        <v>2023</v>
      </c>
    </row>
    <row r="1443" spans="15:16" x14ac:dyDescent="0.3">
      <c r="O1443" t="s">
        <v>621</v>
      </c>
      <c r="P1443">
        <v>2023</v>
      </c>
    </row>
    <row r="1444" spans="15:16" x14ac:dyDescent="0.3">
      <c r="O1444" t="s">
        <v>148</v>
      </c>
      <c r="P1444">
        <v>2023</v>
      </c>
    </row>
    <row r="1445" spans="15:16" x14ac:dyDescent="0.3">
      <c r="O1445" t="s">
        <v>188</v>
      </c>
      <c r="P1445">
        <v>2023</v>
      </c>
    </row>
    <row r="1446" spans="15:16" x14ac:dyDescent="0.3">
      <c r="O1446" t="s">
        <v>855</v>
      </c>
      <c r="P1446">
        <v>2023</v>
      </c>
    </row>
    <row r="1447" spans="15:16" x14ac:dyDescent="0.3">
      <c r="O1447" t="s">
        <v>664</v>
      </c>
      <c r="P1447">
        <v>2023</v>
      </c>
    </row>
    <row r="1448" spans="15:16" x14ac:dyDescent="0.3">
      <c r="O1448" t="s">
        <v>561</v>
      </c>
      <c r="P1448">
        <v>2023</v>
      </c>
    </row>
    <row r="1449" spans="15:16" x14ac:dyDescent="0.3">
      <c r="O1449" t="s">
        <v>540</v>
      </c>
      <c r="P1449">
        <v>2023</v>
      </c>
    </row>
    <row r="1450" spans="15:16" x14ac:dyDescent="0.3">
      <c r="O1450" t="s">
        <v>421</v>
      </c>
      <c r="P1450">
        <v>2023</v>
      </c>
    </row>
    <row r="1451" spans="15:16" x14ac:dyDescent="0.3">
      <c r="O1451" t="s">
        <v>167</v>
      </c>
      <c r="P1451">
        <v>2023</v>
      </c>
    </row>
    <row r="1452" spans="15:16" x14ac:dyDescent="0.3">
      <c r="O1452" t="s">
        <v>856</v>
      </c>
      <c r="P1452">
        <v>2023</v>
      </c>
    </row>
    <row r="1453" spans="15:16" x14ac:dyDescent="0.3">
      <c r="O1453" t="s">
        <v>388</v>
      </c>
      <c r="P1453">
        <v>2023</v>
      </c>
    </row>
    <row r="1454" spans="15:16" x14ac:dyDescent="0.3">
      <c r="O1454" t="s">
        <v>205</v>
      </c>
      <c r="P1454">
        <v>2023</v>
      </c>
    </row>
    <row r="1455" spans="15:16" x14ac:dyDescent="0.3">
      <c r="O1455" t="s">
        <v>252</v>
      </c>
      <c r="P1455">
        <v>2023</v>
      </c>
    </row>
    <row r="1456" spans="15:16" x14ac:dyDescent="0.3">
      <c r="O1456" t="s">
        <v>370</v>
      </c>
      <c r="P1456">
        <v>2023</v>
      </c>
    </row>
    <row r="1457" spans="15:16" x14ac:dyDescent="0.3">
      <c r="O1457" t="s">
        <v>565</v>
      </c>
      <c r="P1457">
        <v>2023</v>
      </c>
    </row>
    <row r="1458" spans="15:16" x14ac:dyDescent="0.3">
      <c r="O1458" t="s">
        <v>432</v>
      </c>
      <c r="P1458">
        <v>2023</v>
      </c>
    </row>
    <row r="1459" spans="15:16" x14ac:dyDescent="0.3">
      <c r="O1459" t="s">
        <v>668</v>
      </c>
      <c r="P1459">
        <v>2023</v>
      </c>
    </row>
    <row r="1460" spans="15:16" x14ac:dyDescent="0.3">
      <c r="O1460" t="s">
        <v>658</v>
      </c>
      <c r="P1460">
        <v>2023</v>
      </c>
    </row>
    <row r="1461" spans="15:16" x14ac:dyDescent="0.3">
      <c r="O1461" t="s">
        <v>806</v>
      </c>
      <c r="P1461">
        <v>2023</v>
      </c>
    </row>
    <row r="1462" spans="15:16" x14ac:dyDescent="0.3">
      <c r="O1462" t="s">
        <v>857</v>
      </c>
      <c r="P1462">
        <v>2023</v>
      </c>
    </row>
    <row r="1463" spans="15:16" x14ac:dyDescent="0.3">
      <c r="O1463" t="s">
        <v>299</v>
      </c>
      <c r="P1463">
        <v>2023</v>
      </c>
    </row>
    <row r="1464" spans="15:16" x14ac:dyDescent="0.3">
      <c r="O1464" t="s">
        <v>279</v>
      </c>
      <c r="P1464">
        <v>2023</v>
      </c>
    </row>
    <row r="1465" spans="15:16" x14ac:dyDescent="0.3">
      <c r="O1465" t="s">
        <v>586</v>
      </c>
      <c r="P1465">
        <v>2023</v>
      </c>
    </row>
    <row r="1466" spans="15:16" x14ac:dyDescent="0.3">
      <c r="O1466" t="s">
        <v>409</v>
      </c>
      <c r="P1466">
        <v>2023</v>
      </c>
    </row>
    <row r="1467" spans="15:16" x14ac:dyDescent="0.3">
      <c r="O1467" t="s">
        <v>475</v>
      </c>
      <c r="P1467">
        <v>2023</v>
      </c>
    </row>
    <row r="1468" spans="15:16" x14ac:dyDescent="0.3">
      <c r="O1468" t="s">
        <v>488</v>
      </c>
      <c r="P1468">
        <v>2023</v>
      </c>
    </row>
    <row r="1469" spans="15:16" x14ac:dyDescent="0.3">
      <c r="O1469" t="s">
        <v>747</v>
      </c>
      <c r="P1469">
        <v>2023</v>
      </c>
    </row>
    <row r="1470" spans="15:16" x14ac:dyDescent="0.3">
      <c r="O1470" t="s">
        <v>282</v>
      </c>
      <c r="P1470">
        <v>2023</v>
      </c>
    </row>
    <row r="1471" spans="15:16" x14ac:dyDescent="0.3">
      <c r="O1471" t="s">
        <v>322</v>
      </c>
      <c r="P1471">
        <v>2023</v>
      </c>
    </row>
    <row r="1472" spans="15:16" x14ac:dyDescent="0.3">
      <c r="O1472" t="s">
        <v>177</v>
      </c>
      <c r="P1472">
        <v>2023</v>
      </c>
    </row>
    <row r="1473" spans="15:16" x14ac:dyDescent="0.3">
      <c r="O1473" t="s">
        <v>691</v>
      </c>
      <c r="P1473">
        <v>2023</v>
      </c>
    </row>
    <row r="1474" spans="15:16" x14ac:dyDescent="0.3">
      <c r="O1474" t="s">
        <v>858</v>
      </c>
      <c r="P1474">
        <v>2023</v>
      </c>
    </row>
    <row r="1475" spans="15:16" x14ac:dyDescent="0.3">
      <c r="O1475" t="s">
        <v>859</v>
      </c>
      <c r="P1475">
        <v>2023</v>
      </c>
    </row>
    <row r="1476" spans="15:16" x14ac:dyDescent="0.3">
      <c r="O1476" t="s">
        <v>468</v>
      </c>
      <c r="P1476">
        <v>2023</v>
      </c>
    </row>
    <row r="1477" spans="15:16" x14ac:dyDescent="0.3">
      <c r="O1477" t="s">
        <v>860</v>
      </c>
      <c r="P1477">
        <v>2023</v>
      </c>
    </row>
    <row r="1478" spans="15:16" x14ac:dyDescent="0.3">
      <c r="O1478" t="s">
        <v>296</v>
      </c>
      <c r="P1478">
        <v>2023</v>
      </c>
    </row>
    <row r="1479" spans="15:16" x14ac:dyDescent="0.3">
      <c r="O1479" t="s">
        <v>563</v>
      </c>
      <c r="P1479">
        <v>2023</v>
      </c>
    </row>
    <row r="1480" spans="15:16" x14ac:dyDescent="0.3">
      <c r="O1480" t="s">
        <v>601</v>
      </c>
      <c r="P1480">
        <v>2023</v>
      </c>
    </row>
    <row r="1481" spans="15:16" x14ac:dyDescent="0.3">
      <c r="O1481" t="s">
        <v>735</v>
      </c>
      <c r="P1481">
        <v>2023</v>
      </c>
    </row>
    <row r="1482" spans="15:16" x14ac:dyDescent="0.3">
      <c r="O1482" t="s">
        <v>229</v>
      </c>
      <c r="P1482">
        <v>2023</v>
      </c>
    </row>
    <row r="1483" spans="15:16" x14ac:dyDescent="0.3">
      <c r="O1483" t="s">
        <v>517</v>
      </c>
      <c r="P1483">
        <v>2023</v>
      </c>
    </row>
    <row r="1484" spans="15:16" x14ac:dyDescent="0.3">
      <c r="O1484" t="s">
        <v>53</v>
      </c>
      <c r="P1484">
        <v>2023</v>
      </c>
    </row>
    <row r="1485" spans="15:16" x14ac:dyDescent="0.3">
      <c r="O1485" t="s">
        <v>861</v>
      </c>
      <c r="P1485">
        <v>2023</v>
      </c>
    </row>
    <row r="1486" spans="15:16" x14ac:dyDescent="0.3">
      <c r="O1486" t="s">
        <v>775</v>
      </c>
      <c r="P1486">
        <v>2023</v>
      </c>
    </row>
    <row r="1487" spans="15:16" x14ac:dyDescent="0.3">
      <c r="O1487" t="s">
        <v>456</v>
      </c>
      <c r="P1487">
        <v>2023</v>
      </c>
    </row>
    <row r="1488" spans="15:16" x14ac:dyDescent="0.3">
      <c r="O1488" t="s">
        <v>402</v>
      </c>
      <c r="P1488">
        <v>2023</v>
      </c>
    </row>
    <row r="1489" spans="15:16" x14ac:dyDescent="0.3">
      <c r="O1489" t="s">
        <v>270</v>
      </c>
      <c r="P1489">
        <v>2023</v>
      </c>
    </row>
    <row r="1490" spans="15:16" x14ac:dyDescent="0.3">
      <c r="O1490" t="s">
        <v>862</v>
      </c>
      <c r="P1490">
        <v>2023</v>
      </c>
    </row>
    <row r="1491" spans="15:16" x14ac:dyDescent="0.3">
      <c r="O1491" t="s">
        <v>381</v>
      </c>
      <c r="P1491">
        <v>2023</v>
      </c>
    </row>
    <row r="1492" spans="15:16" x14ac:dyDescent="0.3">
      <c r="O1492" t="s">
        <v>695</v>
      </c>
      <c r="P1492">
        <v>2023</v>
      </c>
    </row>
    <row r="1493" spans="15:16" x14ac:dyDescent="0.3">
      <c r="O1493" t="s">
        <v>713</v>
      </c>
      <c r="P1493">
        <v>2023</v>
      </c>
    </row>
    <row r="1494" spans="15:16" x14ac:dyDescent="0.3">
      <c r="O1494" t="s">
        <v>863</v>
      </c>
      <c r="P1494">
        <v>2023</v>
      </c>
    </row>
    <row r="1495" spans="15:16" x14ac:dyDescent="0.3">
      <c r="O1495" t="s">
        <v>569</v>
      </c>
      <c r="P1495">
        <v>2023</v>
      </c>
    </row>
    <row r="1496" spans="15:16" x14ac:dyDescent="0.3">
      <c r="O1496" t="s">
        <v>111</v>
      </c>
      <c r="P1496">
        <v>2023</v>
      </c>
    </row>
    <row r="1497" spans="15:16" x14ac:dyDescent="0.3">
      <c r="O1497" t="s">
        <v>267</v>
      </c>
      <c r="P1497">
        <v>2023</v>
      </c>
    </row>
    <row r="1498" spans="15:16" x14ac:dyDescent="0.3">
      <c r="O1498" t="s">
        <v>594</v>
      </c>
      <c r="P1498">
        <v>2023</v>
      </c>
    </row>
    <row r="1499" spans="15:16" x14ac:dyDescent="0.3">
      <c r="O1499" t="s">
        <v>455</v>
      </c>
      <c r="P1499">
        <v>2023</v>
      </c>
    </row>
    <row r="1500" spans="15:16" x14ac:dyDescent="0.3">
      <c r="O1500" t="s">
        <v>779</v>
      </c>
      <c r="P1500">
        <v>2023</v>
      </c>
    </row>
    <row r="1501" spans="15:16" x14ac:dyDescent="0.3">
      <c r="O1501" t="s">
        <v>751</v>
      </c>
      <c r="P1501">
        <v>2023</v>
      </c>
    </row>
    <row r="1502" spans="15:16" x14ac:dyDescent="0.3">
      <c r="O1502" t="s">
        <v>678</v>
      </c>
      <c r="P1502">
        <v>2023</v>
      </c>
    </row>
    <row r="1503" spans="15:16" x14ac:dyDescent="0.3">
      <c r="O1503" t="s">
        <v>686</v>
      </c>
      <c r="P1503">
        <v>2023</v>
      </c>
    </row>
    <row r="1504" spans="15:16" x14ac:dyDescent="0.3">
      <c r="O1504" t="s">
        <v>234</v>
      </c>
      <c r="P1504">
        <v>2023</v>
      </c>
    </row>
    <row r="1505" spans="15:16" x14ac:dyDescent="0.3">
      <c r="O1505" t="s">
        <v>635</v>
      </c>
      <c r="P1505">
        <v>2023</v>
      </c>
    </row>
    <row r="1506" spans="15:16" x14ac:dyDescent="0.3">
      <c r="O1506" t="s">
        <v>89</v>
      </c>
      <c r="P1506">
        <v>2023</v>
      </c>
    </row>
    <row r="1507" spans="15:16" x14ac:dyDescent="0.3">
      <c r="O1507" t="s">
        <v>628</v>
      </c>
      <c r="P1507">
        <v>2023</v>
      </c>
    </row>
    <row r="1508" spans="15:16" x14ac:dyDescent="0.3">
      <c r="O1508" t="s">
        <v>233</v>
      </c>
      <c r="P1508">
        <v>2023</v>
      </c>
    </row>
    <row r="1509" spans="15:16" x14ac:dyDescent="0.3">
      <c r="O1509" t="s">
        <v>417</v>
      </c>
      <c r="P1509">
        <v>2023</v>
      </c>
    </row>
    <row r="1510" spans="15:16" x14ac:dyDescent="0.3">
      <c r="O1510" t="s">
        <v>864</v>
      </c>
      <c r="P1510">
        <v>2023</v>
      </c>
    </row>
    <row r="1511" spans="15:16" x14ac:dyDescent="0.3">
      <c r="O1511" t="s">
        <v>759</v>
      </c>
      <c r="P1511">
        <v>2023</v>
      </c>
    </row>
    <row r="1512" spans="15:16" x14ac:dyDescent="0.3">
      <c r="O1512" t="s">
        <v>614</v>
      </c>
      <c r="P1512">
        <v>2023</v>
      </c>
    </row>
    <row r="1513" spans="15:16" x14ac:dyDescent="0.3">
      <c r="O1513" t="s">
        <v>482</v>
      </c>
      <c r="P1513">
        <v>2023</v>
      </c>
    </row>
    <row r="1514" spans="15:16" x14ac:dyDescent="0.3">
      <c r="O1514" t="s">
        <v>865</v>
      </c>
      <c r="P1514">
        <v>2023</v>
      </c>
    </row>
    <row r="1515" spans="15:16" x14ac:dyDescent="0.3">
      <c r="O1515" t="s">
        <v>224</v>
      </c>
      <c r="P1515">
        <v>2023</v>
      </c>
    </row>
    <row r="1516" spans="15:16" x14ac:dyDescent="0.3">
      <c r="O1516" t="s">
        <v>437</v>
      </c>
      <c r="P1516">
        <v>2023</v>
      </c>
    </row>
    <row r="1517" spans="15:16" x14ac:dyDescent="0.3">
      <c r="O1517" t="s">
        <v>57</v>
      </c>
      <c r="P1517">
        <v>2023</v>
      </c>
    </row>
    <row r="1518" spans="15:16" x14ac:dyDescent="0.3">
      <c r="O1518" t="s">
        <v>752</v>
      </c>
      <c r="P1518">
        <v>2023</v>
      </c>
    </row>
    <row r="1519" spans="15:16" x14ac:dyDescent="0.3">
      <c r="O1519" t="s">
        <v>364</v>
      </c>
      <c r="P1519">
        <v>2023</v>
      </c>
    </row>
    <row r="1520" spans="15:16" x14ac:dyDescent="0.3">
      <c r="O1520" t="s">
        <v>516</v>
      </c>
      <c r="P1520">
        <v>2023</v>
      </c>
    </row>
    <row r="1521" spans="15:16" x14ac:dyDescent="0.3">
      <c r="O1521" t="s">
        <v>406</v>
      </c>
      <c r="P1521">
        <v>2023</v>
      </c>
    </row>
    <row r="1522" spans="15:16" x14ac:dyDescent="0.3">
      <c r="O1522" t="s">
        <v>805</v>
      </c>
      <c r="P1522">
        <v>2023</v>
      </c>
    </row>
    <row r="1523" spans="15:16" x14ac:dyDescent="0.3">
      <c r="O1523" t="s">
        <v>820</v>
      </c>
      <c r="P1523">
        <v>2023</v>
      </c>
    </row>
    <row r="1524" spans="15:16" x14ac:dyDescent="0.3">
      <c r="O1524" t="s">
        <v>430</v>
      </c>
      <c r="P1524">
        <v>2023</v>
      </c>
    </row>
    <row r="1525" spans="15:16" x14ac:dyDescent="0.3">
      <c r="O1525" t="s">
        <v>278</v>
      </c>
      <c r="P1525">
        <v>2023</v>
      </c>
    </row>
    <row r="1526" spans="15:16" x14ac:dyDescent="0.3">
      <c r="O1526" t="s">
        <v>707</v>
      </c>
      <c r="P1526">
        <v>2023</v>
      </c>
    </row>
    <row r="1527" spans="15:16" x14ac:dyDescent="0.3">
      <c r="O1527" t="s">
        <v>369</v>
      </c>
      <c r="P1527">
        <v>2023</v>
      </c>
    </row>
    <row r="1528" spans="15:16" x14ac:dyDescent="0.3">
      <c r="O1528" t="s">
        <v>673</v>
      </c>
      <c r="P1528">
        <v>2023</v>
      </c>
    </row>
    <row r="1529" spans="15:16" x14ac:dyDescent="0.3">
      <c r="O1529" t="s">
        <v>140</v>
      </c>
      <c r="P1529">
        <v>2023</v>
      </c>
    </row>
    <row r="1530" spans="15:16" x14ac:dyDescent="0.3">
      <c r="O1530" t="s">
        <v>672</v>
      </c>
      <c r="P1530">
        <v>2023</v>
      </c>
    </row>
    <row r="1531" spans="15:16" x14ac:dyDescent="0.3">
      <c r="O1531" t="s">
        <v>467</v>
      </c>
      <c r="P1531">
        <v>2023</v>
      </c>
    </row>
    <row r="1532" spans="15:16" x14ac:dyDescent="0.3">
      <c r="O1532" t="s">
        <v>261</v>
      </c>
      <c r="P1532">
        <v>2023</v>
      </c>
    </row>
    <row r="1533" spans="15:16" x14ac:dyDescent="0.3">
      <c r="O1533" t="s">
        <v>197</v>
      </c>
      <c r="P1533">
        <v>2023</v>
      </c>
    </row>
    <row r="1534" spans="15:16" x14ac:dyDescent="0.3">
      <c r="O1534" t="s">
        <v>733</v>
      </c>
      <c r="P1534">
        <v>2023</v>
      </c>
    </row>
    <row r="1535" spans="15:16" x14ac:dyDescent="0.3">
      <c r="O1535" t="s">
        <v>593</v>
      </c>
      <c r="P1535">
        <v>2023</v>
      </c>
    </row>
    <row r="1536" spans="15:16" x14ac:dyDescent="0.3">
      <c r="O1536" t="s">
        <v>763</v>
      </c>
      <c r="P1536">
        <v>2023</v>
      </c>
    </row>
    <row r="1537" spans="15:16" x14ac:dyDescent="0.3">
      <c r="O1537" t="s">
        <v>341</v>
      </c>
      <c r="P1537">
        <v>2023</v>
      </c>
    </row>
    <row r="1538" spans="15:16" x14ac:dyDescent="0.3">
      <c r="O1538" t="s">
        <v>866</v>
      </c>
      <c r="P1538">
        <v>2023</v>
      </c>
    </row>
    <row r="1539" spans="15:16" x14ac:dyDescent="0.3">
      <c r="O1539" t="s">
        <v>334</v>
      </c>
      <c r="P1539">
        <v>2023</v>
      </c>
    </row>
    <row r="1540" spans="15:16" x14ac:dyDescent="0.3">
      <c r="O1540" t="s">
        <v>553</v>
      </c>
      <c r="P1540">
        <v>2023</v>
      </c>
    </row>
    <row r="1541" spans="15:16" x14ac:dyDescent="0.3">
      <c r="O1541" t="s">
        <v>244</v>
      </c>
      <c r="P1541">
        <v>2023</v>
      </c>
    </row>
    <row r="1542" spans="15:16" x14ac:dyDescent="0.3">
      <c r="O1542" t="s">
        <v>315</v>
      </c>
      <c r="P1542">
        <v>2023</v>
      </c>
    </row>
    <row r="1543" spans="15:16" x14ac:dyDescent="0.3">
      <c r="O1543" t="s">
        <v>285</v>
      </c>
      <c r="P1543">
        <v>2023</v>
      </c>
    </row>
    <row r="1544" spans="15:16" x14ac:dyDescent="0.3">
      <c r="O1544" t="s">
        <v>483</v>
      </c>
      <c r="P1544">
        <v>2023</v>
      </c>
    </row>
    <row r="1545" spans="15:16" x14ac:dyDescent="0.3">
      <c r="O1545" t="s">
        <v>737</v>
      </c>
      <c r="P1545">
        <v>2023</v>
      </c>
    </row>
    <row r="1546" spans="15:16" x14ac:dyDescent="0.3">
      <c r="O1546" t="s">
        <v>462</v>
      </c>
      <c r="P1546">
        <v>2023</v>
      </c>
    </row>
    <row r="1547" spans="15:16" x14ac:dyDescent="0.3">
      <c r="O1547" t="s">
        <v>709</v>
      </c>
      <c r="P1547">
        <v>2023</v>
      </c>
    </row>
    <row r="1548" spans="15:16" x14ac:dyDescent="0.3">
      <c r="O1548" t="s">
        <v>746</v>
      </c>
      <c r="P1548">
        <v>2023</v>
      </c>
    </row>
    <row r="1549" spans="15:16" x14ac:dyDescent="0.3">
      <c r="O1549" t="s">
        <v>158</v>
      </c>
      <c r="P1549">
        <v>2023</v>
      </c>
    </row>
    <row r="1550" spans="15:16" x14ac:dyDescent="0.3">
      <c r="O1550" t="s">
        <v>595</v>
      </c>
      <c r="P1550">
        <v>2023</v>
      </c>
    </row>
    <row r="1551" spans="15:16" x14ac:dyDescent="0.3">
      <c r="O1551" t="s">
        <v>240</v>
      </c>
      <c r="P1551">
        <v>2023</v>
      </c>
    </row>
    <row r="1552" spans="15:16" x14ac:dyDescent="0.3">
      <c r="O1552" t="s">
        <v>164</v>
      </c>
      <c r="P1552">
        <v>2023</v>
      </c>
    </row>
    <row r="1553" spans="15:16" x14ac:dyDescent="0.3">
      <c r="O1553" t="s">
        <v>185</v>
      </c>
      <c r="P1553">
        <v>2023</v>
      </c>
    </row>
    <row r="1554" spans="15:16" x14ac:dyDescent="0.3">
      <c r="O1554" t="s">
        <v>428</v>
      </c>
      <c r="P1554">
        <v>2023</v>
      </c>
    </row>
    <row r="1555" spans="15:16" x14ac:dyDescent="0.3">
      <c r="O1555" t="s">
        <v>606</v>
      </c>
      <c r="P1555">
        <v>2023</v>
      </c>
    </row>
    <row r="1556" spans="15:16" x14ac:dyDescent="0.3">
      <c r="O1556" t="s">
        <v>332</v>
      </c>
      <c r="P1556">
        <v>2023</v>
      </c>
    </row>
    <row r="1557" spans="15:16" x14ac:dyDescent="0.3">
      <c r="O1557" t="s">
        <v>867</v>
      </c>
      <c r="P1557">
        <v>2023</v>
      </c>
    </row>
    <row r="1558" spans="15:16" x14ac:dyDescent="0.3">
      <c r="O1558" t="s">
        <v>587</v>
      </c>
      <c r="P1558">
        <v>2023</v>
      </c>
    </row>
    <row r="1559" spans="15:16" x14ac:dyDescent="0.3">
      <c r="O1559" t="s">
        <v>811</v>
      </c>
      <c r="P1559">
        <v>2023</v>
      </c>
    </row>
    <row r="1560" spans="15:16" x14ac:dyDescent="0.3">
      <c r="O1560" t="s">
        <v>410</v>
      </c>
      <c r="P1560">
        <v>2023</v>
      </c>
    </row>
    <row r="1561" spans="15:16" x14ac:dyDescent="0.3">
      <c r="O1561" t="s">
        <v>630</v>
      </c>
      <c r="P1561">
        <v>2023</v>
      </c>
    </row>
    <row r="1562" spans="15:16" x14ac:dyDescent="0.3">
      <c r="O1562" t="s">
        <v>681</v>
      </c>
      <c r="P1562">
        <v>2023</v>
      </c>
    </row>
    <row r="1563" spans="15:16" x14ac:dyDescent="0.3">
      <c r="O1563" t="s">
        <v>619</v>
      </c>
      <c r="P1563">
        <v>2023</v>
      </c>
    </row>
    <row r="1564" spans="15:16" x14ac:dyDescent="0.3">
      <c r="O1564" t="s">
        <v>818</v>
      </c>
      <c r="P1564">
        <v>2023</v>
      </c>
    </row>
    <row r="1565" spans="15:16" x14ac:dyDescent="0.3">
      <c r="O1565" t="s">
        <v>574</v>
      </c>
      <c r="P1565">
        <v>2023</v>
      </c>
    </row>
    <row r="1566" spans="15:16" x14ac:dyDescent="0.3">
      <c r="O1566" t="s">
        <v>216</v>
      </c>
      <c r="P1566">
        <v>2023</v>
      </c>
    </row>
    <row r="1567" spans="15:16" x14ac:dyDescent="0.3">
      <c r="O1567" t="s">
        <v>196</v>
      </c>
      <c r="P1567">
        <v>2023</v>
      </c>
    </row>
    <row r="1568" spans="15:16" x14ac:dyDescent="0.3">
      <c r="O1568" t="s">
        <v>868</v>
      </c>
      <c r="P1568">
        <v>2023</v>
      </c>
    </row>
    <row r="1569" spans="15:16" x14ac:dyDescent="0.3">
      <c r="O1569" t="s">
        <v>869</v>
      </c>
      <c r="P1569">
        <v>2023</v>
      </c>
    </row>
    <row r="1570" spans="15:16" x14ac:dyDescent="0.3">
      <c r="O1570" t="s">
        <v>667</v>
      </c>
      <c r="P1570">
        <v>2023</v>
      </c>
    </row>
    <row r="1571" spans="15:16" x14ac:dyDescent="0.3">
      <c r="O1571" t="s">
        <v>442</v>
      </c>
      <c r="P1571">
        <v>2023</v>
      </c>
    </row>
    <row r="1572" spans="15:16" x14ac:dyDescent="0.3">
      <c r="O1572" t="s">
        <v>375</v>
      </c>
      <c r="P1572">
        <v>2023</v>
      </c>
    </row>
    <row r="1573" spans="15:16" x14ac:dyDescent="0.3">
      <c r="O1573" t="s">
        <v>463</v>
      </c>
      <c r="P1573">
        <v>2023</v>
      </c>
    </row>
    <row r="1574" spans="15:16" x14ac:dyDescent="0.3">
      <c r="O1574" t="s">
        <v>719</v>
      </c>
      <c r="P1574">
        <v>2023</v>
      </c>
    </row>
    <row r="1575" spans="15:16" x14ac:dyDescent="0.3">
      <c r="O1575" t="s">
        <v>412</v>
      </c>
      <c r="P1575">
        <v>2023</v>
      </c>
    </row>
    <row r="1576" spans="15:16" x14ac:dyDescent="0.3">
      <c r="O1576" t="s">
        <v>557</v>
      </c>
      <c r="P1576">
        <v>2023</v>
      </c>
    </row>
    <row r="1577" spans="15:16" x14ac:dyDescent="0.3">
      <c r="O1577" t="s">
        <v>395</v>
      </c>
      <c r="P1577">
        <v>2023</v>
      </c>
    </row>
    <row r="1578" spans="15:16" x14ac:dyDescent="0.3">
      <c r="O1578" t="s">
        <v>531</v>
      </c>
      <c r="P1578">
        <v>2023</v>
      </c>
    </row>
    <row r="1579" spans="15:16" x14ac:dyDescent="0.3">
      <c r="O1579" t="s">
        <v>480</v>
      </c>
      <c r="P1579">
        <v>2023</v>
      </c>
    </row>
    <row r="1580" spans="15:16" x14ac:dyDescent="0.3">
      <c r="O1580" t="s">
        <v>121</v>
      </c>
      <c r="P1580">
        <v>2023</v>
      </c>
    </row>
    <row r="1581" spans="15:16" x14ac:dyDescent="0.3">
      <c r="O1581" t="s">
        <v>416</v>
      </c>
      <c r="P1581">
        <v>2023</v>
      </c>
    </row>
    <row r="1582" spans="15:16" x14ac:dyDescent="0.3">
      <c r="O1582" t="s">
        <v>562</v>
      </c>
      <c r="P1582">
        <v>2023</v>
      </c>
    </row>
    <row r="1583" spans="15:16" x14ac:dyDescent="0.3">
      <c r="O1583" t="s">
        <v>292</v>
      </c>
      <c r="P1583">
        <v>2023</v>
      </c>
    </row>
    <row r="1584" spans="15:16" x14ac:dyDescent="0.3">
      <c r="O1584" t="s">
        <v>648</v>
      </c>
      <c r="P1584">
        <v>2023</v>
      </c>
    </row>
    <row r="1585" spans="15:16" x14ac:dyDescent="0.3">
      <c r="O1585" t="s">
        <v>400</v>
      </c>
      <c r="P1585">
        <v>2023</v>
      </c>
    </row>
    <row r="1586" spans="15:16" x14ac:dyDescent="0.3">
      <c r="O1586" t="s">
        <v>665</v>
      </c>
      <c r="P1586">
        <v>2023</v>
      </c>
    </row>
    <row r="1587" spans="15:16" x14ac:dyDescent="0.3">
      <c r="O1587" t="s">
        <v>508</v>
      </c>
      <c r="P1587">
        <v>2023</v>
      </c>
    </row>
    <row r="1588" spans="15:16" x14ac:dyDescent="0.3">
      <c r="O1588" t="s">
        <v>870</v>
      </c>
      <c r="P1588">
        <v>2023</v>
      </c>
    </row>
    <row r="1589" spans="15:16" x14ac:dyDescent="0.3">
      <c r="O1589" t="s">
        <v>458</v>
      </c>
      <c r="P1589">
        <v>2023</v>
      </c>
    </row>
    <row r="1590" spans="15:16" x14ac:dyDescent="0.3">
      <c r="O1590" t="s">
        <v>798</v>
      </c>
      <c r="P1590">
        <v>2023</v>
      </c>
    </row>
    <row r="1591" spans="15:16" x14ac:dyDescent="0.3">
      <c r="O1591" t="s">
        <v>583</v>
      </c>
      <c r="P1591">
        <v>2023</v>
      </c>
    </row>
    <row r="1592" spans="15:16" x14ac:dyDescent="0.3">
      <c r="O1592" t="s">
        <v>131</v>
      </c>
      <c r="P1592">
        <v>2023</v>
      </c>
    </row>
    <row r="1593" spans="15:16" x14ac:dyDescent="0.3">
      <c r="O1593" t="s">
        <v>441</v>
      </c>
      <c r="P1593">
        <v>2023</v>
      </c>
    </row>
    <row r="1594" spans="15:16" x14ac:dyDescent="0.3">
      <c r="O1594" t="s">
        <v>321</v>
      </c>
      <c r="P1594">
        <v>2023</v>
      </c>
    </row>
    <row r="1595" spans="15:16" x14ac:dyDescent="0.3">
      <c r="O1595" t="s">
        <v>571</v>
      </c>
      <c r="P1595">
        <v>2023</v>
      </c>
    </row>
    <row r="1596" spans="15:16" x14ac:dyDescent="0.3">
      <c r="O1596" t="s">
        <v>247</v>
      </c>
      <c r="P1596">
        <v>2023</v>
      </c>
    </row>
    <row r="1597" spans="15:16" x14ac:dyDescent="0.3">
      <c r="O1597" t="s">
        <v>221</v>
      </c>
      <c r="P1597">
        <v>2023</v>
      </c>
    </row>
    <row r="1598" spans="15:16" x14ac:dyDescent="0.3">
      <c r="O1598" t="s">
        <v>423</v>
      </c>
      <c r="P1598">
        <v>2023</v>
      </c>
    </row>
    <row r="1599" spans="15:16" x14ac:dyDescent="0.3">
      <c r="O1599" t="s">
        <v>589</v>
      </c>
      <c r="P1599">
        <v>2023</v>
      </c>
    </row>
    <row r="1600" spans="15:16" x14ac:dyDescent="0.3">
      <c r="O1600" t="s">
        <v>631</v>
      </c>
      <c r="P1600">
        <v>2023</v>
      </c>
    </row>
    <row r="1601" spans="15:16" x14ac:dyDescent="0.3">
      <c r="O1601" t="s">
        <v>306</v>
      </c>
      <c r="P1601">
        <v>2023</v>
      </c>
    </row>
    <row r="1602" spans="15:16" x14ac:dyDescent="0.3">
      <c r="O1602" t="s">
        <v>871</v>
      </c>
      <c r="P1602">
        <v>2023</v>
      </c>
    </row>
    <row r="1603" spans="15:16" x14ac:dyDescent="0.3">
      <c r="O1603" t="s">
        <v>385</v>
      </c>
      <c r="P1603">
        <v>2023</v>
      </c>
    </row>
    <row r="1604" spans="15:16" x14ac:dyDescent="0.3">
      <c r="O1604" t="s">
        <v>454</v>
      </c>
      <c r="P1604">
        <v>2023</v>
      </c>
    </row>
    <row r="1605" spans="15:16" x14ac:dyDescent="0.3">
      <c r="O1605" t="s">
        <v>427</v>
      </c>
      <c r="P1605">
        <v>2023</v>
      </c>
    </row>
    <row r="1606" spans="15:16" x14ac:dyDescent="0.3">
      <c r="O1606" t="s">
        <v>404</v>
      </c>
      <c r="P1606">
        <v>2023</v>
      </c>
    </row>
    <row r="1607" spans="15:16" x14ac:dyDescent="0.3">
      <c r="O1607" t="s">
        <v>93</v>
      </c>
      <c r="P1607">
        <v>2023</v>
      </c>
    </row>
    <row r="1608" spans="15:16" x14ac:dyDescent="0.3">
      <c r="O1608" t="s">
        <v>742</v>
      </c>
      <c r="P1608">
        <v>2023</v>
      </c>
    </row>
    <row r="1609" spans="15:16" x14ac:dyDescent="0.3">
      <c r="O1609" t="s">
        <v>669</v>
      </c>
      <c r="P1609">
        <v>2023</v>
      </c>
    </row>
    <row r="1610" spans="15:16" x14ac:dyDescent="0.3">
      <c r="O1610" t="s">
        <v>653</v>
      </c>
      <c r="P1610">
        <v>2023</v>
      </c>
    </row>
    <row r="1611" spans="15:16" x14ac:dyDescent="0.3">
      <c r="O1611" t="s">
        <v>433</v>
      </c>
      <c r="P1611">
        <v>2023</v>
      </c>
    </row>
    <row r="1612" spans="15:16" x14ac:dyDescent="0.3">
      <c r="O1612" t="s">
        <v>817</v>
      </c>
      <c r="P1612">
        <v>2023</v>
      </c>
    </row>
    <row r="1613" spans="15:16" x14ac:dyDescent="0.3">
      <c r="O1613" t="s">
        <v>790</v>
      </c>
      <c r="P1613">
        <v>2023</v>
      </c>
    </row>
    <row r="1614" spans="15:16" x14ac:dyDescent="0.3">
      <c r="O1614" t="s">
        <v>590</v>
      </c>
      <c r="P1614">
        <v>2023</v>
      </c>
    </row>
    <row r="1615" spans="15:16" x14ac:dyDescent="0.3">
      <c r="O1615" t="s">
        <v>203</v>
      </c>
      <c r="P1615">
        <v>2023</v>
      </c>
    </row>
    <row r="1616" spans="15:16" x14ac:dyDescent="0.3">
      <c r="O1616" t="s">
        <v>512</v>
      </c>
      <c r="P1616">
        <v>2023</v>
      </c>
    </row>
    <row r="1617" spans="15:16" x14ac:dyDescent="0.3">
      <c r="O1617" t="s">
        <v>265</v>
      </c>
      <c r="P1617">
        <v>2023</v>
      </c>
    </row>
    <row r="1618" spans="15:16" x14ac:dyDescent="0.3">
      <c r="O1618" t="s">
        <v>484</v>
      </c>
      <c r="P1618">
        <v>2023</v>
      </c>
    </row>
    <row r="1619" spans="15:16" x14ac:dyDescent="0.3">
      <c r="O1619" t="s">
        <v>501</v>
      </c>
      <c r="P1619">
        <v>2023</v>
      </c>
    </row>
    <row r="1620" spans="15:16" x14ac:dyDescent="0.3">
      <c r="O1620" t="s">
        <v>715</v>
      </c>
      <c r="P1620">
        <v>2023</v>
      </c>
    </row>
    <row r="1621" spans="15:16" x14ac:dyDescent="0.3">
      <c r="O1621" t="s">
        <v>486</v>
      </c>
      <c r="P1621">
        <v>2023</v>
      </c>
    </row>
    <row r="1622" spans="15:16" x14ac:dyDescent="0.3">
      <c r="O1622" t="s">
        <v>228</v>
      </c>
      <c r="P1622">
        <v>2023</v>
      </c>
    </row>
    <row r="1623" spans="15:16" x14ac:dyDescent="0.3">
      <c r="O1623" t="s">
        <v>819</v>
      </c>
      <c r="P1623">
        <v>2023</v>
      </c>
    </row>
    <row r="1624" spans="15:16" x14ac:dyDescent="0.3">
      <c r="O1624" t="s">
        <v>210</v>
      </c>
      <c r="P1624">
        <v>2023</v>
      </c>
    </row>
    <row r="1625" spans="15:16" x14ac:dyDescent="0.3">
      <c r="O1625" t="s">
        <v>80</v>
      </c>
      <c r="P1625">
        <v>2023</v>
      </c>
    </row>
    <row r="1626" spans="15:16" x14ac:dyDescent="0.3">
      <c r="O1626" t="s">
        <v>99</v>
      </c>
      <c r="P1626">
        <v>2023</v>
      </c>
    </row>
    <row r="1627" spans="15:16" x14ac:dyDescent="0.3">
      <c r="O1627" t="s">
        <v>138</v>
      </c>
      <c r="P1627">
        <v>2023</v>
      </c>
    </row>
    <row r="1628" spans="15:16" x14ac:dyDescent="0.3">
      <c r="O1628" t="s">
        <v>109</v>
      </c>
      <c r="P1628">
        <v>2023</v>
      </c>
    </row>
    <row r="1629" spans="15:16" x14ac:dyDescent="0.3">
      <c r="O1629" t="s">
        <v>446</v>
      </c>
      <c r="P1629">
        <v>2023</v>
      </c>
    </row>
    <row r="1630" spans="15:16" x14ac:dyDescent="0.3">
      <c r="O1630" t="s">
        <v>389</v>
      </c>
      <c r="P1630">
        <v>2023</v>
      </c>
    </row>
    <row r="1631" spans="15:16" x14ac:dyDescent="0.3">
      <c r="O1631" t="s">
        <v>500</v>
      </c>
      <c r="P1631">
        <v>2023</v>
      </c>
    </row>
    <row r="1632" spans="15:16" x14ac:dyDescent="0.3">
      <c r="O1632" t="s">
        <v>599</v>
      </c>
      <c r="P1632">
        <v>2023</v>
      </c>
    </row>
    <row r="1633" spans="15:16" x14ac:dyDescent="0.3">
      <c r="O1633" t="s">
        <v>723</v>
      </c>
      <c r="P1633">
        <v>2023</v>
      </c>
    </row>
    <row r="1634" spans="15:16" x14ac:dyDescent="0.3">
      <c r="O1634" t="s">
        <v>827</v>
      </c>
      <c r="P1634">
        <v>2023</v>
      </c>
    </row>
    <row r="1635" spans="15:16" x14ac:dyDescent="0.3">
      <c r="O1635" t="s">
        <v>643</v>
      </c>
      <c r="P1635">
        <v>2023</v>
      </c>
    </row>
    <row r="1636" spans="15:16" x14ac:dyDescent="0.3">
      <c r="O1636" t="s">
        <v>469</v>
      </c>
      <c r="P1636">
        <v>2023</v>
      </c>
    </row>
    <row r="1637" spans="15:16" x14ac:dyDescent="0.3">
      <c r="O1637" t="s">
        <v>156</v>
      </c>
      <c r="P1637">
        <v>2023</v>
      </c>
    </row>
    <row r="1638" spans="15:16" x14ac:dyDescent="0.3">
      <c r="O1638" t="s">
        <v>453</v>
      </c>
      <c r="P1638">
        <v>2023</v>
      </c>
    </row>
    <row r="1639" spans="15:16" x14ac:dyDescent="0.3">
      <c r="O1639" t="s">
        <v>772</v>
      </c>
      <c r="P1639">
        <v>2023</v>
      </c>
    </row>
    <row r="1640" spans="15:16" x14ac:dyDescent="0.3">
      <c r="O1640" t="s">
        <v>176</v>
      </c>
      <c r="P1640">
        <v>2023</v>
      </c>
    </row>
    <row r="1641" spans="15:16" x14ac:dyDescent="0.3">
      <c r="O1641" t="s">
        <v>368</v>
      </c>
      <c r="P1641">
        <v>2023</v>
      </c>
    </row>
    <row r="1642" spans="15:16" x14ac:dyDescent="0.3">
      <c r="O1642" t="s">
        <v>808</v>
      </c>
      <c r="P1642">
        <v>2023</v>
      </c>
    </row>
    <row r="1643" spans="15:16" x14ac:dyDescent="0.3">
      <c r="O1643" t="s">
        <v>289</v>
      </c>
      <c r="P1643">
        <v>2023</v>
      </c>
    </row>
    <row r="1644" spans="15:16" x14ac:dyDescent="0.3">
      <c r="O1644" t="s">
        <v>732</v>
      </c>
      <c r="P1644">
        <v>2023</v>
      </c>
    </row>
    <row r="1645" spans="15:16" x14ac:dyDescent="0.3">
      <c r="O1645" t="s">
        <v>464</v>
      </c>
      <c r="P1645">
        <v>2023</v>
      </c>
    </row>
    <row r="1646" spans="15:16" x14ac:dyDescent="0.3">
      <c r="O1646" t="s">
        <v>302</v>
      </c>
      <c r="P1646">
        <v>2023</v>
      </c>
    </row>
    <row r="1647" spans="15:16" x14ac:dyDescent="0.3">
      <c r="O1647" t="s">
        <v>616</v>
      </c>
      <c r="P1647">
        <v>2023</v>
      </c>
    </row>
    <row r="1648" spans="15:16" x14ac:dyDescent="0.3">
      <c r="O1648" t="s">
        <v>578</v>
      </c>
      <c r="P1648">
        <v>2023</v>
      </c>
    </row>
    <row r="1649" spans="15:16" x14ac:dyDescent="0.3">
      <c r="O1649" t="s">
        <v>538</v>
      </c>
      <c r="P1649">
        <v>2023</v>
      </c>
    </row>
    <row r="1650" spans="15:16" x14ac:dyDescent="0.3">
      <c r="O1650" t="s">
        <v>337</v>
      </c>
      <c r="P1650">
        <v>2023</v>
      </c>
    </row>
    <row r="1651" spans="15:16" x14ac:dyDescent="0.3">
      <c r="O1651" t="s">
        <v>209</v>
      </c>
      <c r="P1651">
        <v>2023</v>
      </c>
    </row>
    <row r="1652" spans="15:16" x14ac:dyDescent="0.3">
      <c r="O1652" t="s">
        <v>73</v>
      </c>
      <c r="P1652">
        <v>2023</v>
      </c>
    </row>
    <row r="1653" spans="15:16" x14ac:dyDescent="0.3">
      <c r="O1653" t="s">
        <v>202</v>
      </c>
      <c r="P1653">
        <v>2023</v>
      </c>
    </row>
    <row r="1654" spans="15:16" x14ac:dyDescent="0.3">
      <c r="O1654" t="s">
        <v>800</v>
      </c>
      <c r="P1654">
        <v>2023</v>
      </c>
    </row>
    <row r="1655" spans="15:16" x14ac:dyDescent="0.3">
      <c r="O1655" t="s">
        <v>584</v>
      </c>
      <c r="P1655">
        <v>2023</v>
      </c>
    </row>
    <row r="1656" spans="15:16" x14ac:dyDescent="0.3">
      <c r="O1656" t="s">
        <v>329</v>
      </c>
      <c r="P1656">
        <v>2023</v>
      </c>
    </row>
    <row r="1657" spans="15:16" x14ac:dyDescent="0.3">
      <c r="O1657" t="s">
        <v>738</v>
      </c>
      <c r="P1657">
        <v>2023</v>
      </c>
    </row>
    <row r="1658" spans="15:16" x14ac:dyDescent="0.3">
      <c r="O1658" t="s">
        <v>103</v>
      </c>
      <c r="P1658">
        <v>2023</v>
      </c>
    </row>
    <row r="1659" spans="15:16" x14ac:dyDescent="0.3">
      <c r="O1659" t="s">
        <v>239</v>
      </c>
      <c r="P1659">
        <v>2023</v>
      </c>
    </row>
    <row r="1660" spans="15:16" x14ac:dyDescent="0.3">
      <c r="O1660" t="s">
        <v>232</v>
      </c>
      <c r="P1660">
        <v>2023</v>
      </c>
    </row>
    <row r="1661" spans="15:16" x14ac:dyDescent="0.3">
      <c r="O1661" t="s">
        <v>379</v>
      </c>
      <c r="P1661">
        <v>2023</v>
      </c>
    </row>
    <row r="1662" spans="15:16" x14ac:dyDescent="0.3">
      <c r="O1662" t="s">
        <v>731</v>
      </c>
      <c r="P1662">
        <v>2023</v>
      </c>
    </row>
    <row r="1663" spans="15:16" x14ac:dyDescent="0.3">
      <c r="O1663" t="s">
        <v>585</v>
      </c>
      <c r="P1663">
        <v>2023</v>
      </c>
    </row>
    <row r="1664" spans="15:16" x14ac:dyDescent="0.3">
      <c r="O1664" t="s">
        <v>429</v>
      </c>
      <c r="P1664">
        <v>2023</v>
      </c>
    </row>
    <row r="1665" spans="15:16" x14ac:dyDescent="0.3">
      <c r="O1665" t="s">
        <v>173</v>
      </c>
      <c r="P1665">
        <v>2023</v>
      </c>
    </row>
    <row r="1666" spans="15:16" x14ac:dyDescent="0.3">
      <c r="O1666" t="s">
        <v>357</v>
      </c>
      <c r="P1666">
        <v>2023</v>
      </c>
    </row>
    <row r="1667" spans="15:16" x14ac:dyDescent="0.3">
      <c r="O1667" t="s">
        <v>380</v>
      </c>
      <c r="P1667">
        <v>2023</v>
      </c>
    </row>
    <row r="1668" spans="15:16" x14ac:dyDescent="0.3">
      <c r="O1668" t="s">
        <v>609</v>
      </c>
      <c r="P1668">
        <v>2023</v>
      </c>
    </row>
    <row r="1669" spans="15:16" x14ac:dyDescent="0.3">
      <c r="O1669" t="s">
        <v>260</v>
      </c>
      <c r="P1669">
        <v>2023</v>
      </c>
    </row>
    <row r="1670" spans="15:16" x14ac:dyDescent="0.3">
      <c r="O1670" t="s">
        <v>165</v>
      </c>
      <c r="P1670">
        <v>2023</v>
      </c>
    </row>
    <row r="1671" spans="15:16" x14ac:dyDescent="0.3">
      <c r="O1671" t="s">
        <v>227</v>
      </c>
      <c r="P1671">
        <v>2023</v>
      </c>
    </row>
    <row r="1672" spans="15:16" x14ac:dyDescent="0.3">
      <c r="O1672" t="s">
        <v>680</v>
      </c>
      <c r="P1672">
        <v>2023</v>
      </c>
    </row>
    <row r="1673" spans="15:16" x14ac:dyDescent="0.3">
      <c r="O1673" t="s">
        <v>353</v>
      </c>
      <c r="P1673">
        <v>2023</v>
      </c>
    </row>
    <row r="1674" spans="15:16" x14ac:dyDescent="0.3">
      <c r="O1674" t="s">
        <v>162</v>
      </c>
      <c r="P1674">
        <v>2023</v>
      </c>
    </row>
    <row r="1675" spans="15:16" x14ac:dyDescent="0.3">
      <c r="O1675" t="s">
        <v>485</v>
      </c>
      <c r="P1675">
        <v>2023</v>
      </c>
    </row>
    <row r="1676" spans="15:16" x14ac:dyDescent="0.3">
      <c r="O1676" t="s">
        <v>394</v>
      </c>
      <c r="P1676">
        <v>2023</v>
      </c>
    </row>
    <row r="1677" spans="15:16" x14ac:dyDescent="0.3">
      <c r="O1677" t="s">
        <v>761</v>
      </c>
      <c r="P1677">
        <v>2023</v>
      </c>
    </row>
    <row r="1678" spans="15:16" x14ac:dyDescent="0.3">
      <c r="O1678" t="s">
        <v>641</v>
      </c>
      <c r="P1678">
        <v>2023</v>
      </c>
    </row>
    <row r="1679" spans="15:16" x14ac:dyDescent="0.3">
      <c r="O1679" t="s">
        <v>607</v>
      </c>
      <c r="P1679">
        <v>2023</v>
      </c>
    </row>
    <row r="1680" spans="15:16" x14ac:dyDescent="0.3">
      <c r="O1680" t="s">
        <v>706</v>
      </c>
      <c r="P1680">
        <v>2023</v>
      </c>
    </row>
    <row r="1681" spans="15:16" x14ac:dyDescent="0.3">
      <c r="O1681" t="s">
        <v>398</v>
      </c>
      <c r="P1681">
        <v>2023</v>
      </c>
    </row>
    <row r="1682" spans="15:16" x14ac:dyDescent="0.3">
      <c r="O1682" t="s">
        <v>776</v>
      </c>
      <c r="P1682">
        <v>2023</v>
      </c>
    </row>
    <row r="1683" spans="15:16" x14ac:dyDescent="0.3">
      <c r="O1683" t="s">
        <v>46</v>
      </c>
      <c r="P1683">
        <v>2023</v>
      </c>
    </row>
    <row r="1684" spans="15:16" x14ac:dyDescent="0.3">
      <c r="O1684" t="s">
        <v>288</v>
      </c>
      <c r="P1684">
        <v>2023</v>
      </c>
    </row>
    <row r="1685" spans="15:16" x14ac:dyDescent="0.3">
      <c r="O1685" t="s">
        <v>710</v>
      </c>
      <c r="P1685">
        <v>2023</v>
      </c>
    </row>
    <row r="1686" spans="15:16" x14ac:dyDescent="0.3">
      <c r="O1686" t="s">
        <v>211</v>
      </c>
      <c r="P1686">
        <v>2023</v>
      </c>
    </row>
    <row r="1687" spans="15:16" x14ac:dyDescent="0.3">
      <c r="O1687" t="s">
        <v>44</v>
      </c>
      <c r="P1687">
        <v>2023</v>
      </c>
    </row>
    <row r="1688" spans="15:16" x14ac:dyDescent="0.3">
      <c r="O1688" t="s">
        <v>757</v>
      </c>
      <c r="P1688">
        <v>2023</v>
      </c>
    </row>
    <row r="1689" spans="15:16" x14ac:dyDescent="0.3">
      <c r="O1689" t="s">
        <v>363</v>
      </c>
      <c r="P1689">
        <v>2023</v>
      </c>
    </row>
    <row r="1690" spans="15:16" x14ac:dyDescent="0.3">
      <c r="O1690" t="s">
        <v>720</v>
      </c>
      <c r="P1690">
        <v>2023</v>
      </c>
    </row>
    <row r="1691" spans="15:16" x14ac:dyDescent="0.3">
      <c r="O1691" t="s">
        <v>367</v>
      </c>
      <c r="P1691">
        <v>2023</v>
      </c>
    </row>
    <row r="1692" spans="15:16" x14ac:dyDescent="0.3">
      <c r="O1692" t="s">
        <v>825</v>
      </c>
      <c r="P1692">
        <v>2023</v>
      </c>
    </row>
    <row r="1693" spans="15:16" x14ac:dyDescent="0.3">
      <c r="O1693" t="s">
        <v>543</v>
      </c>
      <c r="P1693">
        <v>2023</v>
      </c>
    </row>
    <row r="1694" spans="15:16" x14ac:dyDescent="0.3">
      <c r="O1694" t="s">
        <v>734</v>
      </c>
      <c r="P1694">
        <v>2023</v>
      </c>
    </row>
    <row r="1695" spans="15:16" x14ac:dyDescent="0.3">
      <c r="O1695" t="s">
        <v>813</v>
      </c>
      <c r="P1695">
        <v>2023</v>
      </c>
    </row>
    <row r="1696" spans="15:16" x14ac:dyDescent="0.3">
      <c r="O1696" t="s">
        <v>390</v>
      </c>
      <c r="P1696">
        <v>2023</v>
      </c>
    </row>
    <row r="1697" spans="15:16" x14ac:dyDescent="0.3">
      <c r="O1697" t="s">
        <v>582</v>
      </c>
      <c r="P1697">
        <v>2023</v>
      </c>
    </row>
    <row r="1698" spans="15:16" x14ac:dyDescent="0.3">
      <c r="O1698" t="s">
        <v>283</v>
      </c>
      <c r="P1698">
        <v>2023</v>
      </c>
    </row>
    <row r="1699" spans="15:16" x14ac:dyDescent="0.3">
      <c r="O1699" t="s">
        <v>815</v>
      </c>
      <c r="P1699">
        <v>2023</v>
      </c>
    </row>
    <row r="1700" spans="15:16" x14ac:dyDescent="0.3">
      <c r="O1700" t="s">
        <v>117</v>
      </c>
      <c r="P1700">
        <v>2023</v>
      </c>
    </row>
    <row r="1701" spans="15:16" x14ac:dyDescent="0.3">
      <c r="O1701" t="s">
        <v>758</v>
      </c>
      <c r="P1701">
        <v>2023</v>
      </c>
    </row>
    <row r="1702" spans="15:16" x14ac:dyDescent="0.3">
      <c r="O1702" t="s">
        <v>424</v>
      </c>
      <c r="P1702">
        <v>2023</v>
      </c>
    </row>
    <row r="1703" spans="15:16" x14ac:dyDescent="0.3">
      <c r="O1703" t="s">
        <v>698</v>
      </c>
      <c r="P1703">
        <v>2023</v>
      </c>
    </row>
    <row r="1704" spans="15:16" x14ac:dyDescent="0.3">
      <c r="O1704" t="s">
        <v>872</v>
      </c>
      <c r="P1704">
        <v>2023</v>
      </c>
    </row>
    <row r="1705" spans="15:16" x14ac:dyDescent="0.3">
      <c r="O1705" t="s">
        <v>300</v>
      </c>
      <c r="P1705">
        <v>2023</v>
      </c>
    </row>
    <row r="1706" spans="15:16" x14ac:dyDescent="0.3">
      <c r="O1706" t="s">
        <v>596</v>
      </c>
      <c r="P1706">
        <v>2023</v>
      </c>
    </row>
    <row r="1707" spans="15:16" x14ac:dyDescent="0.3">
      <c r="O1707" t="s">
        <v>444</v>
      </c>
      <c r="P1707">
        <v>2023</v>
      </c>
    </row>
    <row r="1708" spans="15:16" x14ac:dyDescent="0.3">
      <c r="O1708" t="s">
        <v>168</v>
      </c>
      <c r="P1708">
        <v>2023</v>
      </c>
    </row>
    <row r="1709" spans="15:16" x14ac:dyDescent="0.3">
      <c r="O1709" t="s">
        <v>717</v>
      </c>
      <c r="P1709">
        <v>2023</v>
      </c>
    </row>
    <row r="1710" spans="15:16" x14ac:dyDescent="0.3">
      <c r="O1710" t="s">
        <v>347</v>
      </c>
      <c r="P1710">
        <v>2023</v>
      </c>
    </row>
    <row r="1711" spans="15:16" x14ac:dyDescent="0.3">
      <c r="O1711" t="s">
        <v>449</v>
      </c>
      <c r="P1711">
        <v>2023</v>
      </c>
    </row>
    <row r="1712" spans="15:16" x14ac:dyDescent="0.3">
      <c r="O1712" t="s">
        <v>308</v>
      </c>
      <c r="P1712">
        <v>2023</v>
      </c>
    </row>
    <row r="1713" spans="15:16" x14ac:dyDescent="0.3">
      <c r="O1713" t="s">
        <v>371</v>
      </c>
      <c r="P1713">
        <v>2023</v>
      </c>
    </row>
    <row r="1714" spans="15:16" x14ac:dyDescent="0.3">
      <c r="O1714" t="s">
        <v>768</v>
      </c>
      <c r="P1714">
        <v>2023</v>
      </c>
    </row>
    <row r="1715" spans="15:16" x14ac:dyDescent="0.3">
      <c r="O1715" t="s">
        <v>243</v>
      </c>
      <c r="P1715">
        <v>2023</v>
      </c>
    </row>
    <row r="1716" spans="15:16" x14ac:dyDescent="0.3">
      <c r="O1716" t="s">
        <v>782</v>
      </c>
      <c r="P1716">
        <v>2023</v>
      </c>
    </row>
    <row r="1717" spans="15:16" x14ac:dyDescent="0.3">
      <c r="O1717" t="s">
        <v>354</v>
      </c>
      <c r="P1717">
        <v>2023</v>
      </c>
    </row>
    <row r="1718" spans="15:16" x14ac:dyDescent="0.3">
      <c r="O1718" t="s">
        <v>575</v>
      </c>
      <c r="P1718">
        <v>2023</v>
      </c>
    </row>
    <row r="1719" spans="15:16" x14ac:dyDescent="0.3">
      <c r="O1719" t="s">
        <v>365</v>
      </c>
      <c r="P1719">
        <v>2023</v>
      </c>
    </row>
    <row r="1720" spans="15:16" x14ac:dyDescent="0.3">
      <c r="O1720" t="s">
        <v>487</v>
      </c>
      <c r="P1720">
        <v>2023</v>
      </c>
    </row>
    <row r="1721" spans="15:16" x14ac:dyDescent="0.3">
      <c r="O1721" t="s">
        <v>352</v>
      </c>
      <c r="P1721">
        <v>2023</v>
      </c>
    </row>
    <row r="1722" spans="15:16" x14ac:dyDescent="0.3">
      <c r="O1722" t="s">
        <v>518</v>
      </c>
      <c r="P1722">
        <v>2023</v>
      </c>
    </row>
    <row r="1723" spans="15:16" x14ac:dyDescent="0.3">
      <c r="O1723" t="s">
        <v>541</v>
      </c>
      <c r="P1723">
        <v>2023</v>
      </c>
    </row>
    <row r="1724" spans="15:16" x14ac:dyDescent="0.3">
      <c r="O1724" t="s">
        <v>498</v>
      </c>
      <c r="P1724">
        <v>2023</v>
      </c>
    </row>
    <row r="1725" spans="15:16" x14ac:dyDescent="0.3">
      <c r="O1725" t="s">
        <v>773</v>
      </c>
      <c r="P1725">
        <v>2023</v>
      </c>
    </row>
    <row r="1726" spans="15:16" x14ac:dyDescent="0.3">
      <c r="O1726" t="s">
        <v>679</v>
      </c>
      <c r="P1726">
        <v>2023</v>
      </c>
    </row>
    <row r="1727" spans="15:16" x14ac:dyDescent="0.3">
      <c r="O1727" t="s">
        <v>386</v>
      </c>
      <c r="P1727">
        <v>2023</v>
      </c>
    </row>
    <row r="1728" spans="15:16" x14ac:dyDescent="0.3">
      <c r="O1728" t="s">
        <v>804</v>
      </c>
      <c r="P1728">
        <v>2023</v>
      </c>
    </row>
    <row r="1729" spans="15:16" x14ac:dyDescent="0.3">
      <c r="O1729" t="s">
        <v>694</v>
      </c>
      <c r="P1729">
        <v>2023</v>
      </c>
    </row>
    <row r="1730" spans="15:16" x14ac:dyDescent="0.3">
      <c r="O1730" t="s">
        <v>688</v>
      </c>
      <c r="P1730">
        <v>2023</v>
      </c>
    </row>
    <row r="1731" spans="15:16" x14ac:dyDescent="0.3">
      <c r="O1731" t="s">
        <v>295</v>
      </c>
      <c r="P1731">
        <v>2023</v>
      </c>
    </row>
    <row r="1732" spans="15:16" x14ac:dyDescent="0.3">
      <c r="O1732" t="s">
        <v>766</v>
      </c>
      <c r="P1732">
        <v>2023</v>
      </c>
    </row>
    <row r="1733" spans="15:16" x14ac:dyDescent="0.3">
      <c r="O1733" t="s">
        <v>273</v>
      </c>
      <c r="P1733">
        <v>2023</v>
      </c>
    </row>
    <row r="1734" spans="15:16" x14ac:dyDescent="0.3">
      <c r="O1734" t="s">
        <v>146</v>
      </c>
      <c r="P1734">
        <v>2023</v>
      </c>
    </row>
    <row r="1735" spans="15:16" x14ac:dyDescent="0.3">
      <c r="O1735" t="s">
        <v>175</v>
      </c>
      <c r="P1735">
        <v>2023</v>
      </c>
    </row>
    <row r="1736" spans="15:16" x14ac:dyDescent="0.3">
      <c r="O1736" t="s">
        <v>753</v>
      </c>
      <c r="P1736">
        <v>2023</v>
      </c>
    </row>
    <row r="1737" spans="15:16" x14ac:dyDescent="0.3">
      <c r="O1737" t="s">
        <v>431</v>
      </c>
      <c r="P1737">
        <v>2023</v>
      </c>
    </row>
    <row r="1738" spans="15:16" x14ac:dyDescent="0.3">
      <c r="O1738" t="s">
        <v>372</v>
      </c>
      <c r="P1738">
        <v>2023</v>
      </c>
    </row>
    <row r="1739" spans="15:16" x14ac:dyDescent="0.3">
      <c r="O1739" t="s">
        <v>873</v>
      </c>
      <c r="P1739">
        <v>2023</v>
      </c>
    </row>
    <row r="1740" spans="15:16" x14ac:dyDescent="0.3">
      <c r="O1740" t="s">
        <v>874</v>
      </c>
      <c r="P1740">
        <v>2023</v>
      </c>
    </row>
    <row r="1741" spans="15:16" x14ac:dyDescent="0.3">
      <c r="O1741" t="s">
        <v>875</v>
      </c>
      <c r="P1741">
        <v>2023</v>
      </c>
    </row>
    <row r="1742" spans="15:16" x14ac:dyDescent="0.3">
      <c r="O1742" t="s">
        <v>440</v>
      </c>
      <c r="P1742">
        <v>2023</v>
      </c>
    </row>
    <row r="1743" spans="15:16" x14ac:dyDescent="0.3">
      <c r="O1743" t="s">
        <v>600</v>
      </c>
      <c r="P1743">
        <v>2023</v>
      </c>
    </row>
    <row r="1744" spans="15:16" x14ac:dyDescent="0.3">
      <c r="O1744" t="s">
        <v>294</v>
      </c>
      <c r="P1744">
        <v>2023</v>
      </c>
    </row>
    <row r="1745" spans="15:16" x14ac:dyDescent="0.3">
      <c r="O1745" t="s">
        <v>166</v>
      </c>
      <c r="P1745">
        <v>2023</v>
      </c>
    </row>
    <row r="1746" spans="15:16" x14ac:dyDescent="0.3">
      <c r="O1746" t="s">
        <v>824</v>
      </c>
      <c r="P1746">
        <v>2023</v>
      </c>
    </row>
    <row r="1747" spans="15:16" x14ac:dyDescent="0.3">
      <c r="O1747" t="s">
        <v>465</v>
      </c>
      <c r="P1747">
        <v>2023</v>
      </c>
    </row>
    <row r="1748" spans="15:16" x14ac:dyDescent="0.3">
      <c r="O1748" t="s">
        <v>259</v>
      </c>
      <c r="P1748">
        <v>2023</v>
      </c>
    </row>
    <row r="1749" spans="15:16" x14ac:dyDescent="0.3">
      <c r="O1749" t="s">
        <v>83</v>
      </c>
      <c r="P1749">
        <v>2023</v>
      </c>
    </row>
    <row r="1750" spans="15:16" x14ac:dyDescent="0.3">
      <c r="O1750" t="s">
        <v>405</v>
      </c>
      <c r="P1750">
        <v>2023</v>
      </c>
    </row>
    <row r="1751" spans="15:16" x14ac:dyDescent="0.3">
      <c r="O1751" t="s">
        <v>194</v>
      </c>
      <c r="P1751">
        <v>2023</v>
      </c>
    </row>
    <row r="1752" spans="15:16" x14ac:dyDescent="0.3">
      <c r="O1752" t="s">
        <v>476</v>
      </c>
      <c r="P1752">
        <v>2023</v>
      </c>
    </row>
    <row r="1753" spans="15:16" x14ac:dyDescent="0.3">
      <c r="O1753" t="s">
        <v>513</v>
      </c>
      <c r="P1753">
        <v>2023</v>
      </c>
    </row>
    <row r="1754" spans="15:16" x14ac:dyDescent="0.3">
      <c r="O1754" t="s">
        <v>225</v>
      </c>
      <c r="P1754">
        <v>2023</v>
      </c>
    </row>
    <row r="1755" spans="15:16" x14ac:dyDescent="0.3">
      <c r="O1755" t="s">
        <v>568</v>
      </c>
      <c r="P1755">
        <v>2023</v>
      </c>
    </row>
    <row r="1756" spans="15:16" x14ac:dyDescent="0.3">
      <c r="O1756" t="s">
        <v>445</v>
      </c>
      <c r="P1756">
        <v>2023</v>
      </c>
    </row>
    <row r="1757" spans="15:16" x14ac:dyDescent="0.3">
      <c r="O1757" t="s">
        <v>218</v>
      </c>
      <c r="P1757">
        <v>2023</v>
      </c>
    </row>
    <row r="1758" spans="15:16" x14ac:dyDescent="0.3">
      <c r="O1758" t="s">
        <v>640</v>
      </c>
      <c r="P1758">
        <v>2023</v>
      </c>
    </row>
    <row r="1759" spans="15:16" x14ac:dyDescent="0.3">
      <c r="O1759" t="s">
        <v>876</v>
      </c>
      <c r="P1759">
        <v>2023</v>
      </c>
    </row>
    <row r="1760" spans="15:16" x14ac:dyDescent="0.3">
      <c r="O1760" t="s">
        <v>877</v>
      </c>
      <c r="P1760">
        <v>2023</v>
      </c>
    </row>
    <row r="1761" spans="15:16" x14ac:dyDescent="0.3">
      <c r="O1761" t="s">
        <v>311</v>
      </c>
      <c r="P1761">
        <v>2023</v>
      </c>
    </row>
    <row r="1762" spans="15:16" x14ac:dyDescent="0.3">
      <c r="O1762" t="s">
        <v>671</v>
      </c>
      <c r="P1762">
        <v>2023</v>
      </c>
    </row>
    <row r="1763" spans="15:16" x14ac:dyDescent="0.3">
      <c r="O1763" t="s">
        <v>558</v>
      </c>
      <c r="P1763">
        <v>2023</v>
      </c>
    </row>
    <row r="1764" spans="15:16" x14ac:dyDescent="0.3">
      <c r="O1764" t="s">
        <v>397</v>
      </c>
      <c r="P1764">
        <v>2023</v>
      </c>
    </row>
    <row r="1765" spans="15:16" x14ac:dyDescent="0.3">
      <c r="O1765" t="s">
        <v>195</v>
      </c>
      <c r="P1765">
        <v>2023</v>
      </c>
    </row>
    <row r="1766" spans="15:16" x14ac:dyDescent="0.3">
      <c r="O1766" t="s">
        <v>878</v>
      </c>
      <c r="P1766">
        <v>2023</v>
      </c>
    </row>
    <row r="1767" spans="15:16" x14ac:dyDescent="0.3">
      <c r="O1767" t="s">
        <v>49</v>
      </c>
      <c r="P1767">
        <v>2023</v>
      </c>
    </row>
    <row r="1768" spans="15:16" x14ac:dyDescent="0.3">
      <c r="O1768" t="s">
        <v>420</v>
      </c>
      <c r="P1768">
        <v>2023</v>
      </c>
    </row>
    <row r="1769" spans="15:16" x14ac:dyDescent="0.3">
      <c r="O1769" t="s">
        <v>309</v>
      </c>
      <c r="P1769">
        <v>2023</v>
      </c>
    </row>
    <row r="1770" spans="15:16" x14ac:dyDescent="0.3">
      <c r="O1770" t="s">
        <v>422</v>
      </c>
      <c r="P1770">
        <v>2023</v>
      </c>
    </row>
    <row r="1771" spans="15:16" x14ac:dyDescent="0.3">
      <c r="O1771" t="s">
        <v>624</v>
      </c>
      <c r="P1771">
        <v>2023</v>
      </c>
    </row>
    <row r="1772" spans="15:16" x14ac:dyDescent="0.3">
      <c r="O1772" t="s">
        <v>170</v>
      </c>
      <c r="P1772">
        <v>2023</v>
      </c>
    </row>
    <row r="1773" spans="15:16" x14ac:dyDescent="0.3">
      <c r="O1773" t="s">
        <v>573</v>
      </c>
      <c r="P1773">
        <v>2023</v>
      </c>
    </row>
    <row r="1774" spans="15:16" x14ac:dyDescent="0.3">
      <c r="O1774" t="s">
        <v>677</v>
      </c>
      <c r="P1774">
        <v>2023</v>
      </c>
    </row>
    <row r="1775" spans="15:16" x14ac:dyDescent="0.3">
      <c r="O1775" t="s">
        <v>611</v>
      </c>
      <c r="P1775">
        <v>2023</v>
      </c>
    </row>
    <row r="1776" spans="15:16" x14ac:dyDescent="0.3">
      <c r="O1776" t="s">
        <v>567</v>
      </c>
      <c r="P1776">
        <v>2023</v>
      </c>
    </row>
    <row r="1777" spans="15:16" x14ac:dyDescent="0.3">
      <c r="O1777" t="s">
        <v>809</v>
      </c>
      <c r="P1777">
        <v>2023</v>
      </c>
    </row>
    <row r="1778" spans="15:16" x14ac:dyDescent="0.3">
      <c r="O1778" t="s">
        <v>198</v>
      </c>
      <c r="P1778">
        <v>2023</v>
      </c>
    </row>
    <row r="1779" spans="15:16" x14ac:dyDescent="0.3">
      <c r="O1779" t="s">
        <v>330</v>
      </c>
      <c r="P1779">
        <v>2023</v>
      </c>
    </row>
    <row r="1780" spans="15:16" x14ac:dyDescent="0.3">
      <c r="O1780" t="s">
        <v>879</v>
      </c>
      <c r="P1780">
        <v>2023</v>
      </c>
    </row>
    <row r="1781" spans="15:16" x14ac:dyDescent="0.3">
      <c r="O1781" t="s">
        <v>269</v>
      </c>
      <c r="P1781">
        <v>2023</v>
      </c>
    </row>
    <row r="1782" spans="15:16" x14ac:dyDescent="0.3">
      <c r="O1782" t="s">
        <v>212</v>
      </c>
      <c r="P1782">
        <v>2023</v>
      </c>
    </row>
    <row r="1783" spans="15:16" x14ac:dyDescent="0.3">
      <c r="O1783" t="s">
        <v>802</v>
      </c>
      <c r="P1783">
        <v>2023</v>
      </c>
    </row>
    <row r="1784" spans="15:16" x14ac:dyDescent="0.3">
      <c r="O1784" t="s">
        <v>489</v>
      </c>
      <c r="P1784">
        <v>2023</v>
      </c>
    </row>
    <row r="1785" spans="15:16" x14ac:dyDescent="0.3">
      <c r="O1785" t="s">
        <v>284</v>
      </c>
      <c r="P1785">
        <v>2023</v>
      </c>
    </row>
    <row r="1786" spans="15:16" x14ac:dyDescent="0.3">
      <c r="O1786" t="s">
        <v>524</v>
      </c>
      <c r="P1786">
        <v>2023</v>
      </c>
    </row>
    <row r="1787" spans="15:16" x14ac:dyDescent="0.3">
      <c r="O1787" t="s">
        <v>376</v>
      </c>
      <c r="P1787">
        <v>2023</v>
      </c>
    </row>
    <row r="1788" spans="15:16" x14ac:dyDescent="0.3">
      <c r="O1788" t="s">
        <v>676</v>
      </c>
      <c r="P1788">
        <v>2023</v>
      </c>
    </row>
    <row r="1789" spans="15:16" x14ac:dyDescent="0.3">
      <c r="O1789" t="s">
        <v>592</v>
      </c>
      <c r="P1789">
        <v>2023</v>
      </c>
    </row>
    <row r="1790" spans="15:16" x14ac:dyDescent="0.3">
      <c r="O1790" t="s">
        <v>497</v>
      </c>
      <c r="P1790">
        <v>2023</v>
      </c>
    </row>
    <row r="1791" spans="15:16" x14ac:dyDescent="0.3">
      <c r="O1791" t="s">
        <v>712</v>
      </c>
      <c r="P1791">
        <v>2023</v>
      </c>
    </row>
    <row r="1792" spans="15:16" x14ac:dyDescent="0.3">
      <c r="O1792" t="s">
        <v>238</v>
      </c>
      <c r="P1792">
        <v>2023</v>
      </c>
    </row>
    <row r="1793" spans="15:16" x14ac:dyDescent="0.3">
      <c r="O1793" t="s">
        <v>823</v>
      </c>
      <c r="P1793">
        <v>2023</v>
      </c>
    </row>
    <row r="1794" spans="15:16" x14ac:dyDescent="0.3">
      <c r="O1794" t="s">
        <v>652</v>
      </c>
      <c r="P1794">
        <v>2023</v>
      </c>
    </row>
    <row r="1795" spans="15:16" x14ac:dyDescent="0.3">
      <c r="O1795" t="s">
        <v>154</v>
      </c>
      <c r="P1795">
        <v>2023</v>
      </c>
    </row>
    <row r="1796" spans="15:16" x14ac:dyDescent="0.3">
      <c r="O1796" t="s">
        <v>105</v>
      </c>
      <c r="P1796">
        <v>2023</v>
      </c>
    </row>
    <row r="1797" spans="15:16" x14ac:dyDescent="0.3">
      <c r="O1797" t="s">
        <v>675</v>
      </c>
      <c r="P1797">
        <v>2023</v>
      </c>
    </row>
    <row r="1798" spans="15:16" x14ac:dyDescent="0.3">
      <c r="O1798" t="s">
        <v>633</v>
      </c>
      <c r="P1798">
        <v>2023</v>
      </c>
    </row>
    <row r="1799" spans="15:16" x14ac:dyDescent="0.3">
      <c r="O1799" t="s">
        <v>333</v>
      </c>
      <c r="P1799">
        <v>2023</v>
      </c>
    </row>
    <row r="1800" spans="15:16" x14ac:dyDescent="0.3">
      <c r="O1800" t="s">
        <v>704</v>
      </c>
      <c r="P1800">
        <v>2023</v>
      </c>
    </row>
    <row r="1801" spans="15:16" x14ac:dyDescent="0.3">
      <c r="O1801" t="s">
        <v>280</v>
      </c>
      <c r="P1801">
        <v>2023</v>
      </c>
    </row>
    <row r="1802" spans="15:16" x14ac:dyDescent="0.3">
      <c r="O1802" t="s">
        <v>466</v>
      </c>
      <c r="P1802">
        <v>2023</v>
      </c>
    </row>
    <row r="1803" spans="15:16" x14ac:dyDescent="0.3">
      <c r="O1803" t="s">
        <v>777</v>
      </c>
      <c r="P1803">
        <v>2023</v>
      </c>
    </row>
    <row r="1804" spans="15:16" x14ac:dyDescent="0.3">
      <c r="O1804" t="s">
        <v>178</v>
      </c>
      <c r="P1804">
        <v>2023</v>
      </c>
    </row>
    <row r="1805" spans="15:16" x14ac:dyDescent="0.3">
      <c r="O1805" t="s">
        <v>204</v>
      </c>
      <c r="P1805">
        <v>2023</v>
      </c>
    </row>
    <row r="1806" spans="15:16" x14ac:dyDescent="0.3">
      <c r="O1806" t="s">
        <v>880</v>
      </c>
      <c r="P1806">
        <v>2023</v>
      </c>
    </row>
    <row r="1807" spans="15:16" x14ac:dyDescent="0.3">
      <c r="O1807" t="s">
        <v>360</v>
      </c>
      <c r="P1807">
        <v>2023</v>
      </c>
    </row>
    <row r="1808" spans="15:16" x14ac:dyDescent="0.3">
      <c r="O1808" t="s">
        <v>133</v>
      </c>
      <c r="P1808">
        <v>2024</v>
      </c>
    </row>
    <row r="1809" spans="15:16" x14ac:dyDescent="0.3">
      <c r="O1809" t="s">
        <v>339</v>
      </c>
      <c r="P1809">
        <v>2024</v>
      </c>
    </row>
    <row r="1810" spans="15:16" x14ac:dyDescent="0.3">
      <c r="O1810" t="s">
        <v>388</v>
      </c>
      <c r="P1810">
        <v>2024</v>
      </c>
    </row>
    <row r="1811" spans="15:16" x14ac:dyDescent="0.3">
      <c r="O1811" t="s">
        <v>844</v>
      </c>
      <c r="P1811">
        <v>2024</v>
      </c>
    </row>
    <row r="1812" spans="15:16" x14ac:dyDescent="0.3">
      <c r="O1812" t="s">
        <v>425</v>
      </c>
      <c r="P1812">
        <v>2024</v>
      </c>
    </row>
    <row r="1813" spans="15:16" x14ac:dyDescent="0.3">
      <c r="O1813" t="s">
        <v>704</v>
      </c>
      <c r="P1813">
        <v>2024</v>
      </c>
    </row>
    <row r="1814" spans="15:16" x14ac:dyDescent="0.3">
      <c r="O1814" t="s">
        <v>723</v>
      </c>
      <c r="P1814">
        <v>2024</v>
      </c>
    </row>
    <row r="1815" spans="15:16" x14ac:dyDescent="0.3">
      <c r="O1815" t="s">
        <v>80</v>
      </c>
      <c r="P1815">
        <v>2024</v>
      </c>
    </row>
    <row r="1816" spans="15:16" x14ac:dyDescent="0.3">
      <c r="O1816" t="s">
        <v>31</v>
      </c>
      <c r="P1816">
        <v>2024</v>
      </c>
    </row>
    <row r="1817" spans="15:16" x14ac:dyDescent="0.3">
      <c r="O1817" t="s">
        <v>720</v>
      </c>
      <c r="P1817">
        <v>2024</v>
      </c>
    </row>
    <row r="1818" spans="15:16" x14ac:dyDescent="0.3">
      <c r="O1818" t="s">
        <v>769</v>
      </c>
      <c r="P1818">
        <v>2024</v>
      </c>
    </row>
    <row r="1819" spans="15:16" x14ac:dyDescent="0.3">
      <c r="O1819" t="s">
        <v>611</v>
      </c>
      <c r="P1819">
        <v>2024</v>
      </c>
    </row>
    <row r="1820" spans="15:16" x14ac:dyDescent="0.3">
      <c r="O1820" t="s">
        <v>435</v>
      </c>
      <c r="P1820">
        <v>2024</v>
      </c>
    </row>
    <row r="1821" spans="15:16" x14ac:dyDescent="0.3">
      <c r="O1821" t="s">
        <v>546</v>
      </c>
      <c r="P1821">
        <v>2024</v>
      </c>
    </row>
    <row r="1822" spans="15:16" x14ac:dyDescent="0.3">
      <c r="O1822" t="s">
        <v>266</v>
      </c>
      <c r="P1822">
        <v>2024</v>
      </c>
    </row>
    <row r="1823" spans="15:16" x14ac:dyDescent="0.3">
      <c r="O1823" t="s">
        <v>737</v>
      </c>
      <c r="P1823">
        <v>2024</v>
      </c>
    </row>
    <row r="1824" spans="15:16" x14ac:dyDescent="0.3">
      <c r="O1824" t="s">
        <v>739</v>
      </c>
      <c r="P1824">
        <v>2024</v>
      </c>
    </row>
    <row r="1825" spans="15:16" x14ac:dyDescent="0.3">
      <c r="O1825" t="s">
        <v>654</v>
      </c>
      <c r="P1825">
        <v>2024</v>
      </c>
    </row>
    <row r="1826" spans="15:16" x14ac:dyDescent="0.3">
      <c r="O1826" t="s">
        <v>850</v>
      </c>
      <c r="P1826">
        <v>2024</v>
      </c>
    </row>
    <row r="1827" spans="15:16" x14ac:dyDescent="0.3">
      <c r="O1827" t="s">
        <v>710</v>
      </c>
      <c r="P1827">
        <v>2024</v>
      </c>
    </row>
    <row r="1828" spans="15:16" x14ac:dyDescent="0.3">
      <c r="O1828" t="s">
        <v>351</v>
      </c>
      <c r="P1828">
        <v>2024</v>
      </c>
    </row>
    <row r="1829" spans="15:16" x14ac:dyDescent="0.3">
      <c r="O1829" t="s">
        <v>803</v>
      </c>
      <c r="P1829">
        <v>2024</v>
      </c>
    </row>
    <row r="1830" spans="15:16" x14ac:dyDescent="0.3">
      <c r="O1830" t="s">
        <v>160</v>
      </c>
      <c r="P1830">
        <v>2024</v>
      </c>
    </row>
    <row r="1831" spans="15:16" x14ac:dyDescent="0.3">
      <c r="O1831" t="s">
        <v>857</v>
      </c>
      <c r="P1831">
        <v>2024</v>
      </c>
    </row>
    <row r="1832" spans="15:16" x14ac:dyDescent="0.3">
      <c r="O1832" t="s">
        <v>41</v>
      </c>
      <c r="P1832">
        <v>2024</v>
      </c>
    </row>
    <row r="1833" spans="15:16" x14ac:dyDescent="0.3">
      <c r="O1833" t="s">
        <v>822</v>
      </c>
      <c r="P1833">
        <v>2024</v>
      </c>
    </row>
    <row r="1834" spans="15:16" x14ac:dyDescent="0.3">
      <c r="O1834" t="s">
        <v>662</v>
      </c>
      <c r="P1834">
        <v>2024</v>
      </c>
    </row>
    <row r="1835" spans="15:16" x14ac:dyDescent="0.3">
      <c r="O1835" t="s">
        <v>29</v>
      </c>
      <c r="P1835">
        <v>2024</v>
      </c>
    </row>
    <row r="1836" spans="15:16" x14ac:dyDescent="0.3">
      <c r="O1836" t="s">
        <v>641</v>
      </c>
      <c r="P1836">
        <v>2024</v>
      </c>
    </row>
    <row r="1837" spans="15:16" x14ac:dyDescent="0.3">
      <c r="O1837" t="s">
        <v>378</v>
      </c>
      <c r="P1837">
        <v>2024</v>
      </c>
    </row>
    <row r="1838" spans="15:16" x14ac:dyDescent="0.3">
      <c r="O1838" t="s">
        <v>876</v>
      </c>
      <c r="P1838">
        <v>2024</v>
      </c>
    </row>
    <row r="1839" spans="15:16" x14ac:dyDescent="0.3">
      <c r="O1839" t="s">
        <v>298</v>
      </c>
      <c r="P1839">
        <v>2024</v>
      </c>
    </row>
    <row r="1840" spans="15:16" x14ac:dyDescent="0.3">
      <c r="O1840" t="s">
        <v>854</v>
      </c>
      <c r="P1840">
        <v>2024</v>
      </c>
    </row>
    <row r="1841" spans="15:16" x14ac:dyDescent="0.3">
      <c r="O1841" t="s">
        <v>536</v>
      </c>
      <c r="P1841">
        <v>2024</v>
      </c>
    </row>
    <row r="1842" spans="15:16" x14ac:dyDescent="0.3">
      <c r="O1842" t="s">
        <v>152</v>
      </c>
      <c r="P1842">
        <v>2024</v>
      </c>
    </row>
    <row r="1843" spans="15:16" x14ac:dyDescent="0.3">
      <c r="O1843" t="s">
        <v>570</v>
      </c>
      <c r="P1843">
        <v>2024</v>
      </c>
    </row>
    <row r="1844" spans="15:16" x14ac:dyDescent="0.3">
      <c r="O1844" t="s">
        <v>607</v>
      </c>
      <c r="P1844">
        <v>2024</v>
      </c>
    </row>
    <row r="1845" spans="15:16" x14ac:dyDescent="0.3">
      <c r="O1845" t="s">
        <v>396</v>
      </c>
      <c r="P1845">
        <v>2024</v>
      </c>
    </row>
    <row r="1846" spans="15:16" x14ac:dyDescent="0.3">
      <c r="O1846" t="s">
        <v>679</v>
      </c>
      <c r="P1846">
        <v>2024</v>
      </c>
    </row>
    <row r="1847" spans="15:16" x14ac:dyDescent="0.3">
      <c r="O1847" t="s">
        <v>871</v>
      </c>
      <c r="P1847">
        <v>2024</v>
      </c>
    </row>
    <row r="1848" spans="15:16" x14ac:dyDescent="0.3">
      <c r="O1848" t="s">
        <v>837</v>
      </c>
      <c r="P1848">
        <v>2024</v>
      </c>
    </row>
    <row r="1849" spans="15:16" x14ac:dyDescent="0.3">
      <c r="O1849" t="s">
        <v>627</v>
      </c>
      <c r="P1849">
        <v>2024</v>
      </c>
    </row>
    <row r="1850" spans="15:16" x14ac:dyDescent="0.3">
      <c r="O1850" t="s">
        <v>253</v>
      </c>
      <c r="P1850">
        <v>2024</v>
      </c>
    </row>
    <row r="1851" spans="15:16" x14ac:dyDescent="0.3">
      <c r="O1851" t="s">
        <v>194</v>
      </c>
      <c r="P1851">
        <v>2024</v>
      </c>
    </row>
    <row r="1852" spans="15:16" x14ac:dyDescent="0.3">
      <c r="O1852" t="s">
        <v>57</v>
      </c>
      <c r="P1852">
        <v>2024</v>
      </c>
    </row>
    <row r="1853" spans="15:16" x14ac:dyDescent="0.3">
      <c r="O1853" t="s">
        <v>290</v>
      </c>
      <c r="P1853">
        <v>2024</v>
      </c>
    </row>
    <row r="1854" spans="15:16" x14ac:dyDescent="0.3">
      <c r="O1854" t="s">
        <v>733</v>
      </c>
      <c r="P1854">
        <v>2024</v>
      </c>
    </row>
    <row r="1855" spans="15:16" x14ac:dyDescent="0.3">
      <c r="O1855" t="s">
        <v>538</v>
      </c>
      <c r="P1855">
        <v>2024</v>
      </c>
    </row>
    <row r="1856" spans="15:16" x14ac:dyDescent="0.3">
      <c r="O1856" t="s">
        <v>105</v>
      </c>
      <c r="P1856">
        <v>2024</v>
      </c>
    </row>
    <row r="1857" spans="15:16" x14ac:dyDescent="0.3">
      <c r="O1857" t="s">
        <v>804</v>
      </c>
      <c r="P1857">
        <v>2024</v>
      </c>
    </row>
    <row r="1858" spans="15:16" x14ac:dyDescent="0.3">
      <c r="O1858" t="s">
        <v>840</v>
      </c>
      <c r="P1858">
        <v>2024</v>
      </c>
    </row>
    <row r="1859" spans="15:16" x14ac:dyDescent="0.3">
      <c r="O1859" t="s">
        <v>115</v>
      </c>
      <c r="P1859">
        <v>2024</v>
      </c>
    </row>
    <row r="1860" spans="15:16" x14ac:dyDescent="0.3">
      <c r="O1860" t="s">
        <v>312</v>
      </c>
      <c r="P1860">
        <v>2024</v>
      </c>
    </row>
    <row r="1861" spans="15:16" x14ac:dyDescent="0.3">
      <c r="O1861" t="s">
        <v>715</v>
      </c>
      <c r="P1861">
        <v>2024</v>
      </c>
    </row>
    <row r="1862" spans="15:16" x14ac:dyDescent="0.3">
      <c r="O1862" t="s">
        <v>268</v>
      </c>
      <c r="P1862">
        <v>2024</v>
      </c>
    </row>
    <row r="1863" spans="15:16" x14ac:dyDescent="0.3">
      <c r="O1863" t="s">
        <v>756</v>
      </c>
      <c r="P1863">
        <v>2024</v>
      </c>
    </row>
    <row r="1864" spans="15:16" x14ac:dyDescent="0.3">
      <c r="O1864" t="s">
        <v>849</v>
      </c>
      <c r="P1864">
        <v>2024</v>
      </c>
    </row>
    <row r="1865" spans="15:16" x14ac:dyDescent="0.3">
      <c r="O1865" t="s">
        <v>685</v>
      </c>
      <c r="P1865">
        <v>2024</v>
      </c>
    </row>
    <row r="1866" spans="15:16" x14ac:dyDescent="0.3">
      <c r="O1866" t="s">
        <v>442</v>
      </c>
      <c r="P1866">
        <v>2024</v>
      </c>
    </row>
    <row r="1867" spans="15:16" x14ac:dyDescent="0.3">
      <c r="O1867" t="s">
        <v>225</v>
      </c>
      <c r="P1867">
        <v>2024</v>
      </c>
    </row>
    <row r="1868" spans="15:16" x14ac:dyDescent="0.3">
      <c r="O1868" t="s">
        <v>841</v>
      </c>
      <c r="P1868">
        <v>2024</v>
      </c>
    </row>
    <row r="1869" spans="15:16" x14ac:dyDescent="0.3">
      <c r="O1869" t="s">
        <v>725</v>
      </c>
      <c r="P1869">
        <v>2024</v>
      </c>
    </row>
    <row r="1870" spans="15:16" x14ac:dyDescent="0.3">
      <c r="O1870" t="s">
        <v>69</v>
      </c>
      <c r="P1870">
        <v>2024</v>
      </c>
    </row>
    <row r="1871" spans="15:16" x14ac:dyDescent="0.3">
      <c r="O1871" t="s">
        <v>572</v>
      </c>
      <c r="P1871">
        <v>2024</v>
      </c>
    </row>
    <row r="1872" spans="15:16" x14ac:dyDescent="0.3">
      <c r="O1872" t="s">
        <v>288</v>
      </c>
      <c r="P1872">
        <v>2024</v>
      </c>
    </row>
    <row r="1873" spans="15:16" x14ac:dyDescent="0.3">
      <c r="O1873" t="s">
        <v>859</v>
      </c>
      <c r="P1873">
        <v>2024</v>
      </c>
    </row>
    <row r="1874" spans="15:16" x14ac:dyDescent="0.3">
      <c r="O1874" t="s">
        <v>484</v>
      </c>
      <c r="P1874">
        <v>2024</v>
      </c>
    </row>
    <row r="1875" spans="15:16" x14ac:dyDescent="0.3">
      <c r="O1875" t="s">
        <v>463</v>
      </c>
      <c r="P1875">
        <v>2024</v>
      </c>
    </row>
    <row r="1876" spans="15:16" x14ac:dyDescent="0.3">
      <c r="O1876" t="s">
        <v>257</v>
      </c>
      <c r="P1876">
        <v>2024</v>
      </c>
    </row>
    <row r="1877" spans="15:16" x14ac:dyDescent="0.3">
      <c r="O1877" t="s">
        <v>831</v>
      </c>
      <c r="P1877">
        <v>2024</v>
      </c>
    </row>
    <row r="1878" spans="15:16" x14ac:dyDescent="0.3">
      <c r="O1878" t="s">
        <v>652</v>
      </c>
      <c r="P1878">
        <v>2024</v>
      </c>
    </row>
    <row r="1879" spans="15:16" x14ac:dyDescent="0.3">
      <c r="O1879" t="s">
        <v>162</v>
      </c>
      <c r="P1879">
        <v>2024</v>
      </c>
    </row>
    <row r="1880" spans="15:16" x14ac:dyDescent="0.3">
      <c r="O1880" t="s">
        <v>579</v>
      </c>
      <c r="P1880">
        <v>2024</v>
      </c>
    </row>
    <row r="1881" spans="15:16" x14ac:dyDescent="0.3">
      <c r="O1881" t="s">
        <v>805</v>
      </c>
      <c r="P1881">
        <v>2024</v>
      </c>
    </row>
    <row r="1882" spans="15:16" x14ac:dyDescent="0.3">
      <c r="O1882" t="s">
        <v>195</v>
      </c>
      <c r="P1882">
        <v>2024</v>
      </c>
    </row>
    <row r="1883" spans="15:16" x14ac:dyDescent="0.3">
      <c r="O1883" t="s">
        <v>555</v>
      </c>
      <c r="P1883">
        <v>2024</v>
      </c>
    </row>
    <row r="1884" spans="15:16" x14ac:dyDescent="0.3">
      <c r="O1884" t="s">
        <v>91</v>
      </c>
      <c r="P1884">
        <v>2024</v>
      </c>
    </row>
    <row r="1885" spans="15:16" x14ac:dyDescent="0.3">
      <c r="O1885" t="s">
        <v>560</v>
      </c>
      <c r="P1885">
        <v>2024</v>
      </c>
    </row>
    <row r="1886" spans="15:16" x14ac:dyDescent="0.3">
      <c r="O1886" t="s">
        <v>759</v>
      </c>
      <c r="P1886">
        <v>2024</v>
      </c>
    </row>
    <row r="1887" spans="15:16" x14ac:dyDescent="0.3">
      <c r="O1887" t="s">
        <v>817</v>
      </c>
      <c r="P1887">
        <v>2024</v>
      </c>
    </row>
    <row r="1888" spans="15:16" x14ac:dyDescent="0.3">
      <c r="O1888" t="s">
        <v>138</v>
      </c>
      <c r="P1888">
        <v>2024</v>
      </c>
    </row>
    <row r="1889" spans="15:16" x14ac:dyDescent="0.3">
      <c r="O1889" t="s">
        <v>345</v>
      </c>
      <c r="P1889">
        <v>2024</v>
      </c>
    </row>
    <row r="1890" spans="15:16" x14ac:dyDescent="0.3">
      <c r="O1890" t="s">
        <v>212</v>
      </c>
      <c r="P1890">
        <v>2024</v>
      </c>
    </row>
    <row r="1891" spans="15:16" x14ac:dyDescent="0.3">
      <c r="O1891" t="s">
        <v>142</v>
      </c>
      <c r="P1891">
        <v>2024</v>
      </c>
    </row>
    <row r="1892" spans="15:16" x14ac:dyDescent="0.3">
      <c r="O1892" t="s">
        <v>300</v>
      </c>
      <c r="P1892">
        <v>2024</v>
      </c>
    </row>
    <row r="1893" spans="15:16" x14ac:dyDescent="0.3">
      <c r="O1893" t="s">
        <v>670</v>
      </c>
      <c r="P1893">
        <v>2024</v>
      </c>
    </row>
    <row r="1894" spans="15:16" x14ac:dyDescent="0.3">
      <c r="O1894" t="s">
        <v>454</v>
      </c>
      <c r="P1894">
        <v>2024</v>
      </c>
    </row>
    <row r="1895" spans="15:16" x14ac:dyDescent="0.3">
      <c r="O1895" t="s">
        <v>329</v>
      </c>
      <c r="P1895">
        <v>2024</v>
      </c>
    </row>
    <row r="1896" spans="15:16" x14ac:dyDescent="0.3">
      <c r="O1896" t="s">
        <v>781</v>
      </c>
      <c r="P1896">
        <v>2024</v>
      </c>
    </row>
    <row r="1897" spans="15:16" x14ac:dyDescent="0.3">
      <c r="O1897" t="s">
        <v>252</v>
      </c>
      <c r="P1897">
        <v>2024</v>
      </c>
    </row>
    <row r="1898" spans="15:16" x14ac:dyDescent="0.3">
      <c r="O1898" t="s">
        <v>462</v>
      </c>
      <c r="P1898">
        <v>2024</v>
      </c>
    </row>
    <row r="1899" spans="15:16" x14ac:dyDescent="0.3">
      <c r="O1899" t="s">
        <v>397</v>
      </c>
      <c r="P1899">
        <v>2024</v>
      </c>
    </row>
    <row r="1900" spans="15:16" x14ac:dyDescent="0.3">
      <c r="O1900" t="s">
        <v>424</v>
      </c>
      <c r="P1900">
        <v>2024</v>
      </c>
    </row>
    <row r="1901" spans="15:16" x14ac:dyDescent="0.3">
      <c r="O1901" t="s">
        <v>639</v>
      </c>
      <c r="P1901">
        <v>2024</v>
      </c>
    </row>
    <row r="1902" spans="15:16" x14ac:dyDescent="0.3">
      <c r="O1902" t="s">
        <v>158</v>
      </c>
      <c r="P1902">
        <v>2024</v>
      </c>
    </row>
    <row r="1903" spans="15:16" x14ac:dyDescent="0.3">
      <c r="O1903" t="s">
        <v>591</v>
      </c>
      <c r="P1903">
        <v>2024</v>
      </c>
    </row>
    <row r="1904" spans="15:16" x14ac:dyDescent="0.3">
      <c r="O1904" t="s">
        <v>275</v>
      </c>
      <c r="P1904">
        <v>2024</v>
      </c>
    </row>
    <row r="1905" spans="15:16" x14ac:dyDescent="0.3">
      <c r="O1905" t="s">
        <v>395</v>
      </c>
      <c r="P1905">
        <v>2024</v>
      </c>
    </row>
    <row r="1906" spans="15:16" x14ac:dyDescent="0.3">
      <c r="O1906" t="s">
        <v>702</v>
      </c>
      <c r="P1906">
        <v>2024</v>
      </c>
    </row>
    <row r="1907" spans="15:16" x14ac:dyDescent="0.3">
      <c r="O1907" t="s">
        <v>182</v>
      </c>
      <c r="P1907">
        <v>2024</v>
      </c>
    </row>
    <row r="1908" spans="15:16" x14ac:dyDescent="0.3">
      <c r="O1908" t="s">
        <v>165</v>
      </c>
      <c r="P1908">
        <v>2024</v>
      </c>
    </row>
    <row r="1909" spans="15:16" x14ac:dyDescent="0.3">
      <c r="O1909" t="s">
        <v>400</v>
      </c>
      <c r="P1909">
        <v>2024</v>
      </c>
    </row>
    <row r="1910" spans="15:16" x14ac:dyDescent="0.3">
      <c r="O1910" t="s">
        <v>444</v>
      </c>
      <c r="P1910">
        <v>2024</v>
      </c>
    </row>
    <row r="1911" spans="15:16" x14ac:dyDescent="0.3">
      <c r="O1911" t="s">
        <v>798</v>
      </c>
      <c r="P1911">
        <v>2024</v>
      </c>
    </row>
    <row r="1912" spans="15:16" x14ac:dyDescent="0.3">
      <c r="O1912" t="s">
        <v>528</v>
      </c>
      <c r="P1912">
        <v>2024</v>
      </c>
    </row>
    <row r="1913" spans="15:16" x14ac:dyDescent="0.3">
      <c r="O1913" t="s">
        <v>347</v>
      </c>
      <c r="P1913">
        <v>2024</v>
      </c>
    </row>
    <row r="1914" spans="15:16" x14ac:dyDescent="0.3">
      <c r="O1914" t="s">
        <v>410</v>
      </c>
      <c r="P1914">
        <v>2024</v>
      </c>
    </row>
    <row r="1915" spans="15:16" x14ac:dyDescent="0.3">
      <c r="O1915" t="s">
        <v>711</v>
      </c>
      <c r="P1915">
        <v>2024</v>
      </c>
    </row>
    <row r="1916" spans="15:16" x14ac:dyDescent="0.3">
      <c r="O1916" t="s">
        <v>789</v>
      </c>
      <c r="P1916">
        <v>2024</v>
      </c>
    </row>
    <row r="1917" spans="15:16" x14ac:dyDescent="0.3">
      <c r="O1917" t="s">
        <v>810</v>
      </c>
      <c r="P1917">
        <v>2024</v>
      </c>
    </row>
    <row r="1918" spans="15:16" x14ac:dyDescent="0.3">
      <c r="O1918" t="s">
        <v>545</v>
      </c>
      <c r="P1918">
        <v>2024</v>
      </c>
    </row>
    <row r="1919" spans="15:16" x14ac:dyDescent="0.3">
      <c r="O1919" t="s">
        <v>392</v>
      </c>
      <c r="P1919">
        <v>2024</v>
      </c>
    </row>
    <row r="1920" spans="15:16" x14ac:dyDescent="0.3">
      <c r="O1920" t="s">
        <v>411</v>
      </c>
      <c r="P1920">
        <v>2024</v>
      </c>
    </row>
    <row r="1921" spans="15:16" x14ac:dyDescent="0.3">
      <c r="O1921" t="s">
        <v>317</v>
      </c>
      <c r="P1921">
        <v>2024</v>
      </c>
    </row>
    <row r="1922" spans="15:16" x14ac:dyDescent="0.3">
      <c r="O1922" t="s">
        <v>486</v>
      </c>
      <c r="P1922">
        <v>2024</v>
      </c>
    </row>
    <row r="1923" spans="15:16" x14ac:dyDescent="0.3">
      <c r="O1923" t="s">
        <v>159</v>
      </c>
      <c r="P1923">
        <v>2024</v>
      </c>
    </row>
    <row r="1924" spans="15:16" x14ac:dyDescent="0.3">
      <c r="O1924" t="s">
        <v>360</v>
      </c>
      <c r="P1924">
        <v>2024</v>
      </c>
    </row>
    <row r="1925" spans="15:16" x14ac:dyDescent="0.3">
      <c r="O1925" t="s">
        <v>760</v>
      </c>
      <c r="P1925">
        <v>2024</v>
      </c>
    </row>
    <row r="1926" spans="15:16" x14ac:dyDescent="0.3">
      <c r="O1926" t="s">
        <v>806</v>
      </c>
      <c r="P1926">
        <v>2024</v>
      </c>
    </row>
    <row r="1927" spans="15:16" x14ac:dyDescent="0.3">
      <c r="O1927" t="s">
        <v>262</v>
      </c>
      <c r="P1927">
        <v>2024</v>
      </c>
    </row>
    <row r="1928" spans="15:16" x14ac:dyDescent="0.3">
      <c r="O1928" t="s">
        <v>512</v>
      </c>
      <c r="P1928">
        <v>2024</v>
      </c>
    </row>
    <row r="1929" spans="15:16" x14ac:dyDescent="0.3">
      <c r="O1929" t="s">
        <v>787</v>
      </c>
      <c r="P1929">
        <v>2024</v>
      </c>
    </row>
    <row r="1930" spans="15:16" x14ac:dyDescent="0.3">
      <c r="O1930" t="s">
        <v>241</v>
      </c>
      <c r="P1930">
        <v>2024</v>
      </c>
    </row>
    <row r="1931" spans="15:16" x14ac:dyDescent="0.3">
      <c r="O1931" t="s">
        <v>341</v>
      </c>
      <c r="P1931">
        <v>2024</v>
      </c>
    </row>
    <row r="1932" spans="15:16" x14ac:dyDescent="0.3">
      <c r="O1932" t="s">
        <v>390</v>
      </c>
      <c r="P1932">
        <v>2024</v>
      </c>
    </row>
    <row r="1933" spans="15:16" x14ac:dyDescent="0.3">
      <c r="O1933" t="s">
        <v>107</v>
      </c>
      <c r="P1933">
        <v>2024</v>
      </c>
    </row>
    <row r="1934" spans="15:16" x14ac:dyDescent="0.3">
      <c r="O1934" t="s">
        <v>581</v>
      </c>
      <c r="P1934">
        <v>2024</v>
      </c>
    </row>
    <row r="1935" spans="15:16" x14ac:dyDescent="0.3">
      <c r="O1935" t="s">
        <v>671</v>
      </c>
      <c r="P1935">
        <v>2024</v>
      </c>
    </row>
    <row r="1936" spans="15:16" x14ac:dyDescent="0.3">
      <c r="O1936" t="s">
        <v>2</v>
      </c>
      <c r="P1936">
        <v>2024</v>
      </c>
    </row>
    <row r="1937" spans="15:16" x14ac:dyDescent="0.3">
      <c r="O1937" t="s">
        <v>602</v>
      </c>
      <c r="P1937">
        <v>2024</v>
      </c>
    </row>
    <row r="1938" spans="15:16" x14ac:dyDescent="0.3">
      <c r="O1938" t="s">
        <v>530</v>
      </c>
      <c r="P1938">
        <v>2024</v>
      </c>
    </row>
    <row r="1939" spans="15:16" x14ac:dyDescent="0.3">
      <c r="O1939" t="s">
        <v>696</v>
      </c>
      <c r="P1939">
        <v>2024</v>
      </c>
    </row>
    <row r="1940" spans="15:16" x14ac:dyDescent="0.3">
      <c r="O1940" t="s">
        <v>881</v>
      </c>
      <c r="P1940">
        <v>2024</v>
      </c>
    </row>
    <row r="1941" spans="15:16" x14ac:dyDescent="0.3">
      <c r="O1941" t="s">
        <v>254</v>
      </c>
      <c r="P1941">
        <v>2024</v>
      </c>
    </row>
    <row r="1942" spans="15:16" x14ac:dyDescent="0.3">
      <c r="O1942" t="s">
        <v>664</v>
      </c>
      <c r="P1942">
        <v>2024</v>
      </c>
    </row>
    <row r="1943" spans="15:16" x14ac:dyDescent="0.3">
      <c r="O1943" t="s">
        <v>758</v>
      </c>
      <c r="P1943">
        <v>2024</v>
      </c>
    </row>
    <row r="1944" spans="15:16" x14ac:dyDescent="0.3">
      <c r="O1944" t="s">
        <v>838</v>
      </c>
      <c r="P1944">
        <v>2024</v>
      </c>
    </row>
    <row r="1945" spans="15:16" x14ac:dyDescent="0.3">
      <c r="O1945" t="s">
        <v>689</v>
      </c>
      <c r="P1945">
        <v>2024</v>
      </c>
    </row>
    <row r="1946" spans="15:16" x14ac:dyDescent="0.3">
      <c r="O1946" t="s">
        <v>592</v>
      </c>
      <c r="P1946">
        <v>2024</v>
      </c>
    </row>
    <row r="1947" spans="15:16" x14ac:dyDescent="0.3">
      <c r="O1947" t="s">
        <v>768</v>
      </c>
      <c r="P1947">
        <v>2024</v>
      </c>
    </row>
    <row r="1948" spans="15:16" x14ac:dyDescent="0.3">
      <c r="O1948" t="s">
        <v>647</v>
      </c>
      <c r="P1948">
        <v>2024</v>
      </c>
    </row>
    <row r="1949" spans="15:16" x14ac:dyDescent="0.3">
      <c r="O1949" t="s">
        <v>853</v>
      </c>
      <c r="P1949">
        <v>2024</v>
      </c>
    </row>
    <row r="1950" spans="15:16" x14ac:dyDescent="0.3">
      <c r="O1950" t="s">
        <v>469</v>
      </c>
      <c r="P1950">
        <v>2024</v>
      </c>
    </row>
    <row r="1951" spans="15:16" x14ac:dyDescent="0.3">
      <c r="O1951" t="s">
        <v>701</v>
      </c>
      <c r="P1951">
        <v>2024</v>
      </c>
    </row>
    <row r="1952" spans="15:16" x14ac:dyDescent="0.3">
      <c r="O1952" t="s">
        <v>609</v>
      </c>
      <c r="P1952">
        <v>2024</v>
      </c>
    </row>
    <row r="1953" spans="15:16" x14ac:dyDescent="0.3">
      <c r="O1953" t="s">
        <v>599</v>
      </c>
      <c r="P1953">
        <v>2024</v>
      </c>
    </row>
    <row r="1954" spans="15:16" x14ac:dyDescent="0.3">
      <c r="O1954" t="s">
        <v>755</v>
      </c>
      <c r="P1954">
        <v>2024</v>
      </c>
    </row>
    <row r="1955" spans="15:16" x14ac:dyDescent="0.3">
      <c r="O1955" t="s">
        <v>270</v>
      </c>
      <c r="P1955">
        <v>2024</v>
      </c>
    </row>
    <row r="1956" spans="15:16" x14ac:dyDescent="0.3">
      <c r="O1956" t="s">
        <v>401</v>
      </c>
      <c r="P1956">
        <v>2024</v>
      </c>
    </row>
    <row r="1957" spans="15:16" x14ac:dyDescent="0.3">
      <c r="O1957" t="s">
        <v>230</v>
      </c>
      <c r="P1957">
        <v>2024</v>
      </c>
    </row>
    <row r="1958" spans="15:16" x14ac:dyDescent="0.3">
      <c r="O1958" t="s">
        <v>646</v>
      </c>
      <c r="P1958">
        <v>2024</v>
      </c>
    </row>
    <row r="1959" spans="15:16" x14ac:dyDescent="0.3">
      <c r="O1959" t="s">
        <v>535</v>
      </c>
      <c r="P1959">
        <v>2024</v>
      </c>
    </row>
    <row r="1960" spans="15:16" x14ac:dyDescent="0.3">
      <c r="O1960" t="s">
        <v>601</v>
      </c>
      <c r="P1960">
        <v>2024</v>
      </c>
    </row>
    <row r="1961" spans="15:16" x14ac:dyDescent="0.3">
      <c r="O1961" t="s">
        <v>248</v>
      </c>
      <c r="P1961">
        <v>2024</v>
      </c>
    </row>
    <row r="1962" spans="15:16" x14ac:dyDescent="0.3">
      <c r="O1962" t="s">
        <v>820</v>
      </c>
      <c r="P1962">
        <v>2024</v>
      </c>
    </row>
    <row r="1963" spans="15:16" x14ac:dyDescent="0.3">
      <c r="O1963" t="s">
        <v>833</v>
      </c>
      <c r="P1963">
        <v>2024</v>
      </c>
    </row>
    <row r="1964" spans="15:16" x14ac:dyDescent="0.3">
      <c r="O1964" t="s">
        <v>811</v>
      </c>
      <c r="P1964">
        <v>2024</v>
      </c>
    </row>
    <row r="1965" spans="15:16" x14ac:dyDescent="0.3">
      <c r="O1965" t="s">
        <v>239</v>
      </c>
      <c r="P1965">
        <v>2024</v>
      </c>
    </row>
    <row r="1966" spans="15:16" x14ac:dyDescent="0.3">
      <c r="O1966" t="s">
        <v>499</v>
      </c>
      <c r="P1966">
        <v>2024</v>
      </c>
    </row>
    <row r="1967" spans="15:16" x14ac:dyDescent="0.3">
      <c r="O1967" t="s">
        <v>242</v>
      </c>
      <c r="P1967">
        <v>2024</v>
      </c>
    </row>
    <row r="1968" spans="15:16" x14ac:dyDescent="0.3">
      <c r="O1968" t="s">
        <v>445</v>
      </c>
      <c r="P1968">
        <v>2024</v>
      </c>
    </row>
    <row r="1969" spans="15:16" x14ac:dyDescent="0.3">
      <c r="O1969" t="s">
        <v>632</v>
      </c>
      <c r="P1969">
        <v>2024</v>
      </c>
    </row>
    <row r="1970" spans="15:16" x14ac:dyDescent="0.3">
      <c r="O1970" t="s">
        <v>171</v>
      </c>
      <c r="P1970">
        <v>2024</v>
      </c>
    </row>
    <row r="1971" spans="15:16" x14ac:dyDescent="0.3">
      <c r="O1971" t="s">
        <v>774</v>
      </c>
      <c r="P1971">
        <v>2024</v>
      </c>
    </row>
    <row r="1972" spans="15:16" x14ac:dyDescent="0.3">
      <c r="O1972" t="s">
        <v>775</v>
      </c>
      <c r="P1972">
        <v>2024</v>
      </c>
    </row>
    <row r="1973" spans="15:16" x14ac:dyDescent="0.3">
      <c r="O1973" t="s">
        <v>429</v>
      </c>
      <c r="P1973">
        <v>2024</v>
      </c>
    </row>
    <row r="1974" spans="15:16" x14ac:dyDescent="0.3">
      <c r="O1974" t="s">
        <v>877</v>
      </c>
      <c r="P1974">
        <v>2024</v>
      </c>
    </row>
    <row r="1975" spans="15:16" x14ac:dyDescent="0.3">
      <c r="O1975" t="s">
        <v>747</v>
      </c>
      <c r="P1975">
        <v>2024</v>
      </c>
    </row>
    <row r="1976" spans="15:16" x14ac:dyDescent="0.3">
      <c r="O1976" t="s">
        <v>175</v>
      </c>
      <c r="P1976">
        <v>2024</v>
      </c>
    </row>
    <row r="1977" spans="15:16" x14ac:dyDescent="0.3">
      <c r="O1977" t="s">
        <v>529</v>
      </c>
      <c r="P1977">
        <v>2024</v>
      </c>
    </row>
    <row r="1978" spans="15:16" x14ac:dyDescent="0.3">
      <c r="O1978" t="s">
        <v>558</v>
      </c>
      <c r="P1978">
        <v>2024</v>
      </c>
    </row>
    <row r="1979" spans="15:16" x14ac:dyDescent="0.3">
      <c r="O1979" t="s">
        <v>629</v>
      </c>
      <c r="P1979">
        <v>2024</v>
      </c>
    </row>
    <row r="1980" spans="15:16" x14ac:dyDescent="0.3">
      <c r="O1980" t="s">
        <v>751</v>
      </c>
      <c r="P1980">
        <v>2024</v>
      </c>
    </row>
    <row r="1981" spans="15:16" x14ac:dyDescent="0.3">
      <c r="O1981" t="s">
        <v>61</v>
      </c>
      <c r="P1981">
        <v>2024</v>
      </c>
    </row>
    <row r="1982" spans="15:16" x14ac:dyDescent="0.3">
      <c r="O1982" t="s">
        <v>154</v>
      </c>
      <c r="P1982">
        <v>2024</v>
      </c>
    </row>
    <row r="1983" spans="15:16" x14ac:dyDescent="0.3">
      <c r="O1983" t="s">
        <v>537</v>
      </c>
      <c r="P1983">
        <v>2024</v>
      </c>
    </row>
    <row r="1984" spans="15:16" x14ac:dyDescent="0.3">
      <c r="O1984" t="s">
        <v>525</v>
      </c>
      <c r="P1984">
        <v>2024</v>
      </c>
    </row>
    <row r="1985" spans="15:16" x14ac:dyDescent="0.3">
      <c r="O1985" t="s">
        <v>144</v>
      </c>
      <c r="P1985">
        <v>2024</v>
      </c>
    </row>
    <row r="1986" spans="15:16" x14ac:dyDescent="0.3">
      <c r="O1986" t="s">
        <v>413</v>
      </c>
      <c r="P1986">
        <v>2024</v>
      </c>
    </row>
    <row r="1987" spans="15:16" x14ac:dyDescent="0.3">
      <c r="O1987" t="s">
        <v>276</v>
      </c>
      <c r="P1987">
        <v>2024</v>
      </c>
    </row>
    <row r="1988" spans="15:16" x14ac:dyDescent="0.3">
      <c r="O1988" t="s">
        <v>306</v>
      </c>
      <c r="P1988">
        <v>2024</v>
      </c>
    </row>
    <row r="1989" spans="15:16" x14ac:dyDescent="0.3">
      <c r="O1989" t="s">
        <v>863</v>
      </c>
      <c r="P1989">
        <v>2024</v>
      </c>
    </row>
    <row r="1990" spans="15:16" x14ac:dyDescent="0.3">
      <c r="O1990" t="s">
        <v>255</v>
      </c>
      <c r="P1990">
        <v>2024</v>
      </c>
    </row>
    <row r="1991" spans="15:16" x14ac:dyDescent="0.3">
      <c r="O1991" t="s">
        <v>834</v>
      </c>
      <c r="P1991">
        <v>2024</v>
      </c>
    </row>
    <row r="1992" spans="15:16" x14ac:dyDescent="0.3">
      <c r="O1992" t="s">
        <v>564</v>
      </c>
      <c r="P1992">
        <v>2024</v>
      </c>
    </row>
    <row r="1993" spans="15:16" x14ac:dyDescent="0.3">
      <c r="O1993" t="s">
        <v>676</v>
      </c>
      <c r="P1993">
        <v>2024</v>
      </c>
    </row>
    <row r="1994" spans="15:16" x14ac:dyDescent="0.3">
      <c r="O1994" t="s">
        <v>229</v>
      </c>
      <c r="P1994">
        <v>2024</v>
      </c>
    </row>
    <row r="1995" spans="15:16" x14ac:dyDescent="0.3">
      <c r="O1995" t="s">
        <v>794</v>
      </c>
      <c r="P1995">
        <v>2024</v>
      </c>
    </row>
    <row r="1996" spans="15:16" x14ac:dyDescent="0.3">
      <c r="O1996" t="s">
        <v>36</v>
      </c>
      <c r="P1996">
        <v>2024</v>
      </c>
    </row>
    <row r="1997" spans="15:16" x14ac:dyDescent="0.3">
      <c r="O1997" t="s">
        <v>394</v>
      </c>
      <c r="P1997">
        <v>2024</v>
      </c>
    </row>
    <row r="1998" spans="15:16" x14ac:dyDescent="0.3">
      <c r="O1998" t="s">
        <v>637</v>
      </c>
      <c r="P1998">
        <v>2024</v>
      </c>
    </row>
    <row r="1999" spans="15:16" x14ac:dyDescent="0.3">
      <c r="O1999" t="s">
        <v>508</v>
      </c>
      <c r="P1999">
        <v>2024</v>
      </c>
    </row>
    <row r="2000" spans="15:16" x14ac:dyDescent="0.3">
      <c r="O2000" t="s">
        <v>210</v>
      </c>
      <c r="P2000">
        <v>2024</v>
      </c>
    </row>
    <row r="2001" spans="15:16" x14ac:dyDescent="0.3">
      <c r="O2001" t="s">
        <v>616</v>
      </c>
      <c r="P2001">
        <v>2024</v>
      </c>
    </row>
    <row r="2002" spans="15:16" x14ac:dyDescent="0.3">
      <c r="O2002" t="s">
        <v>179</v>
      </c>
      <c r="P2002">
        <v>2024</v>
      </c>
    </row>
    <row r="2003" spans="15:16" x14ac:dyDescent="0.3">
      <c r="O2003" t="s">
        <v>198</v>
      </c>
      <c r="P2003">
        <v>2024</v>
      </c>
    </row>
    <row r="2004" spans="15:16" x14ac:dyDescent="0.3">
      <c r="O2004" t="s">
        <v>813</v>
      </c>
      <c r="P2004">
        <v>2024</v>
      </c>
    </row>
    <row r="2005" spans="15:16" x14ac:dyDescent="0.3">
      <c r="O2005" t="s">
        <v>882</v>
      </c>
      <c r="P2005">
        <v>2024</v>
      </c>
    </row>
    <row r="2006" spans="15:16" x14ac:dyDescent="0.3">
      <c r="O2006" t="s">
        <v>826</v>
      </c>
      <c r="P2006">
        <v>2024</v>
      </c>
    </row>
    <row r="2007" spans="15:16" x14ac:dyDescent="0.3">
      <c r="O2007" t="s">
        <v>355</v>
      </c>
      <c r="P2007">
        <v>2024</v>
      </c>
    </row>
    <row r="2008" spans="15:16" x14ac:dyDescent="0.3">
      <c r="O2008" t="s">
        <v>302</v>
      </c>
      <c r="P2008">
        <v>2024</v>
      </c>
    </row>
    <row r="2009" spans="15:16" x14ac:dyDescent="0.3">
      <c r="O2009" t="s">
        <v>748</v>
      </c>
      <c r="P2009">
        <v>2024</v>
      </c>
    </row>
    <row r="2010" spans="15:16" x14ac:dyDescent="0.3">
      <c r="O2010" t="s">
        <v>741</v>
      </c>
      <c r="P2010">
        <v>2024</v>
      </c>
    </row>
    <row r="2011" spans="15:16" x14ac:dyDescent="0.3">
      <c r="O2011" t="s">
        <v>127</v>
      </c>
      <c r="P2011">
        <v>2024</v>
      </c>
    </row>
    <row r="2012" spans="15:16" x14ac:dyDescent="0.3">
      <c r="O2012" t="s">
        <v>628</v>
      </c>
      <c r="P2012">
        <v>2024</v>
      </c>
    </row>
    <row r="2013" spans="15:16" x14ac:dyDescent="0.3">
      <c r="O2013" t="s">
        <v>883</v>
      </c>
      <c r="P2013">
        <v>2024</v>
      </c>
    </row>
    <row r="2014" spans="15:16" x14ac:dyDescent="0.3">
      <c r="O2014" t="s">
        <v>752</v>
      </c>
      <c r="P2014">
        <v>2024</v>
      </c>
    </row>
    <row r="2015" spans="15:16" x14ac:dyDescent="0.3">
      <c r="O2015" t="s">
        <v>34</v>
      </c>
      <c r="P2015">
        <v>2024</v>
      </c>
    </row>
    <row r="2016" spans="15:16" x14ac:dyDescent="0.3">
      <c r="O2016" t="s">
        <v>97</v>
      </c>
      <c r="P2016">
        <v>2024</v>
      </c>
    </row>
    <row r="2017" spans="15:16" x14ac:dyDescent="0.3">
      <c r="O2017" t="s">
        <v>615</v>
      </c>
      <c r="P2017">
        <v>2024</v>
      </c>
    </row>
    <row r="2018" spans="15:16" x14ac:dyDescent="0.3">
      <c r="O2018" t="s">
        <v>274</v>
      </c>
      <c r="P2018">
        <v>2024</v>
      </c>
    </row>
    <row r="2019" spans="15:16" x14ac:dyDescent="0.3">
      <c r="O2019" t="s">
        <v>726</v>
      </c>
      <c r="P2019">
        <v>2024</v>
      </c>
    </row>
    <row r="2020" spans="15:16" x14ac:dyDescent="0.3">
      <c r="O2020" t="s">
        <v>548</v>
      </c>
      <c r="P2020">
        <v>2024</v>
      </c>
    </row>
    <row r="2021" spans="15:16" x14ac:dyDescent="0.3">
      <c r="O2021" t="s">
        <v>577</v>
      </c>
      <c r="P2021">
        <v>2024</v>
      </c>
    </row>
    <row r="2022" spans="15:16" x14ac:dyDescent="0.3">
      <c r="O2022" t="s">
        <v>809</v>
      </c>
      <c r="P2022">
        <v>2024</v>
      </c>
    </row>
    <row r="2023" spans="15:16" x14ac:dyDescent="0.3">
      <c r="O2023" t="s">
        <v>561</v>
      </c>
      <c r="P2023">
        <v>2024</v>
      </c>
    </row>
    <row r="2024" spans="15:16" x14ac:dyDescent="0.3">
      <c r="O2024" t="s">
        <v>237</v>
      </c>
      <c r="P2024">
        <v>2024</v>
      </c>
    </row>
    <row r="2025" spans="15:16" x14ac:dyDescent="0.3">
      <c r="O2025" t="s">
        <v>521</v>
      </c>
      <c r="P2025">
        <v>2024</v>
      </c>
    </row>
    <row r="2026" spans="15:16" x14ac:dyDescent="0.3">
      <c r="O2026" t="s">
        <v>526</v>
      </c>
      <c r="P2026">
        <v>2024</v>
      </c>
    </row>
    <row r="2027" spans="15:16" x14ac:dyDescent="0.3">
      <c r="O2027" t="s">
        <v>492</v>
      </c>
      <c r="P2027">
        <v>2024</v>
      </c>
    </row>
    <row r="2028" spans="15:16" x14ac:dyDescent="0.3">
      <c r="O2028" t="s">
        <v>420</v>
      </c>
      <c r="P2028">
        <v>2024</v>
      </c>
    </row>
    <row r="2029" spans="15:16" x14ac:dyDescent="0.3">
      <c r="O2029" t="s">
        <v>140</v>
      </c>
      <c r="P2029">
        <v>2024</v>
      </c>
    </row>
    <row r="2030" spans="15:16" x14ac:dyDescent="0.3">
      <c r="O2030" t="s">
        <v>272</v>
      </c>
      <c r="P2030">
        <v>2024</v>
      </c>
    </row>
    <row r="2031" spans="15:16" x14ac:dyDescent="0.3">
      <c r="O2031" t="s">
        <v>631</v>
      </c>
      <c r="P2031">
        <v>2024</v>
      </c>
    </row>
    <row r="2032" spans="15:16" x14ac:dyDescent="0.3">
      <c r="O2032" t="s">
        <v>640</v>
      </c>
      <c r="P2032">
        <v>2024</v>
      </c>
    </row>
    <row r="2033" spans="15:16" x14ac:dyDescent="0.3">
      <c r="O2033" t="s">
        <v>697</v>
      </c>
      <c r="P2033">
        <v>2024</v>
      </c>
    </row>
    <row r="2034" spans="15:16" x14ac:dyDescent="0.3">
      <c r="O2034" t="s">
        <v>278</v>
      </c>
      <c r="P2034">
        <v>2024</v>
      </c>
    </row>
    <row r="2035" spans="15:16" x14ac:dyDescent="0.3">
      <c r="O2035" t="s">
        <v>584</v>
      </c>
      <c r="P2035">
        <v>2024</v>
      </c>
    </row>
    <row r="2036" spans="15:16" x14ac:dyDescent="0.3">
      <c r="O2036" t="s">
        <v>501</v>
      </c>
      <c r="P2036">
        <v>2024</v>
      </c>
    </row>
    <row r="2037" spans="15:16" x14ac:dyDescent="0.3">
      <c r="O2037" t="s">
        <v>869</v>
      </c>
      <c r="P2037">
        <v>2024</v>
      </c>
    </row>
    <row r="2038" spans="15:16" x14ac:dyDescent="0.3">
      <c r="O2038" t="s">
        <v>448</v>
      </c>
      <c r="P2038">
        <v>2024</v>
      </c>
    </row>
    <row r="2039" spans="15:16" x14ac:dyDescent="0.3">
      <c r="O2039" t="s">
        <v>534</v>
      </c>
      <c r="P2039">
        <v>2024</v>
      </c>
    </row>
    <row r="2040" spans="15:16" x14ac:dyDescent="0.3">
      <c r="O2040" t="s">
        <v>594</v>
      </c>
      <c r="P2040">
        <v>2024</v>
      </c>
    </row>
    <row r="2041" spans="15:16" x14ac:dyDescent="0.3">
      <c r="O2041" t="s">
        <v>406</v>
      </c>
      <c r="P2041">
        <v>2024</v>
      </c>
    </row>
    <row r="2042" spans="15:16" x14ac:dyDescent="0.3">
      <c r="O2042" t="s">
        <v>797</v>
      </c>
      <c r="P2042">
        <v>2024</v>
      </c>
    </row>
    <row r="2043" spans="15:16" x14ac:dyDescent="0.3">
      <c r="O2043" t="s">
        <v>421</v>
      </c>
      <c r="P2043">
        <v>2024</v>
      </c>
    </row>
    <row r="2044" spans="15:16" x14ac:dyDescent="0.3">
      <c r="O2044" t="s">
        <v>582</v>
      </c>
      <c r="P2044">
        <v>2024</v>
      </c>
    </row>
    <row r="2045" spans="15:16" x14ac:dyDescent="0.3">
      <c r="O2045" t="s">
        <v>549</v>
      </c>
      <c r="P2045">
        <v>2024</v>
      </c>
    </row>
    <row r="2046" spans="15:16" x14ac:dyDescent="0.3">
      <c r="O2046" t="s">
        <v>884</v>
      </c>
      <c r="P2046">
        <v>2024</v>
      </c>
    </row>
    <row r="2047" spans="15:16" x14ac:dyDescent="0.3">
      <c r="O2047" t="s">
        <v>626</v>
      </c>
      <c r="P2047">
        <v>2024</v>
      </c>
    </row>
    <row r="2048" spans="15:16" x14ac:dyDescent="0.3">
      <c r="O2048" t="s">
        <v>309</v>
      </c>
      <c r="P2048">
        <v>2024</v>
      </c>
    </row>
    <row r="2049" spans="15:16" x14ac:dyDescent="0.3">
      <c r="O2049" t="s">
        <v>502</v>
      </c>
      <c r="P2049">
        <v>2024</v>
      </c>
    </row>
    <row r="2050" spans="15:16" x14ac:dyDescent="0.3">
      <c r="O2050" t="s">
        <v>193</v>
      </c>
      <c r="P2050">
        <v>2024</v>
      </c>
    </row>
    <row r="2051" spans="15:16" x14ac:dyDescent="0.3">
      <c r="O2051" t="s">
        <v>407</v>
      </c>
      <c r="P2051">
        <v>2024</v>
      </c>
    </row>
    <row r="2052" spans="15:16" x14ac:dyDescent="0.3">
      <c r="O2052" t="s">
        <v>800</v>
      </c>
      <c r="P2052">
        <v>2024</v>
      </c>
    </row>
    <row r="2053" spans="15:16" x14ac:dyDescent="0.3">
      <c r="O2053" t="s">
        <v>749</v>
      </c>
      <c r="P2053">
        <v>2024</v>
      </c>
    </row>
    <row r="2054" spans="15:16" x14ac:dyDescent="0.3">
      <c r="O2054" t="s">
        <v>377</v>
      </c>
      <c r="P2054">
        <v>2024</v>
      </c>
    </row>
    <row r="2055" spans="15:16" x14ac:dyDescent="0.3">
      <c r="O2055" t="s">
        <v>699</v>
      </c>
      <c r="P2055">
        <v>2024</v>
      </c>
    </row>
    <row r="2056" spans="15:16" x14ac:dyDescent="0.3">
      <c r="O2056" t="s">
        <v>779</v>
      </c>
      <c r="P2056">
        <v>2024</v>
      </c>
    </row>
    <row r="2057" spans="15:16" x14ac:dyDescent="0.3">
      <c r="O2057" t="s">
        <v>452</v>
      </c>
      <c r="P2057">
        <v>2024</v>
      </c>
    </row>
    <row r="2058" spans="15:16" x14ac:dyDescent="0.3">
      <c r="O2058" t="s">
        <v>415</v>
      </c>
      <c r="P2058">
        <v>2024</v>
      </c>
    </row>
    <row r="2059" spans="15:16" x14ac:dyDescent="0.3">
      <c r="O2059" t="s">
        <v>285</v>
      </c>
      <c r="P2059">
        <v>2024</v>
      </c>
    </row>
    <row r="2060" spans="15:16" x14ac:dyDescent="0.3">
      <c r="O2060" t="s">
        <v>614</v>
      </c>
      <c r="P2060">
        <v>2024</v>
      </c>
    </row>
    <row r="2061" spans="15:16" x14ac:dyDescent="0.3">
      <c r="O2061" t="s">
        <v>373</v>
      </c>
      <c r="P2061">
        <v>2024</v>
      </c>
    </row>
    <row r="2062" spans="15:16" x14ac:dyDescent="0.3">
      <c r="O2062" t="s">
        <v>103</v>
      </c>
      <c r="P2062">
        <v>2024</v>
      </c>
    </row>
    <row r="2063" spans="15:16" x14ac:dyDescent="0.3">
      <c r="O2063" t="s">
        <v>588</v>
      </c>
      <c r="P2063">
        <v>2024</v>
      </c>
    </row>
    <row r="2064" spans="15:16" x14ac:dyDescent="0.3">
      <c r="O2064" t="s">
        <v>605</v>
      </c>
      <c r="P2064">
        <v>2024</v>
      </c>
    </row>
    <row r="2065" spans="15:16" x14ac:dyDescent="0.3">
      <c r="O2065" t="s">
        <v>367</v>
      </c>
      <c r="P2065">
        <v>2024</v>
      </c>
    </row>
    <row r="2066" spans="15:16" x14ac:dyDescent="0.3">
      <c r="O2066" t="s">
        <v>716</v>
      </c>
      <c r="P2066">
        <v>2024</v>
      </c>
    </row>
    <row r="2067" spans="15:16" x14ac:dyDescent="0.3">
      <c r="O2067" t="s">
        <v>718</v>
      </c>
      <c r="P2067">
        <v>2024</v>
      </c>
    </row>
    <row r="2068" spans="15:16" x14ac:dyDescent="0.3">
      <c r="O2068" t="s">
        <v>356</v>
      </c>
      <c r="P2068">
        <v>2024</v>
      </c>
    </row>
    <row r="2069" spans="15:16" x14ac:dyDescent="0.3">
      <c r="O2069" t="s">
        <v>203</v>
      </c>
      <c r="P2069">
        <v>2024</v>
      </c>
    </row>
    <row r="2070" spans="15:16" x14ac:dyDescent="0.3">
      <c r="O2070" t="s">
        <v>358</v>
      </c>
      <c r="P2070">
        <v>2024</v>
      </c>
    </row>
    <row r="2071" spans="15:16" x14ac:dyDescent="0.3">
      <c r="O2071" t="s">
        <v>788</v>
      </c>
      <c r="P2071">
        <v>2024</v>
      </c>
    </row>
    <row r="2072" spans="15:16" x14ac:dyDescent="0.3">
      <c r="O2072" t="s">
        <v>706</v>
      </c>
      <c r="P2072">
        <v>2024</v>
      </c>
    </row>
    <row r="2073" spans="15:16" x14ac:dyDescent="0.3">
      <c r="O2073" t="s">
        <v>771</v>
      </c>
      <c r="P2073">
        <v>2024</v>
      </c>
    </row>
    <row r="2074" spans="15:16" x14ac:dyDescent="0.3">
      <c r="O2074" t="s">
        <v>476</v>
      </c>
      <c r="P2074">
        <v>2024</v>
      </c>
    </row>
    <row r="2075" spans="15:16" x14ac:dyDescent="0.3">
      <c r="O2075" t="s">
        <v>321</v>
      </c>
      <c r="P2075">
        <v>2024</v>
      </c>
    </row>
    <row r="2076" spans="15:16" x14ac:dyDescent="0.3">
      <c r="O2076" t="s">
        <v>777</v>
      </c>
      <c r="P2076">
        <v>2024</v>
      </c>
    </row>
    <row r="2077" spans="15:16" x14ac:dyDescent="0.3">
      <c r="O2077" t="s">
        <v>651</v>
      </c>
      <c r="P2077">
        <v>2024</v>
      </c>
    </row>
    <row r="2078" spans="15:16" x14ac:dyDescent="0.3">
      <c r="O2078" t="s">
        <v>790</v>
      </c>
      <c r="P2078">
        <v>2024</v>
      </c>
    </row>
    <row r="2079" spans="15:16" x14ac:dyDescent="0.3">
      <c r="O2079" t="s">
        <v>764</v>
      </c>
      <c r="P2079">
        <v>2024</v>
      </c>
    </row>
    <row r="2080" spans="15:16" x14ac:dyDescent="0.3">
      <c r="O2080" t="s">
        <v>878</v>
      </c>
      <c r="P2080">
        <v>2024</v>
      </c>
    </row>
    <row r="2081" spans="15:16" x14ac:dyDescent="0.3">
      <c r="O2081" t="s">
        <v>675</v>
      </c>
      <c r="P2081">
        <v>2024</v>
      </c>
    </row>
    <row r="2082" spans="15:16" x14ac:dyDescent="0.3">
      <c r="O2082" t="s">
        <v>313</v>
      </c>
      <c r="P2082">
        <v>2024</v>
      </c>
    </row>
    <row r="2083" spans="15:16" x14ac:dyDescent="0.3">
      <c r="O2083" t="s">
        <v>583</v>
      </c>
      <c r="P2083">
        <v>2024</v>
      </c>
    </row>
    <row r="2084" spans="15:16" x14ac:dyDescent="0.3">
      <c r="O2084" t="s">
        <v>772</v>
      </c>
      <c r="P2084">
        <v>2024</v>
      </c>
    </row>
    <row r="2085" spans="15:16" x14ac:dyDescent="0.3">
      <c r="O2085" t="s">
        <v>208</v>
      </c>
      <c r="P2085">
        <v>2024</v>
      </c>
    </row>
    <row r="2086" spans="15:16" x14ac:dyDescent="0.3">
      <c r="O2086" t="s">
        <v>188</v>
      </c>
      <c r="P2086">
        <v>2024</v>
      </c>
    </row>
    <row r="2087" spans="15:16" x14ac:dyDescent="0.3">
      <c r="O2087" t="s">
        <v>843</v>
      </c>
      <c r="P2087">
        <v>2024</v>
      </c>
    </row>
    <row r="2088" spans="15:16" x14ac:dyDescent="0.3">
      <c r="O2088" t="s">
        <v>821</v>
      </c>
      <c r="P2088">
        <v>2024</v>
      </c>
    </row>
    <row r="2089" spans="15:16" x14ac:dyDescent="0.3">
      <c r="O2089" t="s">
        <v>17</v>
      </c>
      <c r="P2089">
        <v>2024</v>
      </c>
    </row>
    <row r="2090" spans="15:16" x14ac:dyDescent="0.3">
      <c r="O2090" t="s">
        <v>523</v>
      </c>
      <c r="P2090">
        <v>2024</v>
      </c>
    </row>
    <row r="2091" spans="15:16" x14ac:dyDescent="0.3">
      <c r="O2091" t="s">
        <v>101</v>
      </c>
      <c r="P2091">
        <v>2024</v>
      </c>
    </row>
    <row r="2092" spans="15:16" x14ac:dyDescent="0.3">
      <c r="O2092" t="s">
        <v>658</v>
      </c>
      <c r="P2092">
        <v>2024</v>
      </c>
    </row>
    <row r="2093" spans="15:16" x14ac:dyDescent="0.3">
      <c r="O2093" t="s">
        <v>867</v>
      </c>
      <c r="P2093">
        <v>2024</v>
      </c>
    </row>
    <row r="2094" spans="15:16" x14ac:dyDescent="0.3">
      <c r="O2094" t="s">
        <v>461</v>
      </c>
      <c r="P2094">
        <v>2024</v>
      </c>
    </row>
    <row r="2095" spans="15:16" x14ac:dyDescent="0.3">
      <c r="O2095" t="s">
        <v>322</v>
      </c>
      <c r="P2095">
        <v>2024</v>
      </c>
    </row>
    <row r="2096" spans="15:16" x14ac:dyDescent="0.3">
      <c r="O2096" t="s">
        <v>176</v>
      </c>
      <c r="P2096">
        <v>2024</v>
      </c>
    </row>
    <row r="2097" spans="15:16" x14ac:dyDescent="0.3">
      <c r="O2097" t="s">
        <v>829</v>
      </c>
      <c r="P2097">
        <v>2024</v>
      </c>
    </row>
    <row r="2098" spans="15:16" x14ac:dyDescent="0.3">
      <c r="O2098" t="s">
        <v>190</v>
      </c>
      <c r="P2098">
        <v>2024</v>
      </c>
    </row>
    <row r="2099" spans="15:16" x14ac:dyDescent="0.3">
      <c r="O2099" t="s">
        <v>633</v>
      </c>
      <c r="P2099">
        <v>2024</v>
      </c>
    </row>
    <row r="2100" spans="15:16" x14ac:dyDescent="0.3">
      <c r="O2100" t="s">
        <v>785</v>
      </c>
      <c r="P2100">
        <v>2024</v>
      </c>
    </row>
    <row r="2101" spans="15:16" x14ac:dyDescent="0.3">
      <c r="O2101" t="s">
        <v>503</v>
      </c>
      <c r="P2101">
        <v>2024</v>
      </c>
    </row>
    <row r="2102" spans="15:16" x14ac:dyDescent="0.3">
      <c r="O2102" t="s">
        <v>430</v>
      </c>
      <c r="P2102">
        <v>2024</v>
      </c>
    </row>
    <row r="2103" spans="15:16" x14ac:dyDescent="0.3">
      <c r="O2103" t="s">
        <v>419</v>
      </c>
      <c r="P2103">
        <v>2024</v>
      </c>
    </row>
    <row r="2104" spans="15:16" x14ac:dyDescent="0.3">
      <c r="O2104" t="s">
        <v>653</v>
      </c>
      <c r="P2104">
        <v>2024</v>
      </c>
    </row>
    <row r="2105" spans="15:16" x14ac:dyDescent="0.3">
      <c r="O2105" t="s">
        <v>221</v>
      </c>
      <c r="P2105">
        <v>2024</v>
      </c>
    </row>
    <row r="2106" spans="15:16" x14ac:dyDescent="0.3">
      <c r="O2106" t="s">
        <v>606</v>
      </c>
      <c r="P2106">
        <v>2024</v>
      </c>
    </row>
    <row r="2107" spans="15:16" x14ac:dyDescent="0.3">
      <c r="O2107" t="s">
        <v>677</v>
      </c>
      <c r="P2107">
        <v>2024</v>
      </c>
    </row>
    <row r="2108" spans="15:16" x14ac:dyDescent="0.3">
      <c r="O2108" t="s">
        <v>271</v>
      </c>
      <c r="P2108">
        <v>2024</v>
      </c>
    </row>
    <row r="2109" spans="15:16" x14ac:dyDescent="0.3">
      <c r="O2109" t="s">
        <v>496</v>
      </c>
      <c r="P2109">
        <v>2024</v>
      </c>
    </row>
    <row r="2110" spans="15:16" x14ac:dyDescent="0.3">
      <c r="O2110" t="s">
        <v>638</v>
      </c>
      <c r="P2110">
        <v>2024</v>
      </c>
    </row>
    <row r="2111" spans="15:16" x14ac:dyDescent="0.3">
      <c r="O2111" t="s">
        <v>487</v>
      </c>
      <c r="P2111">
        <v>2024</v>
      </c>
    </row>
    <row r="2112" spans="15:16" x14ac:dyDescent="0.3">
      <c r="O2112" t="s">
        <v>273</v>
      </c>
      <c r="P2112">
        <v>2024</v>
      </c>
    </row>
    <row r="2113" spans="15:16" x14ac:dyDescent="0.3">
      <c r="O2113" t="s">
        <v>563</v>
      </c>
      <c r="P2113">
        <v>2024</v>
      </c>
    </row>
    <row r="2114" spans="15:16" x14ac:dyDescent="0.3">
      <c r="O2114" t="s">
        <v>436</v>
      </c>
      <c r="P2114">
        <v>2024</v>
      </c>
    </row>
    <row r="2115" spans="15:16" x14ac:dyDescent="0.3">
      <c r="O2115" t="s">
        <v>543</v>
      </c>
      <c r="P2115">
        <v>2024</v>
      </c>
    </row>
    <row r="2116" spans="15:16" x14ac:dyDescent="0.3">
      <c r="O2116" t="s">
        <v>703</v>
      </c>
      <c r="P2116">
        <v>2024</v>
      </c>
    </row>
    <row r="2117" spans="15:16" x14ac:dyDescent="0.3">
      <c r="O2117" t="s">
        <v>792</v>
      </c>
      <c r="P2117">
        <v>2024</v>
      </c>
    </row>
    <row r="2118" spans="15:16" x14ac:dyDescent="0.3">
      <c r="O2118" t="s">
        <v>349</v>
      </c>
      <c r="P2118">
        <v>2024</v>
      </c>
    </row>
    <row r="2119" spans="15:16" x14ac:dyDescent="0.3">
      <c r="O2119" t="s">
        <v>250</v>
      </c>
      <c r="P2119">
        <v>2024</v>
      </c>
    </row>
    <row r="2120" spans="15:16" x14ac:dyDescent="0.3">
      <c r="O2120" t="s">
        <v>393</v>
      </c>
      <c r="P2120">
        <v>2024</v>
      </c>
    </row>
    <row r="2121" spans="15:16" x14ac:dyDescent="0.3">
      <c r="O2121" t="s">
        <v>265</v>
      </c>
      <c r="P2121">
        <v>2024</v>
      </c>
    </row>
    <row r="2122" spans="15:16" x14ac:dyDescent="0.3">
      <c r="O2122" t="s">
        <v>372</v>
      </c>
      <c r="P2122">
        <v>2024</v>
      </c>
    </row>
    <row r="2123" spans="15:16" x14ac:dyDescent="0.3">
      <c r="O2123" t="s">
        <v>580</v>
      </c>
      <c r="P2123">
        <v>2024</v>
      </c>
    </row>
    <row r="2124" spans="15:16" x14ac:dyDescent="0.3">
      <c r="O2124" t="s">
        <v>559</v>
      </c>
      <c r="P2124">
        <v>2024</v>
      </c>
    </row>
    <row r="2125" spans="15:16" x14ac:dyDescent="0.3">
      <c r="O2125" t="s">
        <v>399</v>
      </c>
      <c r="P2125">
        <v>2024</v>
      </c>
    </row>
    <row r="2126" spans="15:16" x14ac:dyDescent="0.3">
      <c r="O2126" t="s">
        <v>177</v>
      </c>
      <c r="P2126">
        <v>2024</v>
      </c>
    </row>
    <row r="2127" spans="15:16" x14ac:dyDescent="0.3">
      <c r="O2127" t="s">
        <v>757</v>
      </c>
      <c r="P2127">
        <v>2024</v>
      </c>
    </row>
    <row r="2128" spans="15:16" x14ac:dyDescent="0.3">
      <c r="O2128" t="s">
        <v>376</v>
      </c>
      <c r="P2128">
        <v>2024</v>
      </c>
    </row>
    <row r="2129" spans="15:16" x14ac:dyDescent="0.3">
      <c r="O2129" t="s">
        <v>340</v>
      </c>
      <c r="P2129">
        <v>2024</v>
      </c>
    </row>
    <row r="2130" spans="15:16" x14ac:dyDescent="0.3">
      <c r="O2130" t="s">
        <v>352</v>
      </c>
      <c r="P2130">
        <v>2024</v>
      </c>
    </row>
    <row r="2131" spans="15:16" x14ac:dyDescent="0.3">
      <c r="O2131" t="s">
        <v>240</v>
      </c>
      <c r="P2131">
        <v>2024</v>
      </c>
    </row>
    <row r="2132" spans="15:16" x14ac:dyDescent="0.3">
      <c r="O2132" t="s">
        <v>170</v>
      </c>
      <c r="P2132">
        <v>2024</v>
      </c>
    </row>
    <row r="2133" spans="15:16" x14ac:dyDescent="0.3">
      <c r="O2133" t="s">
        <v>320</v>
      </c>
      <c r="P2133">
        <v>2024</v>
      </c>
    </row>
    <row r="2134" spans="15:16" x14ac:dyDescent="0.3">
      <c r="O2134" t="s">
        <v>49</v>
      </c>
      <c r="P2134">
        <v>2024</v>
      </c>
    </row>
    <row r="2135" spans="15:16" x14ac:dyDescent="0.3">
      <c r="O2135" t="s">
        <v>183</v>
      </c>
      <c r="P2135">
        <v>2024</v>
      </c>
    </row>
    <row r="2136" spans="15:16" x14ac:dyDescent="0.3">
      <c r="O2136" t="s">
        <v>551</v>
      </c>
      <c r="P2136">
        <v>2024</v>
      </c>
    </row>
    <row r="2137" spans="15:16" x14ac:dyDescent="0.3">
      <c r="O2137" t="s">
        <v>624</v>
      </c>
      <c r="P2137">
        <v>2024</v>
      </c>
    </row>
    <row r="2138" spans="15:16" x14ac:dyDescent="0.3">
      <c r="O2138" t="s">
        <v>86</v>
      </c>
      <c r="P2138">
        <v>2024</v>
      </c>
    </row>
    <row r="2139" spans="15:16" x14ac:dyDescent="0.3">
      <c r="O2139" t="s">
        <v>216</v>
      </c>
      <c r="P2139">
        <v>2024</v>
      </c>
    </row>
    <row r="2140" spans="15:16" x14ac:dyDescent="0.3">
      <c r="O2140" t="s">
        <v>835</v>
      </c>
      <c r="P2140">
        <v>2024</v>
      </c>
    </row>
    <row r="2141" spans="15:16" x14ac:dyDescent="0.3">
      <c r="O2141" t="s">
        <v>26</v>
      </c>
      <c r="P2141">
        <v>2024</v>
      </c>
    </row>
    <row r="2142" spans="15:16" x14ac:dyDescent="0.3">
      <c r="O2142" t="s">
        <v>470</v>
      </c>
      <c r="P2142">
        <v>2024</v>
      </c>
    </row>
    <row r="2143" spans="15:16" x14ac:dyDescent="0.3">
      <c r="O2143" t="s">
        <v>475</v>
      </c>
      <c r="P2143">
        <v>2024</v>
      </c>
    </row>
    <row r="2144" spans="15:16" x14ac:dyDescent="0.3">
      <c r="O2144" t="s">
        <v>391</v>
      </c>
      <c r="P2144">
        <v>2024</v>
      </c>
    </row>
    <row r="2145" spans="15:16" x14ac:dyDescent="0.3">
      <c r="O2145" t="s">
        <v>328</v>
      </c>
      <c r="P2145">
        <v>2024</v>
      </c>
    </row>
    <row r="2146" spans="15:16" x14ac:dyDescent="0.3">
      <c r="O2146" t="s">
        <v>125</v>
      </c>
      <c r="P2146">
        <v>2024</v>
      </c>
    </row>
    <row r="2147" spans="15:16" x14ac:dyDescent="0.3">
      <c r="O2147" t="s">
        <v>218</v>
      </c>
      <c r="P2147">
        <v>2024</v>
      </c>
    </row>
    <row r="2148" spans="15:16" x14ac:dyDescent="0.3">
      <c r="O2148" t="s">
        <v>784</v>
      </c>
      <c r="P2148">
        <v>2024</v>
      </c>
    </row>
    <row r="2149" spans="15:16" x14ac:dyDescent="0.3">
      <c r="O2149" t="s">
        <v>547</v>
      </c>
      <c r="P2149">
        <v>2024</v>
      </c>
    </row>
    <row r="2150" spans="15:16" x14ac:dyDescent="0.3">
      <c r="O2150" t="s">
        <v>350</v>
      </c>
      <c r="P2150">
        <v>2024</v>
      </c>
    </row>
    <row r="2151" spans="15:16" x14ac:dyDescent="0.3">
      <c r="O2151" t="s">
        <v>233</v>
      </c>
      <c r="P2151">
        <v>2024</v>
      </c>
    </row>
    <row r="2152" spans="15:16" x14ac:dyDescent="0.3">
      <c r="O2152" t="s">
        <v>327</v>
      </c>
      <c r="P2152">
        <v>2024</v>
      </c>
    </row>
    <row r="2153" spans="15:16" x14ac:dyDescent="0.3">
      <c r="O2153" t="s">
        <v>384</v>
      </c>
      <c r="P2153">
        <v>2024</v>
      </c>
    </row>
    <row r="2154" spans="15:16" x14ac:dyDescent="0.3">
      <c r="O2154" t="s">
        <v>161</v>
      </c>
      <c r="P2154">
        <v>2024</v>
      </c>
    </row>
    <row r="2155" spans="15:16" x14ac:dyDescent="0.3">
      <c r="O2155" t="s">
        <v>39</v>
      </c>
      <c r="P2155">
        <v>2024</v>
      </c>
    </row>
    <row r="2156" spans="15:16" x14ac:dyDescent="0.3">
      <c r="O2156" t="s">
        <v>438</v>
      </c>
      <c r="P2156">
        <v>2024</v>
      </c>
    </row>
    <row r="2157" spans="15:16" x14ac:dyDescent="0.3">
      <c r="O2157" t="s">
        <v>608</v>
      </c>
      <c r="P2157">
        <v>2024</v>
      </c>
    </row>
    <row r="2158" spans="15:16" x14ac:dyDescent="0.3">
      <c r="O2158" t="s">
        <v>668</v>
      </c>
      <c r="P2158">
        <v>2024</v>
      </c>
    </row>
    <row r="2159" spans="15:16" x14ac:dyDescent="0.3">
      <c r="O2159" t="s">
        <v>343</v>
      </c>
      <c r="P2159">
        <v>2024</v>
      </c>
    </row>
    <row r="2160" spans="15:16" x14ac:dyDescent="0.3">
      <c r="O2160" t="s">
        <v>204</v>
      </c>
      <c r="P2160">
        <v>2024</v>
      </c>
    </row>
    <row r="2161" spans="15:16" x14ac:dyDescent="0.3">
      <c r="O2161" t="s">
        <v>336</v>
      </c>
      <c r="P2161">
        <v>2024</v>
      </c>
    </row>
    <row r="2162" spans="15:16" x14ac:dyDescent="0.3">
      <c r="O2162" t="s">
        <v>235</v>
      </c>
      <c r="P2162">
        <v>2024</v>
      </c>
    </row>
    <row r="2163" spans="15:16" x14ac:dyDescent="0.3">
      <c r="O2163" t="s">
        <v>332</v>
      </c>
      <c r="P2163">
        <v>2024</v>
      </c>
    </row>
    <row r="2164" spans="15:16" x14ac:dyDescent="0.3">
      <c r="O2164" t="s">
        <v>519</v>
      </c>
      <c r="P2164">
        <v>2024</v>
      </c>
    </row>
    <row r="2165" spans="15:16" x14ac:dyDescent="0.3">
      <c r="O2165" t="s">
        <v>202</v>
      </c>
      <c r="P2165">
        <v>2024</v>
      </c>
    </row>
    <row r="2166" spans="15:16" x14ac:dyDescent="0.3">
      <c r="O2166" t="s">
        <v>705</v>
      </c>
      <c r="P2166">
        <v>2024</v>
      </c>
    </row>
    <row r="2167" spans="15:16" x14ac:dyDescent="0.3">
      <c r="O2167" t="s">
        <v>598</v>
      </c>
      <c r="P2167">
        <v>2024</v>
      </c>
    </row>
    <row r="2168" spans="15:16" x14ac:dyDescent="0.3">
      <c r="O2168" t="s">
        <v>650</v>
      </c>
      <c r="P2168">
        <v>2024</v>
      </c>
    </row>
    <row r="2169" spans="15:16" x14ac:dyDescent="0.3">
      <c r="O2169" t="s">
        <v>553</v>
      </c>
      <c r="P2169">
        <v>2024</v>
      </c>
    </row>
    <row r="2170" spans="15:16" x14ac:dyDescent="0.3">
      <c r="O2170" t="s">
        <v>707</v>
      </c>
      <c r="P2170">
        <v>2024</v>
      </c>
    </row>
    <row r="2171" spans="15:16" x14ac:dyDescent="0.3">
      <c r="O2171" t="s">
        <v>842</v>
      </c>
      <c r="P2171">
        <v>2024</v>
      </c>
    </row>
    <row r="2172" spans="15:16" x14ac:dyDescent="0.3">
      <c r="O2172" t="s">
        <v>539</v>
      </c>
      <c r="P2172">
        <v>2024</v>
      </c>
    </row>
    <row r="2173" spans="15:16" x14ac:dyDescent="0.3">
      <c r="O2173" t="s">
        <v>178</v>
      </c>
      <c r="P2173">
        <v>2024</v>
      </c>
    </row>
    <row r="2174" spans="15:16" x14ac:dyDescent="0.3">
      <c r="O2174" t="s">
        <v>426</v>
      </c>
      <c r="P2174">
        <v>2024</v>
      </c>
    </row>
    <row r="2175" spans="15:16" x14ac:dyDescent="0.3">
      <c r="O2175" t="s">
        <v>323</v>
      </c>
      <c r="P2175">
        <v>2024</v>
      </c>
    </row>
    <row r="2176" spans="15:16" x14ac:dyDescent="0.3">
      <c r="O2176" t="s">
        <v>417</v>
      </c>
      <c r="P2176">
        <v>2024</v>
      </c>
    </row>
    <row r="2177" spans="15:16" x14ac:dyDescent="0.3">
      <c r="O2177" t="s">
        <v>281</v>
      </c>
      <c r="P2177">
        <v>2024</v>
      </c>
    </row>
    <row r="2178" spans="15:16" x14ac:dyDescent="0.3">
      <c r="O2178" t="s">
        <v>728</v>
      </c>
      <c r="P2178">
        <v>2024</v>
      </c>
    </row>
    <row r="2179" spans="15:16" x14ac:dyDescent="0.3">
      <c r="O2179" t="s">
        <v>289</v>
      </c>
      <c r="P2179">
        <v>2024</v>
      </c>
    </row>
    <row r="2180" spans="15:16" x14ac:dyDescent="0.3">
      <c r="O2180" t="s">
        <v>348</v>
      </c>
      <c r="P2180">
        <v>2024</v>
      </c>
    </row>
    <row r="2181" spans="15:16" x14ac:dyDescent="0.3">
      <c r="O2181" t="s">
        <v>387</v>
      </c>
      <c r="P2181">
        <v>2024</v>
      </c>
    </row>
    <row r="2182" spans="15:16" x14ac:dyDescent="0.3">
      <c r="O2182" t="s">
        <v>292</v>
      </c>
      <c r="P2182">
        <v>2024</v>
      </c>
    </row>
    <row r="2183" spans="15:16" x14ac:dyDescent="0.3">
      <c r="O2183" t="s">
        <v>303</v>
      </c>
      <c r="P2183">
        <v>2024</v>
      </c>
    </row>
    <row r="2184" spans="15:16" x14ac:dyDescent="0.3">
      <c r="O2184" t="s">
        <v>416</v>
      </c>
      <c r="P2184">
        <v>2024</v>
      </c>
    </row>
    <row r="2185" spans="15:16" x14ac:dyDescent="0.3">
      <c r="O2185" t="s">
        <v>215</v>
      </c>
      <c r="P2185">
        <v>2024</v>
      </c>
    </row>
    <row r="2186" spans="15:16" x14ac:dyDescent="0.3">
      <c r="O2186" t="s">
        <v>498</v>
      </c>
      <c r="P2186">
        <v>2024</v>
      </c>
    </row>
    <row r="2187" spans="15:16" x14ac:dyDescent="0.3">
      <c r="O2187" t="s">
        <v>449</v>
      </c>
      <c r="P2187">
        <v>2024</v>
      </c>
    </row>
    <row r="2188" spans="15:16" x14ac:dyDescent="0.3">
      <c r="O2188" t="s">
        <v>576</v>
      </c>
      <c r="P2188">
        <v>2024</v>
      </c>
    </row>
    <row r="2189" spans="15:16" x14ac:dyDescent="0.3">
      <c r="O2189" t="s">
        <v>354</v>
      </c>
      <c r="P2189">
        <v>2024</v>
      </c>
    </row>
    <row r="2190" spans="15:16" x14ac:dyDescent="0.3">
      <c r="O2190" t="s">
        <v>743</v>
      </c>
      <c r="P2190">
        <v>2024</v>
      </c>
    </row>
    <row r="2191" spans="15:16" x14ac:dyDescent="0.3">
      <c r="O2191" t="s">
        <v>531</v>
      </c>
      <c r="P2191">
        <v>2024</v>
      </c>
    </row>
    <row r="2192" spans="15:16" x14ac:dyDescent="0.3">
      <c r="O2192" t="s">
        <v>422</v>
      </c>
      <c r="P2192">
        <v>2024</v>
      </c>
    </row>
    <row r="2193" spans="15:16" x14ac:dyDescent="0.3">
      <c r="O2193" t="s">
        <v>148</v>
      </c>
      <c r="P2193">
        <v>2024</v>
      </c>
    </row>
    <row r="2194" spans="15:16" x14ac:dyDescent="0.3">
      <c r="O2194" t="s">
        <v>95</v>
      </c>
      <c r="P2194">
        <v>2024</v>
      </c>
    </row>
    <row r="2195" spans="15:16" x14ac:dyDescent="0.3">
      <c r="O2195" t="s">
        <v>368</v>
      </c>
      <c r="P2195">
        <v>2024</v>
      </c>
    </row>
    <row r="2196" spans="15:16" x14ac:dyDescent="0.3">
      <c r="O2196" t="s">
        <v>164</v>
      </c>
      <c r="P2196">
        <v>2024</v>
      </c>
    </row>
    <row r="2197" spans="15:16" x14ac:dyDescent="0.3">
      <c r="O2197" t="s">
        <v>471</v>
      </c>
      <c r="P2197">
        <v>2024</v>
      </c>
    </row>
    <row r="2198" spans="15:16" x14ac:dyDescent="0.3">
      <c r="O2198" t="s">
        <v>267</v>
      </c>
      <c r="P2198">
        <v>2024</v>
      </c>
    </row>
    <row r="2199" spans="15:16" x14ac:dyDescent="0.3">
      <c r="O2199" t="s">
        <v>562</v>
      </c>
      <c r="P2199">
        <v>2024</v>
      </c>
    </row>
    <row r="2200" spans="15:16" x14ac:dyDescent="0.3">
      <c r="O2200" t="s">
        <v>520</v>
      </c>
      <c r="P2200">
        <v>2024</v>
      </c>
    </row>
    <row r="2201" spans="15:16" x14ac:dyDescent="0.3">
      <c r="O2201" t="s">
        <v>453</v>
      </c>
      <c r="P2201">
        <v>2024</v>
      </c>
    </row>
    <row r="2202" spans="15:16" x14ac:dyDescent="0.3">
      <c r="O2202" t="s">
        <v>297</v>
      </c>
      <c r="P2202">
        <v>2024</v>
      </c>
    </row>
    <row r="2203" spans="15:16" x14ac:dyDescent="0.3">
      <c r="O2203" t="s">
        <v>682</v>
      </c>
      <c r="P2203">
        <v>2024</v>
      </c>
    </row>
    <row r="2204" spans="15:16" x14ac:dyDescent="0.3">
      <c r="O2204" t="s">
        <v>885</v>
      </c>
      <c r="P2204">
        <v>2024</v>
      </c>
    </row>
    <row r="2205" spans="15:16" x14ac:dyDescent="0.3">
      <c r="O2205" t="s">
        <v>823</v>
      </c>
      <c r="P2205">
        <v>2024</v>
      </c>
    </row>
    <row r="2206" spans="15:16" x14ac:dyDescent="0.3">
      <c r="O2206" t="s">
        <v>325</v>
      </c>
      <c r="P2206">
        <v>2024</v>
      </c>
    </row>
    <row r="2207" spans="15:16" x14ac:dyDescent="0.3">
      <c r="O2207" t="s">
        <v>197</v>
      </c>
      <c r="P2207">
        <v>2024</v>
      </c>
    </row>
    <row r="2208" spans="15:16" x14ac:dyDescent="0.3">
      <c r="O2208" t="s">
        <v>196</v>
      </c>
      <c r="P2208">
        <v>2024</v>
      </c>
    </row>
    <row r="2209" spans="15:16" x14ac:dyDescent="0.3">
      <c r="O2209" t="s">
        <v>467</v>
      </c>
      <c r="P2209">
        <v>2024</v>
      </c>
    </row>
    <row r="2210" spans="15:16" x14ac:dyDescent="0.3">
      <c r="O2210" t="s">
        <v>623</v>
      </c>
      <c r="P2210">
        <v>2024</v>
      </c>
    </row>
    <row r="2211" spans="15:16" x14ac:dyDescent="0.3">
      <c r="O2211" t="s">
        <v>478</v>
      </c>
      <c r="P2211">
        <v>2024</v>
      </c>
    </row>
    <row r="2212" spans="15:16" x14ac:dyDescent="0.3">
      <c r="O2212" t="s">
        <v>516</v>
      </c>
      <c r="P2212">
        <v>2024</v>
      </c>
    </row>
    <row r="2213" spans="15:16" x14ac:dyDescent="0.3">
      <c r="O2213" t="s">
        <v>568</v>
      </c>
      <c r="P2213">
        <v>2024</v>
      </c>
    </row>
    <row r="2214" spans="15:16" x14ac:dyDescent="0.3">
      <c r="O2214" t="s">
        <v>474</v>
      </c>
      <c r="P2214">
        <v>2024</v>
      </c>
    </row>
    <row r="2215" spans="15:16" x14ac:dyDescent="0.3">
      <c r="O2215" t="s">
        <v>150</v>
      </c>
      <c r="P2215">
        <v>2024</v>
      </c>
    </row>
    <row r="2216" spans="15:16" x14ac:dyDescent="0.3">
      <c r="O2216" t="s">
        <v>684</v>
      </c>
      <c r="P2216">
        <v>2024</v>
      </c>
    </row>
    <row r="2217" spans="15:16" x14ac:dyDescent="0.3">
      <c r="O2217" t="s">
        <v>746</v>
      </c>
      <c r="P2217">
        <v>2024</v>
      </c>
    </row>
    <row r="2218" spans="15:16" x14ac:dyDescent="0.3">
      <c r="O2218" t="s">
        <v>224</v>
      </c>
      <c r="P2218">
        <v>2024</v>
      </c>
    </row>
    <row r="2219" spans="15:16" x14ac:dyDescent="0.3">
      <c r="O2219" t="s">
        <v>121</v>
      </c>
      <c r="P2219">
        <v>2024</v>
      </c>
    </row>
    <row r="2220" spans="15:16" x14ac:dyDescent="0.3">
      <c r="O2220" t="s">
        <v>862</v>
      </c>
      <c r="P2220">
        <v>2024</v>
      </c>
    </row>
    <row r="2221" spans="15:16" x14ac:dyDescent="0.3">
      <c r="O2221" t="s">
        <v>311</v>
      </c>
      <c r="P2221">
        <v>2024</v>
      </c>
    </row>
    <row r="2222" spans="15:16" x14ac:dyDescent="0.3">
      <c r="O2222" t="s">
        <v>648</v>
      </c>
      <c r="P2222">
        <v>2024</v>
      </c>
    </row>
    <row r="2223" spans="15:16" x14ac:dyDescent="0.3">
      <c r="O2223" t="s">
        <v>717</v>
      </c>
      <c r="P2223">
        <v>2024</v>
      </c>
    </row>
    <row r="2224" spans="15:16" x14ac:dyDescent="0.3">
      <c r="O2224" t="s">
        <v>136</v>
      </c>
      <c r="P2224">
        <v>2024</v>
      </c>
    </row>
    <row r="2225" spans="15:16" x14ac:dyDescent="0.3">
      <c r="O2225" t="s">
        <v>186</v>
      </c>
      <c r="P2225">
        <v>2024</v>
      </c>
    </row>
    <row r="2226" spans="15:16" x14ac:dyDescent="0.3">
      <c r="O2226" t="s">
        <v>621</v>
      </c>
      <c r="P2226">
        <v>2024</v>
      </c>
    </row>
    <row r="2227" spans="15:16" x14ac:dyDescent="0.3">
      <c r="O2227" t="s">
        <v>184</v>
      </c>
      <c r="P2227">
        <v>2024</v>
      </c>
    </row>
    <row r="2228" spans="15:16" x14ac:dyDescent="0.3">
      <c r="O2228" t="s">
        <v>440</v>
      </c>
      <c r="P2228">
        <v>2024</v>
      </c>
    </row>
    <row r="2229" spans="15:16" x14ac:dyDescent="0.3">
      <c r="O2229" t="s">
        <v>645</v>
      </c>
      <c r="P2229">
        <v>2024</v>
      </c>
    </row>
    <row r="2230" spans="15:16" x14ac:dyDescent="0.3">
      <c r="O2230" t="s">
        <v>359</v>
      </c>
      <c r="P2230">
        <v>2024</v>
      </c>
    </row>
    <row r="2231" spans="15:16" x14ac:dyDescent="0.3">
      <c r="O2231" t="s">
        <v>767</v>
      </c>
      <c r="P2231">
        <v>2024</v>
      </c>
    </row>
    <row r="2232" spans="15:16" x14ac:dyDescent="0.3">
      <c r="O2232" t="s">
        <v>735</v>
      </c>
      <c r="P2232">
        <v>2024</v>
      </c>
    </row>
    <row r="2233" spans="15:16" x14ac:dyDescent="0.3">
      <c r="O2233" t="s">
        <v>231</v>
      </c>
      <c r="P2233">
        <v>2024</v>
      </c>
    </row>
    <row r="2234" spans="15:16" x14ac:dyDescent="0.3">
      <c r="O2234" t="s">
        <v>480</v>
      </c>
      <c r="P2234">
        <v>2024</v>
      </c>
    </row>
    <row r="2235" spans="15:16" x14ac:dyDescent="0.3">
      <c r="O2235" t="s">
        <v>796</v>
      </c>
      <c r="P2235">
        <v>2024</v>
      </c>
    </row>
    <row r="2236" spans="15:16" x14ac:dyDescent="0.3">
      <c r="O2236" t="s">
        <v>518</v>
      </c>
      <c r="P2236">
        <v>2024</v>
      </c>
    </row>
    <row r="2237" spans="15:16" x14ac:dyDescent="0.3">
      <c r="O2237" t="s">
        <v>181</v>
      </c>
      <c r="P2237">
        <v>2024</v>
      </c>
    </row>
    <row r="2238" spans="15:16" x14ac:dyDescent="0.3">
      <c r="O2238" t="s">
        <v>219</v>
      </c>
      <c r="P2238">
        <v>2024</v>
      </c>
    </row>
    <row r="2239" spans="15:16" x14ac:dyDescent="0.3">
      <c r="O2239" t="s">
        <v>597</v>
      </c>
      <c r="P2239">
        <v>2024</v>
      </c>
    </row>
    <row r="2240" spans="15:16" x14ac:dyDescent="0.3">
      <c r="O2240" t="s">
        <v>765</v>
      </c>
      <c r="P2240">
        <v>2024</v>
      </c>
    </row>
    <row r="2241" spans="15:16" x14ac:dyDescent="0.3">
      <c r="O2241" t="s">
        <v>423</v>
      </c>
      <c r="P2241">
        <v>2024</v>
      </c>
    </row>
    <row r="2242" spans="15:16" x14ac:dyDescent="0.3">
      <c r="O2242" t="s">
        <v>667</v>
      </c>
      <c r="P2242">
        <v>2024</v>
      </c>
    </row>
    <row r="2243" spans="15:16" x14ac:dyDescent="0.3">
      <c r="O2243" t="s">
        <v>861</v>
      </c>
      <c r="P2243">
        <v>2024</v>
      </c>
    </row>
    <row r="2244" spans="15:16" x14ac:dyDescent="0.3">
      <c r="O2244" t="s">
        <v>886</v>
      </c>
      <c r="P2244">
        <v>2024</v>
      </c>
    </row>
    <row r="2245" spans="15:16" x14ac:dyDescent="0.3">
      <c r="O2245" t="s">
        <v>206</v>
      </c>
      <c r="P2245">
        <v>2024</v>
      </c>
    </row>
    <row r="2246" spans="15:16" x14ac:dyDescent="0.3">
      <c r="O2246" t="s">
        <v>515</v>
      </c>
      <c r="P2246">
        <v>2024</v>
      </c>
    </row>
    <row r="2247" spans="15:16" x14ac:dyDescent="0.3">
      <c r="O2247" t="s">
        <v>468</v>
      </c>
      <c r="P2247">
        <v>2024</v>
      </c>
    </row>
    <row r="2248" spans="15:16" x14ac:dyDescent="0.3">
      <c r="O2248" t="s">
        <v>727</v>
      </c>
      <c r="P2248">
        <v>2024</v>
      </c>
    </row>
    <row r="2249" spans="15:16" x14ac:dyDescent="0.3">
      <c r="O2249" t="s">
        <v>680</v>
      </c>
      <c r="P2249">
        <v>2024</v>
      </c>
    </row>
    <row r="2250" spans="15:16" x14ac:dyDescent="0.3">
      <c r="O2250" t="s">
        <v>573</v>
      </c>
      <c r="P2250">
        <v>2024</v>
      </c>
    </row>
    <row r="2251" spans="15:16" x14ac:dyDescent="0.3">
      <c r="O2251" t="s">
        <v>578</v>
      </c>
      <c r="P2251">
        <v>2024</v>
      </c>
    </row>
    <row r="2252" spans="15:16" x14ac:dyDescent="0.3">
      <c r="O2252" t="s">
        <v>590</v>
      </c>
      <c r="P2252">
        <v>2024</v>
      </c>
    </row>
    <row r="2253" spans="15:16" x14ac:dyDescent="0.3">
      <c r="O2253" t="s">
        <v>734</v>
      </c>
      <c r="P2253">
        <v>2024</v>
      </c>
    </row>
    <row r="2254" spans="15:16" x14ac:dyDescent="0.3">
      <c r="O2254" t="s">
        <v>887</v>
      </c>
      <c r="P2254">
        <v>2024</v>
      </c>
    </row>
    <row r="2255" spans="15:16" x14ac:dyDescent="0.3">
      <c r="O2255" t="s">
        <v>836</v>
      </c>
      <c r="P2255">
        <v>2024</v>
      </c>
    </row>
    <row r="2256" spans="15:16" x14ac:dyDescent="0.3">
      <c r="O2256" t="s">
        <v>479</v>
      </c>
      <c r="P2256">
        <v>2024</v>
      </c>
    </row>
    <row r="2257" spans="15:16" x14ac:dyDescent="0.3">
      <c r="O2257" t="s">
        <v>191</v>
      </c>
      <c r="P2257">
        <v>2024</v>
      </c>
    </row>
    <row r="2258" spans="15:16" x14ac:dyDescent="0.3">
      <c r="O2258" t="s">
        <v>318</v>
      </c>
      <c r="P2258">
        <v>2024</v>
      </c>
    </row>
    <row r="2259" spans="15:16" x14ac:dyDescent="0.3">
      <c r="O2259" t="s">
        <v>200</v>
      </c>
      <c r="P2259">
        <v>2024</v>
      </c>
    </row>
    <row r="2260" spans="15:16" x14ac:dyDescent="0.3">
      <c r="O2260" t="s">
        <v>365</v>
      </c>
      <c r="P2260">
        <v>2024</v>
      </c>
    </row>
    <row r="2261" spans="15:16" x14ac:dyDescent="0.3">
      <c r="O2261" t="s">
        <v>222</v>
      </c>
      <c r="P2261">
        <v>2024</v>
      </c>
    </row>
    <row r="2262" spans="15:16" x14ac:dyDescent="0.3">
      <c r="O2262" t="s">
        <v>427</v>
      </c>
      <c r="P2262">
        <v>2024</v>
      </c>
    </row>
    <row r="2263" spans="15:16" x14ac:dyDescent="0.3">
      <c r="O2263" t="s">
        <v>493</v>
      </c>
      <c r="P2263">
        <v>2024</v>
      </c>
    </row>
    <row r="2264" spans="15:16" x14ac:dyDescent="0.3">
      <c r="O2264" t="s">
        <v>497</v>
      </c>
      <c r="P2264">
        <v>2024</v>
      </c>
    </row>
    <row r="2265" spans="15:16" x14ac:dyDescent="0.3">
      <c r="O2265" t="s">
        <v>131</v>
      </c>
      <c r="P2265">
        <v>2024</v>
      </c>
    </row>
    <row r="2266" spans="15:16" x14ac:dyDescent="0.3">
      <c r="O2266" t="s">
        <v>761</v>
      </c>
      <c r="P2266">
        <v>2024</v>
      </c>
    </row>
    <row r="2267" spans="15:16" x14ac:dyDescent="0.3">
      <c r="O2267" t="s">
        <v>305</v>
      </c>
      <c r="P2267">
        <v>2024</v>
      </c>
    </row>
    <row r="2268" spans="15:16" x14ac:dyDescent="0.3">
      <c r="O2268" t="s">
        <v>53</v>
      </c>
      <c r="P2268">
        <v>2024</v>
      </c>
    </row>
    <row r="2269" spans="15:16" x14ac:dyDescent="0.3">
      <c r="O2269" t="s">
        <v>381</v>
      </c>
      <c r="P2269">
        <v>2024</v>
      </c>
    </row>
    <row r="2270" spans="15:16" x14ac:dyDescent="0.3">
      <c r="O2270" t="s">
        <v>683</v>
      </c>
      <c r="P2270">
        <v>2024</v>
      </c>
    </row>
    <row r="2271" spans="15:16" x14ac:dyDescent="0.3">
      <c r="O2271" t="s">
        <v>845</v>
      </c>
      <c r="P2271">
        <v>2024</v>
      </c>
    </row>
    <row r="2272" spans="15:16" x14ac:dyDescent="0.3">
      <c r="O2272" t="s">
        <v>447</v>
      </c>
      <c r="P2272">
        <v>2024</v>
      </c>
    </row>
    <row r="2273" spans="15:16" x14ac:dyDescent="0.3">
      <c r="O2273" t="s">
        <v>357</v>
      </c>
      <c r="P2273">
        <v>2024</v>
      </c>
    </row>
    <row r="2274" spans="15:16" x14ac:dyDescent="0.3">
      <c r="O2274" t="s">
        <v>500</v>
      </c>
      <c r="P2274">
        <v>2024</v>
      </c>
    </row>
    <row r="2275" spans="15:16" x14ac:dyDescent="0.3">
      <c r="O2275" t="s">
        <v>119</v>
      </c>
      <c r="P2275">
        <v>2024</v>
      </c>
    </row>
    <row r="2276" spans="15:16" x14ac:dyDescent="0.3">
      <c r="O2276" t="s">
        <v>455</v>
      </c>
      <c r="P2276">
        <v>2024</v>
      </c>
    </row>
    <row r="2277" spans="15:16" x14ac:dyDescent="0.3">
      <c r="O2277" t="s">
        <v>485</v>
      </c>
      <c r="P2277">
        <v>2024</v>
      </c>
    </row>
    <row r="2278" spans="15:16" x14ac:dyDescent="0.3">
      <c r="O2278" t="s">
        <v>129</v>
      </c>
      <c r="P2278">
        <v>2024</v>
      </c>
    </row>
    <row r="2279" spans="15:16" x14ac:dyDescent="0.3">
      <c r="O2279" t="s">
        <v>566</v>
      </c>
      <c r="P2279">
        <v>2024</v>
      </c>
    </row>
    <row r="2280" spans="15:16" x14ac:dyDescent="0.3">
      <c r="O2280" t="s">
        <v>189</v>
      </c>
      <c r="P2280">
        <v>2024</v>
      </c>
    </row>
    <row r="2281" spans="15:16" x14ac:dyDescent="0.3">
      <c r="O2281" t="s">
        <v>213</v>
      </c>
      <c r="P2281">
        <v>2024</v>
      </c>
    </row>
    <row r="2282" spans="15:16" x14ac:dyDescent="0.3">
      <c r="O2282" t="s">
        <v>483</v>
      </c>
      <c r="P2282">
        <v>2024</v>
      </c>
    </row>
    <row r="2283" spans="15:16" x14ac:dyDescent="0.3">
      <c r="O2283" t="s">
        <v>819</v>
      </c>
      <c r="P2283">
        <v>2024</v>
      </c>
    </row>
    <row r="2284" spans="15:16" x14ac:dyDescent="0.3">
      <c r="O2284" t="s">
        <v>163</v>
      </c>
      <c r="P2284">
        <v>2024</v>
      </c>
    </row>
    <row r="2285" spans="15:16" x14ac:dyDescent="0.3">
      <c r="O2285" t="s">
        <v>277</v>
      </c>
      <c r="P2285">
        <v>2024</v>
      </c>
    </row>
    <row r="2286" spans="15:16" x14ac:dyDescent="0.3">
      <c r="O2286" t="s">
        <v>437</v>
      </c>
      <c r="P2286">
        <v>2024</v>
      </c>
    </row>
    <row r="2287" spans="15:16" x14ac:dyDescent="0.3">
      <c r="O2287" t="s">
        <v>782</v>
      </c>
      <c r="P2287">
        <v>2024</v>
      </c>
    </row>
    <row r="2288" spans="15:16" x14ac:dyDescent="0.3">
      <c r="O2288" t="s">
        <v>296</v>
      </c>
      <c r="P2288">
        <v>2024</v>
      </c>
    </row>
    <row r="2289" spans="15:16" x14ac:dyDescent="0.3">
      <c r="O2289" t="s">
        <v>799</v>
      </c>
      <c r="P2289">
        <v>2024</v>
      </c>
    </row>
    <row r="2290" spans="15:16" x14ac:dyDescent="0.3">
      <c r="O2290" t="s">
        <v>793</v>
      </c>
      <c r="P2290">
        <v>2024</v>
      </c>
    </row>
    <row r="2291" spans="15:16" x14ac:dyDescent="0.3">
      <c r="O2291" t="s">
        <v>858</v>
      </c>
      <c r="P2291">
        <v>2024</v>
      </c>
    </row>
    <row r="2292" spans="15:16" x14ac:dyDescent="0.3">
      <c r="O2292" t="s">
        <v>249</v>
      </c>
      <c r="P2292">
        <v>2024</v>
      </c>
    </row>
    <row r="2293" spans="15:16" x14ac:dyDescent="0.3">
      <c r="O2293" t="s">
        <v>247</v>
      </c>
      <c r="P2293">
        <v>2024</v>
      </c>
    </row>
    <row r="2294" spans="15:16" x14ac:dyDescent="0.3">
      <c r="O2294" t="s">
        <v>307</v>
      </c>
      <c r="P2294">
        <v>2024</v>
      </c>
    </row>
    <row r="2295" spans="15:16" x14ac:dyDescent="0.3">
      <c r="O2295" t="s">
        <v>428</v>
      </c>
      <c r="P2295">
        <v>2024</v>
      </c>
    </row>
    <row r="2296" spans="15:16" x14ac:dyDescent="0.3">
      <c r="O2296" t="s">
        <v>673</v>
      </c>
      <c r="P2296">
        <v>2024</v>
      </c>
    </row>
    <row r="2297" spans="15:16" x14ac:dyDescent="0.3">
      <c r="O2297" t="s">
        <v>575</v>
      </c>
      <c r="P2297">
        <v>2024</v>
      </c>
    </row>
    <row r="2298" spans="15:16" x14ac:dyDescent="0.3">
      <c r="O2298" t="s">
        <v>211</v>
      </c>
      <c r="P2298">
        <v>2024</v>
      </c>
    </row>
    <row r="2299" spans="15:16" x14ac:dyDescent="0.3">
      <c r="O2299" t="s">
        <v>459</v>
      </c>
      <c r="P2299">
        <v>2024</v>
      </c>
    </row>
    <row r="2300" spans="15:16" x14ac:dyDescent="0.3">
      <c r="O2300" t="s">
        <v>279</v>
      </c>
      <c r="P2300">
        <v>2024</v>
      </c>
    </row>
    <row r="2301" spans="15:16" x14ac:dyDescent="0.3">
      <c r="O2301" t="s">
        <v>753</v>
      </c>
      <c r="P2301">
        <v>2024</v>
      </c>
    </row>
    <row r="2302" spans="15:16" x14ac:dyDescent="0.3">
      <c r="O2302" t="s">
        <v>714</v>
      </c>
      <c r="P2302">
        <v>2024</v>
      </c>
    </row>
    <row r="2303" spans="15:16" x14ac:dyDescent="0.3">
      <c r="O2303" t="s">
        <v>380</v>
      </c>
      <c r="P2303">
        <v>2024</v>
      </c>
    </row>
    <row r="2304" spans="15:16" x14ac:dyDescent="0.3">
      <c r="O2304" t="s">
        <v>258</v>
      </c>
      <c r="P2304">
        <v>2024</v>
      </c>
    </row>
    <row r="2305" spans="15:16" x14ac:dyDescent="0.3">
      <c r="O2305" t="s">
        <v>872</v>
      </c>
      <c r="P2305">
        <v>2024</v>
      </c>
    </row>
    <row r="2306" spans="15:16" x14ac:dyDescent="0.3">
      <c r="O2306" t="s">
        <v>506</v>
      </c>
      <c r="P2306">
        <v>2024</v>
      </c>
    </row>
    <row r="2307" spans="15:16" x14ac:dyDescent="0.3">
      <c r="O2307" t="s">
        <v>812</v>
      </c>
      <c r="P2307">
        <v>2024</v>
      </c>
    </row>
    <row r="2308" spans="15:16" x14ac:dyDescent="0.3">
      <c r="O2308" t="s">
        <v>754</v>
      </c>
      <c r="P2308">
        <v>2024</v>
      </c>
    </row>
    <row r="2309" spans="15:16" x14ac:dyDescent="0.3">
      <c r="O2309" t="s">
        <v>481</v>
      </c>
      <c r="P2309">
        <v>2024</v>
      </c>
    </row>
    <row r="2310" spans="15:16" x14ac:dyDescent="0.3">
      <c r="O2310" t="s">
        <v>873</v>
      </c>
      <c r="P2310">
        <v>2024</v>
      </c>
    </row>
    <row r="2311" spans="15:16" x14ac:dyDescent="0.3">
      <c r="O2311" t="s">
        <v>712</v>
      </c>
      <c r="P2311">
        <v>2024</v>
      </c>
    </row>
    <row r="2312" spans="15:16" x14ac:dyDescent="0.3">
      <c r="O2312" t="s">
        <v>509</v>
      </c>
      <c r="P2312">
        <v>2024</v>
      </c>
    </row>
    <row r="2313" spans="15:16" x14ac:dyDescent="0.3">
      <c r="O2313" t="s">
        <v>630</v>
      </c>
      <c r="P2313">
        <v>2024</v>
      </c>
    </row>
    <row r="2314" spans="15:16" x14ac:dyDescent="0.3">
      <c r="O2314" t="s">
        <v>731</v>
      </c>
      <c r="P2314">
        <v>2024</v>
      </c>
    </row>
    <row r="2315" spans="15:16" x14ac:dyDescent="0.3">
      <c r="O2315" t="s">
        <v>489</v>
      </c>
      <c r="P2315">
        <v>2024</v>
      </c>
    </row>
    <row r="2316" spans="15:16" x14ac:dyDescent="0.3">
      <c r="O2316" t="s">
        <v>724</v>
      </c>
      <c r="P2316">
        <v>2024</v>
      </c>
    </row>
    <row r="2317" spans="15:16" x14ac:dyDescent="0.3">
      <c r="O2317" t="s">
        <v>166</v>
      </c>
      <c r="P2317">
        <v>2024</v>
      </c>
    </row>
    <row r="2318" spans="15:16" x14ac:dyDescent="0.3">
      <c r="O2318" t="s">
        <v>402</v>
      </c>
      <c r="P2318">
        <v>2024</v>
      </c>
    </row>
    <row r="2319" spans="15:16" x14ac:dyDescent="0.3">
      <c r="O2319" t="s">
        <v>600</v>
      </c>
      <c r="P2319">
        <v>2024</v>
      </c>
    </row>
    <row r="2320" spans="15:16" x14ac:dyDescent="0.3">
      <c r="O2320" t="s">
        <v>385</v>
      </c>
      <c r="P2320">
        <v>2024</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chandrakalamarkiri@outlook.com</dc:creator>
  <cp:lastModifiedBy>chandrakalamarkiri@outlook.com</cp:lastModifiedBy>
  <dcterms:created xsi:type="dcterms:W3CDTF">2025-11-12T07:08:59Z</dcterms:created>
  <dcterms:modified xsi:type="dcterms:W3CDTF">2025-11-12T07:12:44Z</dcterms:modified>
</cp:coreProperties>
</file>